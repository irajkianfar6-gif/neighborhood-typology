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راهنما" sheetId="1" state="visible" r:id="rId3"/>
    <sheet name="محلات" sheetId="2" state="visible" r:id="rId4"/>
    <sheet name="مناطق" sheetId="3" state="visible" r:id="rId5"/>
    <sheet name="مدل و اعتبارسنجی" sheetId="4" state="visible" r:id="rId6"/>
    <sheet name="داده قیمت دیوار" sheetId="5" state="visible" r:id="rId7"/>
    <sheet name="جدول تطبیق" sheetId="6" state="visible" r:id="rId8"/>
    <sheet name="منابع و روش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<sst xmlns="http://schemas.openxmlformats.org/spreadsheetml/2006/main" count="3226" uniqueCount="878">
  <si>
    <r>
      <rPr>
        <b val="true"/>
        <sz val="14"/>
        <rFont val="Noto Sans"/>
        <family val="2"/>
      </rPr>
      <t xml:space="preserve">سطح تحصیلات ساکنان محلات تهران — نسخه ۲ </t>
    </r>
    <r>
      <rPr>
        <b val="true"/>
        <sz val="14"/>
        <rFont val="Tahoma"/>
        <family val="0"/>
        <charset val="1"/>
      </rPr>
      <t xml:space="preserve">(</t>
    </r>
    <r>
      <rPr>
        <b val="true"/>
        <sz val="14"/>
        <rFont val="Noto Sans"/>
        <family val="2"/>
      </rPr>
      <t xml:space="preserve">برآورد کوچک‌ناحیه‌ای</t>
    </r>
    <r>
      <rPr>
        <b val="true"/>
        <sz val="14"/>
        <rFont val="Tahoma"/>
        <family val="0"/>
        <charset val="1"/>
      </rPr>
      <t xml:space="preserve">)</t>
    </r>
  </si>
  <si>
    <t xml:space="preserve">تعداد محلات</t>
  </si>
  <si>
    <t xml:space="preserve">جمعیت کل</t>
  </si>
  <si>
    <t xml:space="preserve">تعداد برآوردی دانش‌آموختگان دانشگاهی</t>
  </si>
  <si>
    <t xml:space="preserve">سهم وزنی دانش‌آموختگان در شهر ٪</t>
  </si>
  <si>
    <r>
      <rPr>
        <sz val="11"/>
        <rFont val="Noto Sans"/>
        <family val="2"/>
      </rPr>
      <t xml:space="preserve">محلات با سطح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بسیار بالا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</si>
  <si>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با سطح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بالا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</si>
  <si>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با سطح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متوسط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</si>
  <si>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با سطح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پایین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</si>
  <si>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با سطح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بسیار پایین</t>
    </r>
    <r>
      <rPr>
        <sz val="11"/>
        <rFont val="Tahoma"/>
        <family val="0"/>
        <charset val="1"/>
      </rPr>
      <t xml:space="preserve">»</t>
    </r>
  </si>
  <si>
    <r>
      <rPr>
        <sz val="11"/>
        <rFont val="Noto Sans"/>
        <family val="2"/>
      </rPr>
      <t xml:space="preserve">محلات دارای داده قیمت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کیفیت </t>
    </r>
    <r>
      <rPr>
        <sz val="11"/>
        <rFont val="Tahoma"/>
        <family val="0"/>
        <charset val="1"/>
      </rPr>
      <t xml:space="preserve">A </t>
    </r>
    <r>
      <rPr>
        <sz val="11"/>
        <rFont val="Noto Sans"/>
        <family val="2"/>
      </rPr>
      <t xml:space="preserve">تا </t>
    </r>
    <r>
      <rPr>
        <sz val="11"/>
        <rFont val="Tahoma"/>
        <family val="0"/>
        <charset val="1"/>
      </rPr>
      <t xml:space="preserve">C)</t>
    </r>
  </si>
  <si>
    <r>
      <rPr>
        <sz val="11"/>
        <rFont val="Noto Sans"/>
        <family val="2"/>
      </rPr>
      <t xml:space="preserve">محلات با کیفیت </t>
    </r>
    <r>
      <rPr>
        <sz val="11"/>
        <rFont val="Tahoma"/>
        <family val="0"/>
        <charset val="1"/>
      </rPr>
      <t xml:space="preserve">A</t>
    </r>
  </si>
  <si>
    <t xml:space="preserve">بیشترین سهم برآوردی محله ٪</t>
  </si>
  <si>
    <t xml:space="preserve">کمترین سهم برآوردی محله ٪</t>
  </si>
  <si>
    <t xml:space="preserve">تعداد آگهی معتبر قیمت</t>
  </si>
  <si>
    <r>
      <rPr>
        <sz val="11"/>
        <rFont val="Noto Sans"/>
        <family val="2"/>
      </rPr>
      <t xml:space="preserve">چه چیزی تغییر کرد نسبت به نسخه ۱؟ در نسخه ۱ همه محلات یک منطقه مقدار یکسان داشتند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در این نسخه، با استفاده از قیمت هر متر مسکن در ۳۱۱ محله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۲۳ هزار آگهی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تفاوت درون هر منطقه برآورد و سپس با رقم رسمی سرشماری همان منطقه کالیبره شده است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</si>
  <si>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شیت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محلات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برآورد هر محله، بازه عدم قطعیت، مقایسه با روش قبلی، و درجه کیفیت داده </t>
    </r>
    <r>
      <rPr>
        <sz val="11"/>
        <rFont val="Tahoma"/>
        <family val="0"/>
        <charset val="1"/>
      </rPr>
      <t xml:space="preserve">(A </t>
    </r>
    <r>
      <rPr>
        <sz val="11"/>
        <rFont val="Noto Sans"/>
        <family val="2"/>
      </rPr>
      <t xml:space="preserve">بهترین تا </t>
    </r>
    <r>
      <rPr>
        <sz val="11"/>
        <rFont val="Tahoma"/>
        <family val="0"/>
        <charset val="1"/>
      </rPr>
      <t xml:space="preserve">D </t>
    </r>
    <r>
      <rPr>
        <sz val="11"/>
        <rFont val="Noto Sans"/>
        <family val="2"/>
      </rPr>
      <t xml:space="preserve">فقط مقدار منطقه</t>
    </r>
    <r>
      <rPr>
        <sz val="11"/>
        <rFont val="Tahoma"/>
        <family val="0"/>
        <charset val="1"/>
      </rPr>
      <t xml:space="preserve">).</t>
    </r>
  </si>
  <si>
    <r>
      <rPr>
        <sz val="11"/>
        <rFont val="Noto Sans"/>
        <family val="2"/>
      </rPr>
      <t xml:space="preserve">شیت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مناطق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کنترل کالیبراسیون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ستون </t>
    </r>
    <r>
      <rPr>
        <sz val="11"/>
        <rFont val="Tahoma"/>
        <family val="0"/>
        <charset val="1"/>
      </rPr>
      <t xml:space="preserve">E </t>
    </r>
    <r>
      <rPr>
        <sz val="11"/>
        <rFont val="Noto Sans"/>
        <family val="2"/>
      </rPr>
      <t xml:space="preserve">باید برابر </t>
    </r>
    <r>
      <rPr>
        <sz val="11"/>
        <rFont val="Tahoma"/>
        <family val="0"/>
        <charset val="1"/>
      </rPr>
      <t xml:space="preserve">D </t>
    </r>
    <r>
      <rPr>
        <sz val="11"/>
        <rFont val="Noto Sans"/>
        <family val="2"/>
      </rPr>
      <t xml:space="preserve">باشد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و دقت مدل در سطح منطقه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</si>
  <si>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شیت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مدل و اعتبارسنجی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ضرایب، </t>
    </r>
    <r>
      <rPr>
        <sz val="11"/>
        <rFont val="Tahoma"/>
        <family val="0"/>
        <charset val="1"/>
      </rPr>
      <t xml:space="preserve">R² </t>
    </r>
    <r>
      <rPr>
        <sz val="11"/>
        <rFont val="Noto Sans"/>
        <family val="2"/>
      </rPr>
      <t xml:space="preserve">و خطای اعتبارسنجی حذف‌یک‌منطقه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</si>
  <si>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شیت‌های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داده قیمت دیوار</t>
    </r>
    <r>
      <rPr>
        <sz val="11"/>
        <rFont val="Tahoma"/>
        <family val="0"/>
        <charset val="1"/>
      </rPr>
      <t xml:space="preserve">» </t>
    </r>
    <r>
      <rPr>
        <sz val="11"/>
        <rFont val="Noto Sans"/>
        <family val="2"/>
      </rPr>
      <t xml:space="preserve">و </t>
    </r>
    <r>
      <rPr>
        <sz val="11"/>
        <rFont val="Tahoma"/>
        <family val="0"/>
        <charset val="1"/>
      </rPr>
      <t xml:space="preserve">«</t>
    </r>
    <r>
      <rPr>
        <sz val="11"/>
        <rFont val="Noto Sans"/>
        <family val="2"/>
      </rPr>
      <t xml:space="preserve">جدول تطبیق</t>
    </r>
    <r>
      <rPr>
        <sz val="11"/>
        <rFont val="Tahoma"/>
        <family val="0"/>
        <charset val="1"/>
      </rPr>
      <t xml:space="preserve">»: </t>
    </r>
    <r>
      <rPr>
        <sz val="11"/>
        <rFont val="Noto Sans"/>
        <family val="2"/>
      </rPr>
      <t xml:space="preserve">داده خام کمکی و نحوه تطبیق نام محلات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</si>
  <si>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هشدار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ارقام محله‌ای برآوردی‌اند، نه شمارش مستقیم سرشماری</t>
    </r>
    <r>
      <rPr>
        <sz val="11"/>
        <rFont val="Tahoma"/>
        <family val="0"/>
        <charset val="1"/>
      </rPr>
      <t xml:space="preserve">.</t>
    </r>
  </si>
  <si>
    <t xml:space="preserve">ردیف</t>
  </si>
  <si>
    <t xml:space="preserve">منطقه</t>
  </si>
  <si>
    <t xml:space="preserve">محله</t>
  </si>
  <si>
    <r>
      <rPr>
        <b val="true"/>
        <sz val="11"/>
        <color rgb="FFFFFFFF"/>
        <rFont val="Noto Sans"/>
        <family val="2"/>
      </rPr>
      <t xml:space="preserve">جمعیت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حدود ۱۳۹۵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</si>
  <si>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سهم دانش‌آموختگان دانشگاهی از کل جمعیت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برآورد تعدیل‌شده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</si>
  <si>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حد پایین بازه ٪</t>
  </si>
  <si>
    <t xml:space="preserve">حد بالای بازه ٪</t>
  </si>
  <si>
    <r>
      <rPr>
        <b val="true"/>
        <sz val="11"/>
        <color rgb="FFFFFFFF"/>
        <rFont val="Noto Sans"/>
        <family val="2"/>
      </rPr>
      <t xml:space="preserve">مقدار میانگین منطقه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روش نسخه ۱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</si>
  <si>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اختلاف با میانگین منطقه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واحد درصد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</si>
  <si>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مردان دارای تحصیلات دانشگاهی ٪</t>
  </si>
  <si>
    <t xml:space="preserve">زنان دارای تحصیلات دانشگاهی ٪</t>
  </si>
  <si>
    <t xml:space="preserve">باسوادی ۳۰ تا ۵۹ سال ٪</t>
  </si>
  <si>
    <t xml:space="preserve">باسوادی ۶۰ سال و بالاتر ٪</t>
  </si>
  <si>
    <t xml:space="preserve">استفاده از اینترنت ٪</t>
  </si>
  <si>
    <r>
      <rPr>
        <b val="true"/>
        <sz val="11"/>
        <color rgb="FFFFFFFF"/>
        <rFont val="Noto Sans"/>
        <family val="2"/>
      </rPr>
      <t xml:space="preserve">رتبه در شهر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سهم دانش‌آموختگان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</si>
  <si>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سطح تحصیلات</t>
  </si>
  <si>
    <r>
      <rPr>
        <b val="true"/>
        <sz val="11"/>
        <color rgb="FFFFFFFF"/>
        <rFont val="Noto Sans"/>
        <family val="2"/>
      </rPr>
      <t xml:space="preserve">قیمت میانه هر متر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میلیون تومان، دیوار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</si>
  <si>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انحراف لگاریتم قیمت از میانگین منطقه</t>
  </si>
  <si>
    <t xml:space="preserve">تعداد آگهی معتبر</t>
  </si>
  <si>
    <t xml:space="preserve">نوع تطبیق</t>
  </si>
  <si>
    <r>
      <rPr>
        <b val="true"/>
        <sz val="11"/>
        <color rgb="FFFFFFFF"/>
        <rFont val="Noto Sans"/>
        <family val="2"/>
      </rPr>
      <t xml:space="preserve">محله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های</t>
    </r>
    <r>
      <rPr>
        <b val="true"/>
        <sz val="11"/>
        <color rgb="FFFFFFFF"/>
        <rFont val="Tahoma"/>
        <family val="0"/>
        <charset val="1"/>
      </rPr>
      <t xml:space="preserve">) </t>
    </r>
    <r>
      <rPr>
        <b val="true"/>
        <sz val="11"/>
        <color rgb="FFFFFFFF"/>
        <rFont val="Noto Sans"/>
        <family val="2"/>
      </rPr>
      <t xml:space="preserve">دیوار استفاده‌شده</t>
    </r>
  </si>
  <si>
    <r>
      <rPr>
        <b val="true"/>
        <sz val="11"/>
        <color rgb="FFFFFFFF"/>
        <rFont val="Noto Sans"/>
        <family val="2"/>
      </rPr>
      <t xml:space="preserve">وزن اعتماد به داده محله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۰ تا ۱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</si>
  <si>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درجه کیفیت داده</t>
  </si>
  <si>
    <t xml:space="preserve">ولنجک</t>
  </si>
  <si>
    <r>
      <rPr>
        <sz val="11"/>
        <rFont val="Noto Sans"/>
        <family val="2"/>
      </rPr>
      <t xml:space="preserve">دقیق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نام یکسان</t>
    </r>
    <r>
      <rPr>
        <sz val="11"/>
        <rFont val="Tahoma"/>
        <family val="0"/>
        <charset val="1"/>
      </rPr>
      <t xml:space="preserve">)</t>
    </r>
  </si>
  <si>
    <t xml:space="preserve">A</t>
  </si>
  <si>
    <t xml:space="preserve">زعفرانیه</t>
  </si>
  <si>
    <t xml:space="preserve">محمودیه</t>
  </si>
  <si>
    <t xml:space="preserve">باغ فردوس</t>
  </si>
  <si>
    <t xml:space="preserve">B</t>
  </si>
  <si>
    <t xml:space="preserve">فرمانیه</t>
  </si>
  <si>
    <t xml:space="preserve">حصار بوعلی</t>
  </si>
  <si>
    <t xml:space="preserve">نیاوران</t>
  </si>
  <si>
    <r>
      <rPr>
        <sz val="11"/>
        <rFont val="Noto Sans"/>
        <family val="2"/>
      </rPr>
      <t xml:space="preserve">دستی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نام مرکب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معادل</t>
    </r>
    <r>
      <rPr>
        <sz val="11"/>
        <rFont val="Tahoma"/>
        <family val="0"/>
        <charset val="1"/>
      </rPr>
      <t xml:space="preserve">)</t>
    </r>
  </si>
  <si>
    <t xml:space="preserve">جماران</t>
  </si>
  <si>
    <r>
      <rPr>
        <sz val="11"/>
        <rFont val="Noto Sans"/>
        <family val="2"/>
      </rPr>
      <t xml:space="preserve">جماران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نیاوران</t>
    </r>
    <r>
      <rPr>
        <sz val="11"/>
        <rFont val="Tahoma"/>
        <family val="0"/>
        <charset val="1"/>
      </rPr>
      <t xml:space="preserve">)</t>
    </r>
  </si>
  <si>
    <t xml:space="preserve">امامزاده قاسم</t>
  </si>
  <si>
    <r>
      <rPr>
        <sz val="11"/>
        <rFont val="Noto Sans"/>
        <family val="2"/>
      </rPr>
      <t xml:space="preserve">امام زاده قاسم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نیاوران</t>
    </r>
    <r>
      <rPr>
        <sz val="11"/>
        <rFont val="Tahoma"/>
        <family val="0"/>
        <charset val="1"/>
      </rPr>
      <t xml:space="preserve">)</t>
    </r>
  </si>
  <si>
    <t xml:space="preserve">دزاشیب</t>
  </si>
  <si>
    <t xml:space="preserve">کاشانک</t>
  </si>
  <si>
    <t xml:space="preserve">قیطریه</t>
  </si>
  <si>
    <t xml:space="preserve">تجریش</t>
  </si>
  <si>
    <t xml:space="preserve">اراج</t>
  </si>
  <si>
    <t xml:space="preserve">بدون تطبیق</t>
  </si>
  <si>
    <t xml:space="preserve">—</t>
  </si>
  <si>
    <t xml:space="preserve">D</t>
  </si>
  <si>
    <t xml:space="preserve">کوهسار</t>
  </si>
  <si>
    <t xml:space="preserve">حکمت</t>
  </si>
  <si>
    <t xml:space="preserve">چیذر</t>
  </si>
  <si>
    <t xml:space="preserve">ازگل</t>
  </si>
  <si>
    <t xml:space="preserve">اوین</t>
  </si>
  <si>
    <t xml:space="preserve">دربند</t>
  </si>
  <si>
    <r>
      <rPr>
        <sz val="11"/>
        <rFont val="Noto Sans"/>
        <family val="2"/>
      </rPr>
      <t xml:space="preserve">دانشگاه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گلها</t>
    </r>
  </si>
  <si>
    <t xml:space="preserve">شهرک گلها</t>
  </si>
  <si>
    <t xml:space="preserve">درکه</t>
  </si>
  <si>
    <t xml:space="preserve">شهرک نفت</t>
  </si>
  <si>
    <r>
      <rPr>
        <sz val="11"/>
        <rFont val="Noto Sans"/>
        <family val="2"/>
      </rPr>
      <t xml:space="preserve">مینی‌سیتی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شهرک نفت</t>
    </r>
    <r>
      <rPr>
        <sz val="11"/>
        <rFont val="Tahoma"/>
        <family val="0"/>
        <charset val="1"/>
      </rPr>
      <t xml:space="preserve">)</t>
    </r>
  </si>
  <si>
    <t xml:space="preserve">دارآباد</t>
  </si>
  <si>
    <t xml:space="preserve">سوهانک</t>
  </si>
  <si>
    <t xml:space="preserve">شهرک محلاتی</t>
  </si>
  <si>
    <t xml:space="preserve">گلابدره</t>
  </si>
  <si>
    <t xml:space="preserve">گلاب دره</t>
  </si>
  <si>
    <t xml:space="preserve">سعادت آباد</t>
  </si>
  <si>
    <t xml:space="preserve">سعادت‌آباد</t>
  </si>
  <si>
    <t xml:space="preserve">ایوانک</t>
  </si>
  <si>
    <t xml:space="preserve">دریان نو</t>
  </si>
  <si>
    <t xml:space="preserve">دریا</t>
  </si>
  <si>
    <t xml:space="preserve">فراز</t>
  </si>
  <si>
    <t xml:space="preserve">کوی فراز</t>
  </si>
  <si>
    <t xml:space="preserve">کوی نصر</t>
  </si>
  <si>
    <t xml:space="preserve">گیشا</t>
  </si>
  <si>
    <t xml:space="preserve">آسمان</t>
  </si>
  <si>
    <t xml:space="preserve">مرزداران غربی</t>
  </si>
  <si>
    <t xml:space="preserve">مرزداران</t>
  </si>
  <si>
    <t xml:space="preserve">مرزداران شرقی</t>
  </si>
  <si>
    <t xml:space="preserve">سپهر</t>
  </si>
  <si>
    <t xml:space="preserve">شهرک قدس</t>
  </si>
  <si>
    <t xml:space="preserve">تیموری</t>
  </si>
  <si>
    <t xml:space="preserve">پونک</t>
  </si>
  <si>
    <t xml:space="preserve">پرواز</t>
  </si>
  <si>
    <t xml:space="preserve">شهر آرا</t>
  </si>
  <si>
    <t xml:space="preserve">شهرآرا</t>
  </si>
  <si>
    <t xml:space="preserve">تهران ویلا</t>
  </si>
  <si>
    <t xml:space="preserve">تهران‌ویلا</t>
  </si>
  <si>
    <r>
      <rPr>
        <sz val="11"/>
        <rFont val="Noto Sans"/>
        <family val="2"/>
      </rPr>
      <t xml:space="preserve">برق آلستوم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ستارخان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</si>
  <si>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جایگزین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محله مجاور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مشابه</t>
    </r>
    <r>
      <rPr>
        <sz val="11"/>
        <rFont val="Tahoma"/>
        <family val="0"/>
        <charset val="1"/>
      </rPr>
      <t xml:space="preserve">)</t>
    </r>
  </si>
  <si>
    <t xml:space="preserve">ستارخان</t>
  </si>
  <si>
    <t xml:space="preserve">صادقیه</t>
  </si>
  <si>
    <t xml:space="preserve">توحید</t>
  </si>
  <si>
    <t xml:space="preserve">طرشت</t>
  </si>
  <si>
    <t xml:space="preserve">فرحزاد</t>
  </si>
  <si>
    <t xml:space="preserve">C</t>
  </si>
  <si>
    <t xml:space="preserve">دروس</t>
  </si>
  <si>
    <t xml:space="preserve">قبا</t>
  </si>
  <si>
    <t xml:space="preserve">امانیه</t>
  </si>
  <si>
    <t xml:space="preserve">ونک</t>
  </si>
  <si>
    <t xml:space="preserve">اختیاریه</t>
  </si>
  <si>
    <t xml:space="preserve">درب دوم</t>
  </si>
  <si>
    <t xml:space="preserve">داوودیه</t>
  </si>
  <si>
    <t xml:space="preserve">کاووسیه</t>
  </si>
  <si>
    <t xml:space="preserve">قلهک</t>
  </si>
  <si>
    <t xml:space="preserve">آرارات</t>
  </si>
  <si>
    <r>
      <rPr>
        <sz val="11"/>
        <rFont val="Noto Sans"/>
        <family val="2"/>
      </rPr>
      <t xml:space="preserve">حسن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زرگنده</t>
    </r>
  </si>
  <si>
    <t xml:space="preserve">حسن‌آباد، زرگنده</t>
  </si>
  <si>
    <t xml:space="preserve">سید خندان</t>
  </si>
  <si>
    <r>
      <rPr>
        <sz val="11"/>
        <rFont val="Noto Sans"/>
        <family val="2"/>
      </rPr>
      <t xml:space="preserve">مهران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سیدخندان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سید خندان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جلفا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</si>
  <si>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پاسداران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ضرابخانه</t>
    </r>
  </si>
  <si>
    <t xml:space="preserve">پاسداران</t>
  </si>
  <si>
    <r>
      <rPr>
        <sz val="11"/>
        <rFont val="Noto Sans"/>
        <family val="2"/>
      </rPr>
      <t xml:space="preserve">حسین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مبارک آباد</t>
    </r>
  </si>
  <si>
    <t xml:space="preserve">حسین‌آباد</t>
  </si>
  <si>
    <t xml:space="preserve">مهران</t>
  </si>
  <si>
    <r>
      <rPr>
        <sz val="11"/>
        <rFont val="Noto Sans"/>
        <family val="2"/>
      </rPr>
      <t xml:space="preserve">مهران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سیدخندان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</si>
  <si>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لویزان 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شیان</t>
    </r>
  </si>
  <si>
    <t xml:space="preserve">لویزان، بوستان شیان</t>
  </si>
  <si>
    <t xml:space="preserve">تهرانپارس غربی</t>
  </si>
  <si>
    <t xml:space="preserve">قنات کوثر</t>
  </si>
  <si>
    <t xml:space="preserve">قنات‌کوثر</t>
  </si>
  <si>
    <t xml:space="preserve">نارمک شمالی</t>
  </si>
  <si>
    <t xml:space="preserve">نارمک</t>
  </si>
  <si>
    <r>
      <rPr>
        <sz val="11"/>
        <rFont val="Noto Sans"/>
        <family val="2"/>
      </rPr>
      <t xml:space="preserve">شمس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مجیدیه</t>
    </r>
  </si>
  <si>
    <t xml:space="preserve">شمس‌آباد، مجیدیه</t>
  </si>
  <si>
    <t xml:space="preserve">حکیمیه</t>
  </si>
  <si>
    <t xml:space="preserve">گلشن</t>
  </si>
  <si>
    <t xml:space="preserve">کاظم اباد</t>
  </si>
  <si>
    <t xml:space="preserve">کالاد</t>
  </si>
  <si>
    <t xml:space="preserve">علم و صنعت</t>
  </si>
  <si>
    <t xml:space="preserve">مجید آباد</t>
  </si>
  <si>
    <t xml:space="preserve">مجیدآباد</t>
  </si>
  <si>
    <t xml:space="preserve">اوقاف</t>
  </si>
  <si>
    <r>
      <rPr>
        <sz val="11"/>
        <rFont val="Noto Sans"/>
        <family val="2"/>
      </rPr>
      <t xml:space="preserve">قاسم آباد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ده نارمک</t>
    </r>
  </si>
  <si>
    <t xml:space="preserve">قاسم‌آباد</t>
  </si>
  <si>
    <t xml:space="preserve">تهرانپارس شرقی</t>
  </si>
  <si>
    <t xml:space="preserve">جوادیه</t>
  </si>
  <si>
    <t xml:space="preserve">جوادیه تهرانپارس</t>
  </si>
  <si>
    <t xml:space="preserve">شمیران نو</t>
  </si>
  <si>
    <t xml:space="preserve">شمیران‌نو</t>
  </si>
  <si>
    <t xml:space="preserve">پونک جنوبی</t>
  </si>
  <si>
    <t xml:space="preserve">پونک شمالی</t>
  </si>
  <si>
    <t xml:space="preserve">اباذر</t>
  </si>
  <si>
    <t xml:space="preserve">سازمان برنامه شمالی</t>
  </si>
  <si>
    <t xml:space="preserve">سازمان برنامه جنوبی</t>
  </si>
  <si>
    <t xml:space="preserve">اکباتان</t>
  </si>
  <si>
    <t xml:space="preserve">جنت آباد مرکزی</t>
  </si>
  <si>
    <t xml:space="preserve">جنت‌آباد مرکزی</t>
  </si>
  <si>
    <t xml:space="preserve">جنت آباد جنوبی</t>
  </si>
  <si>
    <t xml:space="preserve">جنت‌آباد جنوبی</t>
  </si>
  <si>
    <t xml:space="preserve">فردوس</t>
  </si>
  <si>
    <t xml:space="preserve">شاهین</t>
  </si>
  <si>
    <t xml:space="preserve">شهرک کوهسار</t>
  </si>
  <si>
    <t xml:space="preserve">جنت آباد شمالی</t>
  </si>
  <si>
    <t xml:space="preserve">جنت‌آباد شمالی</t>
  </si>
  <si>
    <t xml:space="preserve">باغ فیض</t>
  </si>
  <si>
    <t xml:space="preserve">شهرک پرواز</t>
  </si>
  <si>
    <t xml:space="preserve">ارم</t>
  </si>
  <si>
    <t xml:space="preserve">شهران شمالی</t>
  </si>
  <si>
    <t xml:space="preserve">سازمان آب</t>
  </si>
  <si>
    <t xml:space="preserve">شهران جنوبی</t>
  </si>
  <si>
    <t xml:space="preserve">المهدی</t>
  </si>
  <si>
    <t xml:space="preserve">آپادانا</t>
  </si>
  <si>
    <t xml:space="preserve">شهرک آپادانا</t>
  </si>
  <si>
    <t xml:space="preserve">بیمه</t>
  </si>
  <si>
    <t xml:space="preserve">کوی بیمه</t>
  </si>
  <si>
    <t xml:space="preserve">بهاران</t>
  </si>
  <si>
    <t xml:space="preserve">مراد آباد</t>
  </si>
  <si>
    <t xml:space="preserve">مرادآباد</t>
  </si>
  <si>
    <t xml:space="preserve">اندیشه</t>
  </si>
  <si>
    <r>
      <rPr>
        <sz val="11"/>
        <rFont val="Noto Sans"/>
        <family val="2"/>
      </rPr>
      <t xml:space="preserve">جوانمردان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اندیشه</t>
    </r>
    <r>
      <rPr>
        <sz val="11"/>
        <rFont val="Tahoma"/>
        <family val="0"/>
        <charset val="1"/>
      </rPr>
      <t xml:space="preserve">)</t>
    </r>
  </si>
  <si>
    <t xml:space="preserve">شهرزیبا</t>
  </si>
  <si>
    <t xml:space="preserve">شهر زیبا</t>
  </si>
  <si>
    <t xml:space="preserve">کن</t>
  </si>
  <si>
    <t xml:space="preserve">حصارک</t>
  </si>
  <si>
    <t xml:space="preserve">یوسف اباد</t>
  </si>
  <si>
    <t xml:space="preserve">یوسف‌آباد</t>
  </si>
  <si>
    <t xml:space="preserve">نظامی گنجوی</t>
  </si>
  <si>
    <r>
      <rPr>
        <sz val="11"/>
        <rFont val="Noto Sans"/>
        <family val="2"/>
      </rPr>
      <t xml:space="preserve">نظامی گنجوی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توانیر</t>
    </r>
    <r>
      <rPr>
        <sz val="11"/>
        <rFont val="Tahoma"/>
        <family val="0"/>
        <charset val="1"/>
      </rPr>
      <t xml:space="preserve">)</t>
    </r>
  </si>
  <si>
    <t xml:space="preserve">امیرآباد</t>
  </si>
  <si>
    <t xml:space="preserve">والفجر</t>
  </si>
  <si>
    <t xml:space="preserve">جهاد</t>
  </si>
  <si>
    <t xml:space="preserve">سنائی</t>
  </si>
  <si>
    <t xml:space="preserve">دانشگاه تهران</t>
  </si>
  <si>
    <t xml:space="preserve">ساعی</t>
  </si>
  <si>
    <t xml:space="preserve">فاطمی</t>
  </si>
  <si>
    <t xml:space="preserve">کشاورز</t>
  </si>
  <si>
    <t xml:space="preserve">بلوار کشاورز</t>
  </si>
  <si>
    <t xml:space="preserve">بهجت آباد</t>
  </si>
  <si>
    <t xml:space="preserve">بهجت‌آباد</t>
  </si>
  <si>
    <t xml:space="preserve">ایرانشهر</t>
  </si>
  <si>
    <t xml:space="preserve">ولیعصر</t>
  </si>
  <si>
    <t xml:space="preserve">میدان ولیعصر</t>
  </si>
  <si>
    <t xml:space="preserve">جمالزاده</t>
  </si>
  <si>
    <t xml:space="preserve">جمال‌زاده</t>
  </si>
  <si>
    <r>
      <rPr>
        <sz val="11"/>
        <rFont val="Noto Sans"/>
        <family val="2"/>
      </rPr>
      <t xml:space="preserve">نیلوفر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شهید قندی</t>
    </r>
  </si>
  <si>
    <t xml:space="preserve">نیلوفر</t>
  </si>
  <si>
    <r>
      <rPr>
        <sz val="11"/>
        <rFont val="Noto Sans"/>
        <family val="2"/>
      </rPr>
      <t xml:space="preserve">عباس آباد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اندیشه</t>
    </r>
  </si>
  <si>
    <t xml:space="preserve">عباس‌آباد</t>
  </si>
  <si>
    <r>
      <rPr>
        <sz val="11"/>
        <rFont val="Noto Sans"/>
        <family val="2"/>
      </rPr>
      <t xml:space="preserve">سهروردی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باغ صبا</t>
    </r>
  </si>
  <si>
    <t xml:space="preserve">سهروردی</t>
  </si>
  <si>
    <t xml:space="preserve">بهار</t>
  </si>
  <si>
    <r>
      <rPr>
        <sz val="11"/>
        <rFont val="Noto Sans"/>
        <family val="2"/>
      </rPr>
      <t xml:space="preserve">امجدیه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خاقانی</t>
    </r>
  </si>
  <si>
    <r>
      <rPr>
        <sz val="11"/>
        <rFont val="Noto Sans"/>
        <family val="2"/>
      </rPr>
      <t xml:space="preserve">امجدیه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خاقانی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</si>
  <si>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مجیدیه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دبستان</t>
    </r>
  </si>
  <si>
    <t xml:space="preserve">دبستان</t>
  </si>
  <si>
    <t xml:space="preserve">کاج</t>
  </si>
  <si>
    <t xml:space="preserve">شاهد</t>
  </si>
  <si>
    <r>
      <rPr>
        <sz val="11"/>
        <rFont val="Noto Sans"/>
        <family val="2"/>
      </rPr>
      <t xml:space="preserve">خواجه نصیر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حقوقی</t>
    </r>
  </si>
  <si>
    <t xml:space="preserve">خواجه نصیر طوسی</t>
  </si>
  <si>
    <r>
      <rPr>
        <sz val="11"/>
        <rFont val="Noto Sans"/>
        <family val="2"/>
      </rPr>
      <t xml:space="preserve">قصر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حشمتیه</t>
    </r>
  </si>
  <si>
    <t xml:space="preserve">حشمتیه</t>
  </si>
  <si>
    <r>
      <rPr>
        <sz val="11"/>
        <rFont val="Noto Sans"/>
        <family val="2"/>
      </rPr>
      <t xml:space="preserve">دهقان 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گرگان</t>
    </r>
  </si>
  <si>
    <t xml:space="preserve">دهقان، گرگان</t>
  </si>
  <si>
    <t xml:space="preserve">ارامنه</t>
  </si>
  <si>
    <t xml:space="preserve">نظام آباد</t>
  </si>
  <si>
    <t xml:space="preserve">نظام‌آباد</t>
  </si>
  <si>
    <t xml:space="preserve">خواجه نظام الملک</t>
  </si>
  <si>
    <t xml:space="preserve">هفت حوض</t>
  </si>
  <si>
    <t xml:space="preserve">مدائن</t>
  </si>
  <si>
    <t xml:space="preserve">فدک</t>
  </si>
  <si>
    <t xml:space="preserve">دردشت</t>
  </si>
  <si>
    <t xml:space="preserve">تهرانپارس</t>
  </si>
  <si>
    <t xml:space="preserve">تهرانپارس غربی، تهرانپارس شرقی</t>
  </si>
  <si>
    <t xml:space="preserve">مجیدیه</t>
  </si>
  <si>
    <t xml:space="preserve">کرمان</t>
  </si>
  <si>
    <t xml:space="preserve">زرکش</t>
  </si>
  <si>
    <t xml:space="preserve">لشگر غربی</t>
  </si>
  <si>
    <r>
      <rPr>
        <sz val="11"/>
        <rFont val="Noto Sans"/>
        <family val="2"/>
      </rPr>
      <t xml:space="preserve">سبلان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لشگر</t>
    </r>
    <r>
      <rPr>
        <sz val="11"/>
        <rFont val="Tahoma"/>
        <family val="0"/>
        <charset val="1"/>
      </rPr>
      <t xml:space="preserve">)</t>
    </r>
  </si>
  <si>
    <t xml:space="preserve">لشگرشرقی</t>
  </si>
  <si>
    <t xml:space="preserve">تسلیحات</t>
  </si>
  <si>
    <t xml:space="preserve">وحیدیه</t>
  </si>
  <si>
    <t xml:space="preserve">فرودگاه مهرآباد</t>
  </si>
  <si>
    <t xml:space="preserve">دستغیب</t>
  </si>
  <si>
    <t xml:space="preserve">دکتر هوشیار</t>
  </si>
  <si>
    <t xml:space="preserve">سراسیاب مهراباد</t>
  </si>
  <si>
    <t xml:space="preserve">امامزاده عبداله</t>
  </si>
  <si>
    <t xml:space="preserve">محله فتح</t>
  </si>
  <si>
    <t xml:space="preserve">شمشیری</t>
  </si>
  <si>
    <t xml:space="preserve">استاد معین</t>
  </si>
  <si>
    <t xml:space="preserve">مهرآباد جنوبی</t>
  </si>
  <si>
    <t xml:space="preserve">زنجان جنوبی</t>
  </si>
  <si>
    <t xml:space="preserve">هاشمی</t>
  </si>
  <si>
    <t xml:space="preserve">سلسبیل جنوبی</t>
  </si>
  <si>
    <t xml:space="preserve">سلسبیل شمالی</t>
  </si>
  <si>
    <t xml:space="preserve">کارون جنوبی</t>
  </si>
  <si>
    <t xml:space="preserve">کارون شمالی</t>
  </si>
  <si>
    <t xml:space="preserve">هفت چنار</t>
  </si>
  <si>
    <t xml:space="preserve">سلیمانی تیموری</t>
  </si>
  <si>
    <t xml:space="preserve">سلیمانی</t>
  </si>
  <si>
    <r>
      <rPr>
        <sz val="11"/>
        <rFont val="Noto Sans"/>
        <family val="2"/>
      </rPr>
      <t xml:space="preserve">شبیری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جی</t>
    </r>
  </si>
  <si>
    <t xml:space="preserve">جی</t>
  </si>
  <si>
    <t xml:space="preserve">بریانک</t>
  </si>
  <si>
    <t xml:space="preserve">راه آهن</t>
  </si>
  <si>
    <r>
      <rPr>
        <sz val="11"/>
        <rFont val="Noto Sans"/>
        <family val="2"/>
      </rPr>
      <t xml:space="preserve">گلستان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شهرک راه آهن</t>
    </r>
    <r>
      <rPr>
        <sz val="11"/>
        <rFont val="Tahoma"/>
        <family val="0"/>
        <charset val="1"/>
      </rPr>
      <t xml:space="preserve">)</t>
    </r>
  </si>
  <si>
    <t xml:space="preserve">جمهوری</t>
  </si>
  <si>
    <r>
      <rPr>
        <sz val="11"/>
        <rFont val="Noto Sans"/>
        <family val="2"/>
      </rPr>
      <t xml:space="preserve">انقلاب 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فلسطین</t>
    </r>
  </si>
  <si>
    <r>
      <rPr>
        <sz val="11"/>
        <rFont val="Noto Sans"/>
        <family val="2"/>
      </rPr>
      <t xml:space="preserve">فلسطین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میدان انقلاب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</si>
  <si>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حشمت الدوله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جمالزاده</t>
    </r>
  </si>
  <si>
    <t xml:space="preserve">منیریه</t>
  </si>
  <si>
    <t xml:space="preserve">امیریه</t>
  </si>
  <si>
    <t xml:space="preserve">عباسی</t>
  </si>
  <si>
    <t xml:space="preserve">آگاهی</t>
  </si>
  <si>
    <t xml:space="preserve">سلامت</t>
  </si>
  <si>
    <t xml:space="preserve">انبارنفت</t>
  </si>
  <si>
    <t xml:space="preserve">هلال احمر</t>
  </si>
  <si>
    <t xml:space="preserve">شیخ هادی</t>
  </si>
  <si>
    <t xml:space="preserve">حر</t>
  </si>
  <si>
    <t xml:space="preserve">اسکندری</t>
  </si>
  <si>
    <r>
      <rPr>
        <sz val="11"/>
        <rFont val="Noto Sans"/>
        <family val="2"/>
      </rPr>
      <t xml:space="preserve">فروزش 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امیربهادر</t>
    </r>
  </si>
  <si>
    <t xml:space="preserve">امیر بهادر</t>
  </si>
  <si>
    <t xml:space="preserve">قلمستان</t>
  </si>
  <si>
    <t xml:space="preserve">مخصوص</t>
  </si>
  <si>
    <t xml:space="preserve">بازار</t>
  </si>
  <si>
    <t xml:space="preserve">ایران</t>
  </si>
  <si>
    <t xml:space="preserve">دروازه شمیران</t>
  </si>
  <si>
    <t xml:space="preserve">فردوسی</t>
  </si>
  <si>
    <r>
      <rPr>
        <sz val="11"/>
        <rFont val="Noto Sans"/>
        <family val="2"/>
      </rPr>
      <t xml:space="preserve">آبشار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دردار</t>
    </r>
  </si>
  <si>
    <t xml:space="preserve">آبشار</t>
  </si>
  <si>
    <t xml:space="preserve">بهارستان</t>
  </si>
  <si>
    <t xml:space="preserve">هرندی</t>
  </si>
  <si>
    <t xml:space="preserve">امامزاده یحیی</t>
  </si>
  <si>
    <t xml:space="preserve">قیام</t>
  </si>
  <si>
    <r>
      <rPr>
        <sz val="11"/>
        <rFont val="Noto Sans"/>
        <family val="2"/>
      </rPr>
      <t xml:space="preserve">مختاری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تختی</t>
    </r>
  </si>
  <si>
    <t xml:space="preserve">تختی</t>
  </si>
  <si>
    <t xml:space="preserve">کوثر</t>
  </si>
  <si>
    <t xml:space="preserve">سنگلج</t>
  </si>
  <si>
    <r>
      <rPr>
        <sz val="11"/>
        <rFont val="Noto Sans"/>
        <family val="2"/>
      </rPr>
      <t xml:space="preserve">سنگلج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شاپور</t>
    </r>
    <r>
      <rPr>
        <sz val="11"/>
        <rFont val="Tahoma"/>
        <family val="0"/>
        <charset val="1"/>
      </rPr>
      <t xml:space="preserve">)</t>
    </r>
  </si>
  <si>
    <r>
      <rPr>
        <sz val="11"/>
        <rFont val="Noto Sans"/>
        <family val="2"/>
      </rPr>
      <t xml:space="preserve">ارگ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پامنار</t>
    </r>
  </si>
  <si>
    <t xml:space="preserve">پامنار</t>
  </si>
  <si>
    <t xml:space="preserve">نیروی هوایی</t>
  </si>
  <si>
    <r>
      <rPr>
        <sz val="11"/>
        <rFont val="Noto Sans"/>
        <family val="2"/>
      </rPr>
      <t xml:space="preserve">نیروی هوایی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پیروزی</t>
    </r>
    <r>
      <rPr>
        <sz val="11"/>
        <rFont val="Tahoma"/>
        <family val="0"/>
        <charset val="1"/>
      </rPr>
      <t xml:space="preserve">)</t>
    </r>
  </si>
  <si>
    <t xml:space="preserve">پیروزی</t>
  </si>
  <si>
    <t xml:space="preserve">آشتیانی</t>
  </si>
  <si>
    <t xml:space="preserve">حافظیه</t>
  </si>
  <si>
    <t xml:space="preserve">قاسم آباد</t>
  </si>
  <si>
    <t xml:space="preserve">دهقان</t>
  </si>
  <si>
    <t xml:space="preserve">امامت</t>
  </si>
  <si>
    <t xml:space="preserve">شورا</t>
  </si>
  <si>
    <t xml:space="preserve">زینبیه</t>
  </si>
  <si>
    <t xml:space="preserve">سرخه حصار</t>
  </si>
  <si>
    <t xml:space="preserve">بوستان سرخه حصار</t>
  </si>
  <si>
    <t xml:space="preserve">زاهدگیلانی</t>
  </si>
  <si>
    <t xml:space="preserve">زاهد گیلانی</t>
  </si>
  <si>
    <t xml:space="preserve">اسدی</t>
  </si>
  <si>
    <t xml:space="preserve">شهید اسدی</t>
  </si>
  <si>
    <t xml:space="preserve">صفا</t>
  </si>
  <si>
    <t xml:space="preserve">پرستار</t>
  </si>
  <si>
    <t xml:space="preserve">نبی اکرم</t>
  </si>
  <si>
    <t xml:space="preserve">تاکسیرانی</t>
  </si>
  <si>
    <t xml:space="preserve">صددستگاه</t>
  </si>
  <si>
    <t xml:space="preserve">صد دستگاه</t>
  </si>
  <si>
    <t xml:space="preserve">ابوذر</t>
  </si>
  <si>
    <t xml:space="preserve">شهدای گمنام</t>
  </si>
  <si>
    <t xml:space="preserve">حسین آباد دولاب</t>
  </si>
  <si>
    <t xml:space="preserve">گذر پایین دولاب</t>
  </si>
  <si>
    <t xml:space="preserve">صاحب الزمان</t>
  </si>
  <si>
    <t xml:space="preserve">دلگشا</t>
  </si>
  <si>
    <t xml:space="preserve">عارف</t>
  </si>
  <si>
    <t xml:space="preserve">قصرفیروزه</t>
  </si>
  <si>
    <t xml:space="preserve">چهارصددستگاه</t>
  </si>
  <si>
    <t xml:space="preserve">چهارصد دستگاه</t>
  </si>
  <si>
    <t xml:space="preserve">شکوفه</t>
  </si>
  <si>
    <t xml:space="preserve">سرآسیاب دولاب</t>
  </si>
  <si>
    <r>
      <rPr>
        <sz val="11"/>
        <rFont val="Noto Sans"/>
        <family val="2"/>
      </rPr>
      <t xml:space="preserve">آهنگران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سراسیاب دولاب</t>
    </r>
    <r>
      <rPr>
        <sz val="11"/>
        <rFont val="Tahoma"/>
        <family val="0"/>
        <charset val="1"/>
      </rPr>
      <t xml:space="preserve">)</t>
    </r>
  </si>
  <si>
    <t xml:space="preserve">مینا</t>
  </si>
  <si>
    <t xml:space="preserve">مینای جنوبی</t>
  </si>
  <si>
    <t xml:space="preserve">شیوا</t>
  </si>
  <si>
    <t xml:space="preserve">دولاب</t>
  </si>
  <si>
    <r>
      <rPr>
        <sz val="11"/>
        <rFont val="Noto Sans"/>
        <family val="2"/>
      </rPr>
      <t xml:space="preserve">اسلام آباد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والفجر</t>
    </r>
  </si>
  <si>
    <t xml:space="preserve">افسریه شمالی</t>
  </si>
  <si>
    <t xml:space="preserve">بروجردی</t>
  </si>
  <si>
    <t xml:space="preserve">کیان شهر شمالی</t>
  </si>
  <si>
    <t xml:space="preserve">کیانشهر</t>
  </si>
  <si>
    <t xml:space="preserve">کیان شهرجنوبی</t>
  </si>
  <si>
    <t xml:space="preserve">مسعودیه</t>
  </si>
  <si>
    <t xml:space="preserve">افسریه جنوبی</t>
  </si>
  <si>
    <t xml:space="preserve">مطهری</t>
  </si>
  <si>
    <t xml:space="preserve">مظاهری</t>
  </si>
  <si>
    <t xml:space="preserve">مشیریه</t>
  </si>
  <si>
    <t xml:space="preserve">طیب</t>
  </si>
  <si>
    <r>
      <rPr>
        <sz val="11"/>
        <rFont val="Noto Sans"/>
        <family val="2"/>
      </rPr>
      <t xml:space="preserve">ولیعصر</t>
    </r>
    <r>
      <rPr>
        <sz val="11"/>
        <rFont val="Tahoma"/>
        <family val="0"/>
        <charset val="1"/>
      </rPr>
      <t xml:space="preserve">- </t>
    </r>
    <r>
      <rPr>
        <sz val="11"/>
        <rFont val="Noto Sans"/>
        <family val="2"/>
      </rPr>
      <t xml:space="preserve">بی سیم</t>
    </r>
  </si>
  <si>
    <t xml:space="preserve">بیسیم</t>
  </si>
  <si>
    <t xml:space="preserve">هاشم آباد</t>
  </si>
  <si>
    <t xml:space="preserve">هاشم‌آباد</t>
  </si>
  <si>
    <t xml:space="preserve">مینابی</t>
  </si>
  <si>
    <t xml:space="preserve">رضویه</t>
  </si>
  <si>
    <t xml:space="preserve">شهرک رضویه</t>
  </si>
  <si>
    <t xml:space="preserve">اتابک</t>
  </si>
  <si>
    <t xml:space="preserve">شوش</t>
  </si>
  <si>
    <r>
      <rPr>
        <sz val="11"/>
        <rFont val="Noto Sans"/>
        <family val="2"/>
      </rPr>
      <t xml:space="preserve">شوش، شوش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باغ آذری</t>
    </r>
    <r>
      <rPr>
        <sz val="11"/>
        <rFont val="Tahoma"/>
        <family val="0"/>
        <charset val="1"/>
      </rPr>
      <t xml:space="preserve">)</t>
    </r>
  </si>
  <si>
    <t xml:space="preserve">شهرک ابوذر</t>
  </si>
  <si>
    <t xml:space="preserve">نازی آباد</t>
  </si>
  <si>
    <t xml:space="preserve">نازی‌آباد</t>
  </si>
  <si>
    <t xml:space="preserve">یاخچی آباد</t>
  </si>
  <si>
    <t xml:space="preserve">یاخجی آباد</t>
  </si>
  <si>
    <t xml:space="preserve">شهرک بعثت</t>
  </si>
  <si>
    <t xml:space="preserve">خزانه</t>
  </si>
  <si>
    <t xml:space="preserve">علی آباد جنوبی</t>
  </si>
  <si>
    <t xml:space="preserve">علی‌آباد</t>
  </si>
  <si>
    <t xml:space="preserve">علی آبادشمالی</t>
  </si>
  <si>
    <t xml:space="preserve">باغ آذری</t>
  </si>
  <si>
    <r>
      <rPr>
        <sz val="11"/>
        <rFont val="Noto Sans"/>
        <family val="2"/>
      </rPr>
      <t xml:space="preserve">شوش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باغ آذری</t>
    </r>
    <r>
      <rPr>
        <sz val="11"/>
        <rFont val="Tahoma"/>
        <family val="0"/>
        <charset val="1"/>
      </rPr>
      <t xml:space="preserve">)</t>
    </r>
  </si>
  <si>
    <t xml:space="preserve">ابوذرشرقی</t>
  </si>
  <si>
    <t xml:space="preserve">ابوذرغربی</t>
  </si>
  <si>
    <t xml:space="preserve">باغ خزانه</t>
  </si>
  <si>
    <t xml:space="preserve">گلچین</t>
  </si>
  <si>
    <t xml:space="preserve">بلورسازی</t>
  </si>
  <si>
    <t xml:space="preserve">سجاد</t>
  </si>
  <si>
    <t xml:space="preserve">آذری</t>
  </si>
  <si>
    <t xml:space="preserve">جلیلی</t>
  </si>
  <si>
    <t xml:space="preserve">مقدم</t>
  </si>
  <si>
    <t xml:space="preserve">یافت آباد</t>
  </si>
  <si>
    <t xml:space="preserve">یافت‌آباد</t>
  </si>
  <si>
    <t xml:space="preserve">امام زاده حسن</t>
  </si>
  <si>
    <t xml:space="preserve">زمزم</t>
  </si>
  <si>
    <t xml:space="preserve">زهتابی</t>
  </si>
  <si>
    <t xml:space="preserve">وصفنارد</t>
  </si>
  <si>
    <t xml:space="preserve">شمس آباد</t>
  </si>
  <si>
    <t xml:space="preserve">شمس‌آباد</t>
  </si>
  <si>
    <t xml:space="preserve">تولید دارو</t>
  </si>
  <si>
    <t xml:space="preserve">بهداشت</t>
  </si>
  <si>
    <t xml:space="preserve">خلیج فارس شمالی</t>
  </si>
  <si>
    <t xml:space="preserve">خلیج فارس</t>
  </si>
  <si>
    <t xml:space="preserve">خلیج فارس جنوبی</t>
  </si>
  <si>
    <r>
      <rPr>
        <sz val="11"/>
        <rFont val="Noto Sans"/>
        <family val="2"/>
      </rPr>
      <t xml:space="preserve">شهرک فردوس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حسینی</t>
    </r>
    <r>
      <rPr>
        <sz val="11"/>
        <rFont val="Tahoma"/>
        <family val="0"/>
        <charset val="1"/>
      </rPr>
      <t xml:space="preserve">)</t>
    </r>
  </si>
  <si>
    <t xml:space="preserve">هفده شهریور</t>
  </si>
  <si>
    <t xml:space="preserve">نوروزآباد</t>
  </si>
  <si>
    <t xml:space="preserve">امام خمینی</t>
  </si>
  <si>
    <t xml:space="preserve">شاد آباد</t>
  </si>
  <si>
    <t xml:space="preserve">شادآباد</t>
  </si>
  <si>
    <t xml:space="preserve">ولی عصر شمالی</t>
  </si>
  <si>
    <t xml:space="preserve">شهرک ولیعصر جنوبی</t>
  </si>
  <si>
    <t xml:space="preserve">ولی عصر جنوبی</t>
  </si>
  <si>
    <t xml:space="preserve">شهید رجایی</t>
  </si>
  <si>
    <t xml:space="preserve">یافت آباد شمالی</t>
  </si>
  <si>
    <t xml:space="preserve">سعید آباد</t>
  </si>
  <si>
    <t xml:space="preserve">سعیدآباد</t>
  </si>
  <si>
    <t xml:space="preserve">یافت آباد جنوبی</t>
  </si>
  <si>
    <t xml:space="preserve">خانی آباد جنوبی</t>
  </si>
  <si>
    <t xml:space="preserve">خانی آباد نو جنوبی</t>
  </si>
  <si>
    <t xml:space="preserve">بهمنیار</t>
  </si>
  <si>
    <t xml:space="preserve">بهمن یار</t>
  </si>
  <si>
    <t xml:space="preserve">شکوفه جنوبی</t>
  </si>
  <si>
    <t xml:space="preserve">شکوفه شمالی</t>
  </si>
  <si>
    <t xml:space="preserve">شریعتی جنوبی</t>
  </si>
  <si>
    <t xml:space="preserve">شهرک شریعتی</t>
  </si>
  <si>
    <t xml:space="preserve">شریعتی شمالی</t>
  </si>
  <si>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اسفندیاری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بستان</t>
    </r>
  </si>
  <si>
    <t xml:space="preserve">اسفندیاری</t>
  </si>
  <si>
    <t xml:space="preserve">شهید کاظمی</t>
  </si>
  <si>
    <t xml:space="preserve">اسماعیل آباد</t>
  </si>
  <si>
    <t xml:space="preserve">بوستان ولایت</t>
  </si>
  <si>
    <t xml:space="preserve">خانی آباد شمالی</t>
  </si>
  <si>
    <t xml:space="preserve">خانی‌آباد</t>
  </si>
  <si>
    <t xml:space="preserve">دولتخواه جنوبی</t>
  </si>
  <si>
    <t xml:space="preserve">دولتخواه شمالی</t>
  </si>
  <si>
    <t xml:space="preserve">نعمت آباد</t>
  </si>
  <si>
    <t xml:space="preserve">نعمت‌آباد</t>
  </si>
  <si>
    <t xml:space="preserve">اقدسیه</t>
  </si>
  <si>
    <t xml:space="preserve">دولت آباد</t>
  </si>
  <si>
    <t xml:space="preserve">شهادت</t>
  </si>
  <si>
    <t xml:space="preserve">سیزده آبان</t>
  </si>
  <si>
    <t xml:space="preserve">دیلمان</t>
  </si>
  <si>
    <t xml:space="preserve">فیروزآبادی</t>
  </si>
  <si>
    <t xml:space="preserve">ظهیرآباد</t>
  </si>
  <si>
    <t xml:space="preserve">جوانمرد قصاب</t>
  </si>
  <si>
    <t xml:space="preserve">حمزه آباد</t>
  </si>
  <si>
    <t xml:space="preserve">منصوریه منگل</t>
  </si>
  <si>
    <t xml:space="preserve">ولی آباد</t>
  </si>
  <si>
    <t xml:space="preserve">صفائیه</t>
  </si>
  <si>
    <t xml:space="preserve">ابن بابویه</t>
  </si>
  <si>
    <t xml:space="preserve">تقی آباد</t>
  </si>
  <si>
    <t xml:space="preserve">سرتخت</t>
  </si>
  <si>
    <t xml:space="preserve">علائین</t>
  </si>
  <si>
    <t xml:space="preserve">استخر</t>
  </si>
  <si>
    <t xml:space="preserve">نفرآباد، هاشم آباد</t>
  </si>
  <si>
    <t xml:space="preserve">شهرک پاسداران</t>
  </si>
  <si>
    <t xml:space="preserve">شهرک دریا</t>
  </si>
  <si>
    <t xml:space="preserve">ویلاشهر</t>
  </si>
  <si>
    <r>
      <rPr>
        <sz val="11"/>
        <rFont val="Noto Sans"/>
        <family val="2"/>
      </rPr>
      <t xml:space="preserve">شهرک فرهنگیان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آزادی</t>
    </r>
  </si>
  <si>
    <t xml:space="preserve">شهرک فرهنگیان، شهرک آزادی</t>
  </si>
  <si>
    <t xml:space="preserve">باشگاه نفت</t>
  </si>
  <si>
    <t xml:space="preserve">شهرک شهرداری</t>
  </si>
  <si>
    <t xml:space="preserve">چیتگر شمالی</t>
  </si>
  <si>
    <t xml:space="preserve">شهرک چیتگر</t>
  </si>
  <si>
    <t xml:space="preserve">تهرانسر غربی</t>
  </si>
  <si>
    <t xml:space="preserve">تهرانسر شرقی</t>
  </si>
  <si>
    <t xml:space="preserve">وردآورد</t>
  </si>
  <si>
    <t xml:space="preserve">چیتگر جنوبی</t>
  </si>
  <si>
    <t xml:space="preserve">شهرک غزالی</t>
  </si>
  <si>
    <t xml:space="preserve">شهرک استقلال</t>
  </si>
  <si>
    <t xml:space="preserve">صدرا</t>
  </si>
  <si>
    <t xml:space="preserve">شهرک صدرا</t>
  </si>
  <si>
    <t xml:space="preserve">کوهک</t>
  </si>
  <si>
    <t xml:space="preserve">دریاچه شهدای خلیج فارس</t>
  </si>
  <si>
    <t xml:space="preserve">زیبادشت</t>
  </si>
  <si>
    <t xml:space="preserve">دهکده المپیک</t>
  </si>
  <si>
    <t xml:space="preserve">گلستان</t>
  </si>
  <si>
    <t xml:space="preserve">قائم</t>
  </si>
  <si>
    <t xml:space="preserve">سرو آزاد</t>
  </si>
  <si>
    <t xml:space="preserve">شریف</t>
  </si>
  <si>
    <t xml:space="preserve">شهرک دانشگاه شریف، دانشگاه شریف</t>
  </si>
  <si>
    <t xml:space="preserve">هوانیروز</t>
  </si>
  <si>
    <t xml:space="preserve">شهید باقری</t>
  </si>
  <si>
    <t xml:space="preserve">شهرک شهید باقری</t>
  </si>
  <si>
    <r>
      <rPr>
        <b val="true"/>
        <sz val="11"/>
        <color rgb="FFFFFFFF"/>
        <rFont val="Noto Sans"/>
        <family val="2"/>
      </rPr>
      <t xml:space="preserve">جمعیت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مجموع محلات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</si>
  <si>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سهم دانش‌آموختگان دانشگاهی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سرشماری ۱۳۹۰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</si>
  <si>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میانگین وزنی برآورد محلات ٪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کنترل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</si>
  <si>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تعداد برآوردی دانش‌آموختگان</t>
  </si>
  <si>
    <t xml:space="preserve">کمترین برآورد محله ٪</t>
  </si>
  <si>
    <t xml:space="preserve">بیشترین برآورد محله ٪</t>
  </si>
  <si>
    <t xml:space="preserve">مردان دانشگاهی ٪</t>
  </si>
  <si>
    <t xml:space="preserve">زنان دانشگاهی ٪</t>
  </si>
  <si>
    <t xml:space="preserve">باسوادی ۳۰–۵۹ ٪</t>
  </si>
  <si>
    <r>
      <rPr>
        <b val="true"/>
        <sz val="11"/>
        <color rgb="FFFFFFFF"/>
        <rFont val="Noto Sans"/>
        <family val="2"/>
      </rPr>
      <t xml:space="preserve">باسوادی ۶۰</t>
    </r>
    <r>
      <rPr>
        <b val="true"/>
        <sz val="11"/>
        <color rgb="FFFFFFFF"/>
        <rFont val="Tahoma"/>
        <family val="0"/>
        <charset val="1"/>
      </rPr>
      <t xml:space="preserve">+ </t>
    </r>
    <r>
      <rPr>
        <b val="true"/>
        <sz val="11"/>
        <color rgb="FFFFFFFF"/>
        <rFont val="Noto Sans"/>
        <family val="2"/>
      </rPr>
      <t xml:space="preserve">٪</t>
    </r>
  </si>
  <si>
    <t xml:space="preserve">اینترنت ٪</t>
  </si>
  <si>
    <r>
      <rPr>
        <b val="true"/>
        <sz val="11"/>
        <color rgb="FFFFFFFF"/>
        <rFont val="Noto Sans"/>
        <family val="2"/>
      </rPr>
      <t xml:space="preserve">میانگین لگاریتم قیمت هر متر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تومان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</si>
  <si>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2"/>
      </rPr>
      <t xml:space="preserve">قیمت متناظر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میلیون تومان</t>
    </r>
    <r>
      <rPr>
        <b val="true"/>
        <sz val="11"/>
        <color rgb="FFFFFFFF"/>
        <rFont val="Tahoma"/>
        <family val="0"/>
        <charset val="1"/>
      </rPr>
      <t xml:space="preserve">/</t>
    </r>
    <r>
      <rPr>
        <b val="true"/>
        <sz val="11"/>
        <color rgb="FFFFFFFF"/>
        <rFont val="Noto Sans"/>
        <family val="2"/>
      </rPr>
      <t xml:space="preserve">متر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</si>
  <si>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پوشش جمعیتی محلات دارای داده قیمت ٪</t>
  </si>
  <si>
    <t xml:space="preserve">پیش‌بینی مدل از قیمت ٪</t>
  </si>
  <si>
    <r>
      <rPr>
        <b val="true"/>
        <sz val="11"/>
        <color rgb="FFFFFFFF"/>
        <rFont val="Noto Sans"/>
        <family val="2"/>
      </rPr>
      <t xml:space="preserve">خطای مدل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واحد درصد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</si>
  <si>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کل شهر</t>
  </si>
  <si>
    <r>
      <rPr>
        <b val="true"/>
        <sz val="14"/>
        <rFont val="Noto Sans"/>
        <family val="2"/>
      </rPr>
      <t xml:space="preserve">مدل برآورد کوچک‌ناحیه‌ای</t>
    </r>
    <r>
      <rPr>
        <b val="true"/>
        <sz val="14"/>
        <rFont val="Tahoma"/>
        <family val="0"/>
        <charset val="1"/>
      </rPr>
      <t xml:space="preserve">: logit(</t>
    </r>
    <r>
      <rPr>
        <b val="true"/>
        <sz val="14"/>
        <rFont val="Noto Sans"/>
        <family val="2"/>
      </rPr>
      <t xml:space="preserve">شاخص</t>
    </r>
    <r>
      <rPr>
        <b val="true"/>
        <sz val="14"/>
        <rFont val="Tahoma"/>
        <family val="0"/>
        <charset val="1"/>
      </rPr>
      <t xml:space="preserve">) = a + b × ln(</t>
    </r>
    <r>
      <rPr>
        <b val="true"/>
        <sz val="14"/>
        <rFont val="Noto Sans"/>
        <family val="2"/>
      </rPr>
      <t xml:space="preserve">قیمت هر متر</t>
    </r>
    <r>
      <rPr>
        <b val="true"/>
        <sz val="14"/>
        <rFont val="Tahoma"/>
        <family val="0"/>
        <charset val="1"/>
      </rPr>
      <t xml:space="preserve">)</t>
    </r>
  </si>
  <si>
    <t xml:space="preserve">شاخص</t>
  </si>
  <si>
    <r>
      <rPr>
        <b val="true"/>
        <sz val="11"/>
        <color rgb="FFFFFFFF"/>
        <rFont val="Noto Sans"/>
        <family val="2"/>
      </rPr>
      <t xml:space="preserve">عرض از مبدأ </t>
    </r>
    <r>
      <rPr>
        <b val="true"/>
        <sz val="11"/>
        <color rgb="FFFFFFFF"/>
        <rFont val="Tahoma"/>
        <family val="0"/>
        <charset val="1"/>
      </rPr>
      <t xml:space="preserve">a</t>
    </r>
  </si>
  <si>
    <r>
      <rPr>
        <b val="true"/>
        <sz val="11"/>
        <color rgb="FFFFFFFF"/>
        <rFont val="Noto Sans"/>
        <family val="2"/>
      </rPr>
      <t xml:space="preserve">شیب </t>
    </r>
    <r>
      <rPr>
        <b val="true"/>
        <sz val="11"/>
        <color rgb="FFFFFFFF"/>
        <rFont val="Tahoma"/>
        <family val="0"/>
        <charset val="1"/>
      </rPr>
      <t xml:space="preserve">b</t>
    </r>
  </si>
  <si>
    <r>
      <rPr>
        <b val="true"/>
        <sz val="11"/>
        <color rgb="FFFFFFFF"/>
        <rFont val="Noto Sans"/>
        <family val="2"/>
      </rPr>
      <t xml:space="preserve">خطای معیار </t>
    </r>
    <r>
      <rPr>
        <b val="true"/>
        <sz val="11"/>
        <color rgb="FFFFFFFF"/>
        <rFont val="Tahoma"/>
        <family val="0"/>
        <charset val="1"/>
      </rPr>
      <t xml:space="preserve">b</t>
    </r>
  </si>
  <si>
    <r>
      <rPr>
        <b val="true"/>
        <sz val="11"/>
        <color rgb="FFFFFFFF"/>
        <rFont val="Tahoma"/>
        <family val="0"/>
        <charset val="1"/>
      </rPr>
      <t xml:space="preserve">R² (</t>
    </r>
    <r>
      <rPr>
        <b val="true"/>
        <sz val="11"/>
        <color rgb="FFFFFFFF"/>
        <rFont val="Noto Sans"/>
        <family val="2"/>
      </rPr>
      <t xml:space="preserve">۲۲ منطقه، مقیاس لوجیت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</si>
  <si>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همبستگی پیرسون با قیمت</t>
  </si>
  <si>
    <r>
      <rPr>
        <b val="true"/>
        <sz val="11"/>
        <color rgb="FFFFFFFF"/>
        <rFont val="Noto Sans"/>
        <family val="2"/>
      </rPr>
      <t xml:space="preserve">میانگین خطای مطلق اعتبارسنجی حذف‌یک‌منطقه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واحد درصد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</si>
  <si>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Tahoma"/>
        <family val="0"/>
        <charset val="1"/>
      </rPr>
      <t xml:space="preserve">RMSE </t>
    </r>
    <r>
      <rPr>
        <b val="true"/>
        <sz val="11"/>
        <color rgb="FFFFFFFF"/>
        <rFont val="Noto Sans"/>
        <family val="2"/>
      </rPr>
      <t xml:space="preserve">حذف‌یک‌منطقه</t>
    </r>
  </si>
  <si>
    <t xml:space="preserve">باسوادی ۳۰ تا ۵۹ سال</t>
  </si>
  <si>
    <t xml:space="preserve">باسوادی ۶۰ سال و بالاتر</t>
  </si>
  <si>
    <t xml:space="preserve">سهم دانش‌آموختگان دانشگاهی از کل جمعیت</t>
  </si>
  <si>
    <t xml:space="preserve">مردان دارای تحصیلات دانشگاهی</t>
  </si>
  <si>
    <t xml:space="preserve">زنان دارای تحصیلات دانشگاهی</t>
  </si>
  <si>
    <t xml:space="preserve">استفاده از اینترنت</t>
  </si>
  <si>
    <r>
      <rPr>
        <sz val="11"/>
        <rFont val="Noto Sans"/>
        <family val="2"/>
      </rPr>
      <t xml:space="preserve">واریانس بین‌محله‌ای لگاریتم قیمت درون مناطق </t>
    </r>
    <r>
      <rPr>
        <sz val="11"/>
        <rFont val="Tahoma"/>
        <family val="0"/>
        <charset val="1"/>
      </rPr>
      <t xml:space="preserve">(τ²) = 0.0636 </t>
    </r>
    <r>
      <rPr>
        <sz val="11"/>
        <rFont val="Noto Sans"/>
        <family val="2"/>
      </rPr>
      <t xml:space="preserve">؛ میانه واریانس درون‌محله‌ای آگهی‌ها </t>
    </r>
    <r>
      <rPr>
        <sz val="11"/>
        <rFont val="Tahoma"/>
        <family val="0"/>
        <charset val="1"/>
      </rPr>
      <t xml:space="preserve">= 0.0524</t>
    </r>
  </si>
  <si>
    <r>
      <rPr>
        <sz val="11"/>
        <rFont val="Noto Sans"/>
        <family val="2"/>
      </rPr>
      <t xml:space="preserve">وزن اعتماد محله </t>
    </r>
    <r>
      <rPr>
        <sz val="11"/>
        <rFont val="Tahoma"/>
        <family val="0"/>
        <charset val="1"/>
      </rPr>
      <t xml:space="preserve">= τ² / (τ² + s²/n) </t>
    </r>
    <r>
      <rPr>
        <sz val="11"/>
        <rFont val="Noto Sans"/>
        <family val="2"/>
      </rPr>
      <t xml:space="preserve">؛ لگاریتم قیمت محله به سمت میانگین منطقه منقبض می‌شود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برآورد بیزی تجربی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تا محلات کم‌آگهی نوسان کاذب نداشته باشند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</si>
  <si>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گام ۱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برای هر شاخص، رابطه لوجیت شاخص با لگاریتم قیمت در سطح ۲۲ منطقه برازش شد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ستون‌های بالا</t>
    </r>
    <r>
      <rPr>
        <sz val="11"/>
        <rFont val="Tahoma"/>
        <family val="0"/>
        <charset val="1"/>
      </rPr>
      <t xml:space="preserve">).</t>
    </r>
  </si>
  <si>
    <r>
      <rPr>
        <sz val="11"/>
        <rFont val="Noto Sans"/>
        <family val="2"/>
      </rPr>
      <t xml:space="preserve">گام ۲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برای هر محله</t>
    </r>
    <r>
      <rPr>
        <sz val="11"/>
        <rFont val="Tahoma"/>
        <family val="0"/>
        <charset val="1"/>
      </rPr>
      <t xml:space="preserve">: logit(p </t>
    </r>
    <r>
      <rPr>
        <sz val="11"/>
        <rFont val="Noto Sans"/>
        <family val="2"/>
      </rPr>
      <t xml:space="preserve">محله</t>
    </r>
    <r>
      <rPr>
        <sz val="11"/>
        <rFont val="Tahoma"/>
        <family val="0"/>
        <charset val="1"/>
      </rPr>
      <t xml:space="preserve">) = logit(p </t>
    </r>
    <r>
      <rPr>
        <sz val="11"/>
        <rFont val="Noto Sans"/>
        <family val="2"/>
      </rPr>
      <t xml:space="preserve">منطقه</t>
    </r>
    <r>
      <rPr>
        <sz val="11"/>
        <rFont val="Tahoma"/>
        <family val="0"/>
        <charset val="1"/>
      </rPr>
      <t xml:space="preserve">) + c </t>
    </r>
    <r>
      <rPr>
        <sz val="11"/>
        <rFont val="Noto Sans"/>
        <family val="2"/>
      </rPr>
      <t xml:space="preserve">منطقه </t>
    </r>
    <r>
      <rPr>
        <sz val="11"/>
        <rFont val="Tahoma"/>
        <family val="0"/>
        <charset val="1"/>
      </rPr>
      <t xml:space="preserve">+ b × (</t>
    </r>
    <r>
      <rPr>
        <sz val="11"/>
        <rFont val="Noto Sans"/>
        <family val="2"/>
      </rPr>
      <t xml:space="preserve">لگاریتم قیمت منقبض‌شده محله − میانگین وزنی منطقه</t>
    </r>
    <r>
      <rPr>
        <sz val="11"/>
        <rFont val="Tahoma"/>
        <family val="0"/>
        <charset val="1"/>
      </rPr>
      <t xml:space="preserve">).</t>
    </r>
  </si>
  <si>
    <r>
      <rPr>
        <sz val="11"/>
        <rFont val="Noto Sans"/>
        <family val="2"/>
      </rPr>
      <t xml:space="preserve">گام ۳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ثابت </t>
    </r>
    <r>
      <rPr>
        <sz val="11"/>
        <rFont val="Tahoma"/>
        <family val="0"/>
        <charset val="1"/>
      </rPr>
      <t xml:space="preserve">c </t>
    </r>
    <r>
      <rPr>
        <sz val="11"/>
        <rFont val="Noto Sans"/>
        <family val="2"/>
      </rPr>
      <t xml:space="preserve">برای هر منطقه با روش دوبخشی طوری تعیین شد که میانگین وزنی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جمعیتی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برآورد محلات دقیقاً برابر رقم سرشماری همان منطقه شود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ستون </t>
    </r>
    <r>
      <rPr>
        <sz val="11"/>
        <rFont val="Tahoma"/>
        <family val="0"/>
        <charset val="1"/>
      </rPr>
      <t xml:space="preserve">E </t>
    </r>
    <r>
      <rPr>
        <sz val="11"/>
        <rFont val="Noto Sans"/>
        <family val="2"/>
      </rPr>
      <t xml:space="preserve">شیت مناطق را با </t>
    </r>
    <r>
      <rPr>
        <sz val="11"/>
        <rFont val="Tahoma"/>
        <family val="0"/>
        <charset val="1"/>
      </rPr>
      <t xml:space="preserve">D </t>
    </r>
    <r>
      <rPr>
        <sz val="11"/>
        <rFont val="Noto Sans"/>
        <family val="2"/>
      </rPr>
      <t xml:space="preserve">مقایسه کنید</t>
    </r>
    <r>
      <rPr>
        <sz val="11"/>
        <rFont val="Tahoma"/>
        <family val="0"/>
        <charset val="1"/>
      </rPr>
      <t xml:space="preserve">).</t>
    </r>
  </si>
  <si>
    <r>
      <rPr>
        <sz val="11"/>
        <rFont val="Noto Sans"/>
        <family val="2"/>
      </rPr>
      <t xml:space="preserve">گام ۴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محلات بدون داده قیمت، مقدار پایه منطقه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پس از کالیبراسیون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را می‌گیرند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بازه پایین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بالا با شیب </t>
    </r>
    <r>
      <rPr>
        <sz val="11"/>
        <rFont val="Tahoma"/>
        <family val="0"/>
        <charset val="1"/>
      </rPr>
      <t xml:space="preserve">b ± </t>
    </r>
    <r>
      <rPr>
        <sz val="11"/>
        <rFont val="Noto Sans"/>
        <family val="2"/>
      </rPr>
      <t xml:space="preserve">۱٫۹۶ خطای معیار محاسبه شده است</t>
    </r>
    <r>
      <rPr>
        <sz val="11"/>
        <rFont val="Tahoma"/>
        <family val="0"/>
        <charset val="1"/>
      </rPr>
      <t xml:space="preserve">.</t>
    </r>
  </si>
  <si>
    <r>
      <rPr>
        <sz val="11"/>
        <rFont val="Noto Sans"/>
        <family val="2"/>
      </rPr>
      <t xml:space="preserve">محدودیت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شیب </t>
    </r>
    <r>
      <rPr>
        <sz val="11"/>
        <rFont val="Tahoma"/>
        <family val="0"/>
        <charset val="1"/>
      </rPr>
      <t xml:space="preserve">b </t>
    </r>
    <r>
      <rPr>
        <sz val="11"/>
        <rFont val="Noto Sans"/>
        <family val="2"/>
      </rPr>
      <t xml:space="preserve">از تفاوت میان مناطق برآورد شده و فرض شده درون مناطق نیز برقرار است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خطر خطای اکولوژیک</t>
    </r>
    <r>
      <rPr>
        <sz val="11"/>
        <rFont val="Tahoma"/>
        <family val="0"/>
        <charset val="1"/>
      </rPr>
      <t xml:space="preserve">). </t>
    </r>
    <r>
      <rPr>
        <sz val="11"/>
        <rFont val="Noto Sans"/>
        <family val="2"/>
      </rPr>
      <t xml:space="preserve">این برآورد است، نه داده اندازه‌گیری‌شده سرشماری در سطح محله</t>
    </r>
    <r>
      <rPr>
        <sz val="11"/>
        <rFont val="Tahoma"/>
        <family val="0"/>
        <charset val="1"/>
      </rPr>
      <t xml:space="preserve">.</t>
    </r>
  </si>
  <si>
    <t xml:space="preserve">کد محله در دیوار</t>
  </si>
  <si>
    <t xml:space="preserve">نام محله در دیوار</t>
  </si>
  <si>
    <r>
      <rPr>
        <b val="true"/>
        <sz val="11"/>
        <color rgb="FFFFFFFF"/>
        <rFont val="Noto Sans"/>
        <family val="2"/>
      </rPr>
      <t xml:space="preserve">قیمت میانه هر متر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میلیون تومان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</si>
  <si>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چارک اول</t>
  </si>
  <si>
    <t xml:space="preserve">چارک سوم</t>
  </si>
  <si>
    <t xml:space="preserve">انحراف معیار لگاریتم قیمت</t>
  </si>
  <si>
    <t xml:space="preserve">الهیه</t>
  </si>
  <si>
    <t xml:space="preserve">کامرانیه</t>
  </si>
  <si>
    <t xml:space="preserve">شهرک غرب</t>
  </si>
  <si>
    <t xml:space="preserve">آجودانیه</t>
  </si>
  <si>
    <t xml:space="preserve">پردیسان</t>
  </si>
  <si>
    <t xml:space="preserve">هزارسنگ</t>
  </si>
  <si>
    <t xml:space="preserve">میرداماد</t>
  </si>
  <si>
    <t xml:space="preserve">ده‌ونک</t>
  </si>
  <si>
    <t xml:space="preserve">ظفر</t>
  </si>
  <si>
    <t xml:space="preserve">درختی</t>
  </si>
  <si>
    <t xml:space="preserve">جردن</t>
  </si>
  <si>
    <t xml:space="preserve">هروی</t>
  </si>
  <si>
    <t xml:space="preserve">شیراز</t>
  </si>
  <si>
    <t xml:space="preserve">زرگنده</t>
  </si>
  <si>
    <r>
      <rPr>
        <sz val="11"/>
        <rFont val="Noto Sans"/>
        <family val="2"/>
      </rPr>
      <t xml:space="preserve">سید خندان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جلفا</t>
    </r>
    <r>
      <rPr>
        <sz val="11"/>
        <rFont val="Tahoma"/>
        <family val="0"/>
        <charset val="1"/>
      </rPr>
      <t xml:space="preserve">)</t>
    </r>
  </si>
  <si>
    <t xml:space="preserve">آرژانتین</t>
  </si>
  <si>
    <t xml:space="preserve">شهرک امید</t>
  </si>
  <si>
    <t xml:space="preserve">قزل قلعه</t>
  </si>
  <si>
    <t xml:space="preserve">بوستان شیان</t>
  </si>
  <si>
    <t xml:space="preserve">بنی‌هاشم</t>
  </si>
  <si>
    <t xml:space="preserve">دریان‌نو</t>
  </si>
  <si>
    <t xml:space="preserve">گاندی</t>
  </si>
  <si>
    <t xml:space="preserve">لویزان</t>
  </si>
  <si>
    <t xml:space="preserve">نصرت</t>
  </si>
  <si>
    <t xml:space="preserve">شادمان</t>
  </si>
  <si>
    <t xml:space="preserve">دانشگاه شریف</t>
  </si>
  <si>
    <t xml:space="preserve">ائمه اطهار</t>
  </si>
  <si>
    <t xml:space="preserve">نارمک جنوبی</t>
  </si>
  <si>
    <t xml:space="preserve">تهران‌نو</t>
  </si>
  <si>
    <t xml:space="preserve">نجات اللهی</t>
  </si>
  <si>
    <r>
      <rPr>
        <sz val="11"/>
        <rFont val="Noto Sans"/>
        <family val="2"/>
      </rPr>
      <t xml:space="preserve">آبشار تهران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دریاچه</t>
    </r>
    <r>
      <rPr>
        <sz val="11"/>
        <rFont val="Tahoma"/>
        <family val="0"/>
        <charset val="1"/>
      </rPr>
      <t xml:space="preserve">)</t>
    </r>
  </si>
  <si>
    <t xml:space="preserve">آهنگ</t>
  </si>
  <si>
    <t xml:space="preserve">شهرک آزادی</t>
  </si>
  <si>
    <t xml:space="preserve">آذربایجان</t>
  </si>
  <si>
    <t xml:space="preserve">شهرک فرهنگیان</t>
  </si>
  <si>
    <t xml:space="preserve">شهرک دانشگاه شریف</t>
  </si>
  <si>
    <t xml:space="preserve">اتحاد</t>
  </si>
  <si>
    <t xml:space="preserve">شارق</t>
  </si>
  <si>
    <t xml:space="preserve">شهرک انصار</t>
  </si>
  <si>
    <t xml:space="preserve">گرگان</t>
  </si>
  <si>
    <t xml:space="preserve">شکیبا</t>
  </si>
  <si>
    <t xml:space="preserve">امام حسین</t>
  </si>
  <si>
    <t xml:space="preserve">جیحون</t>
  </si>
  <si>
    <t xml:space="preserve">شهمیرزادی</t>
  </si>
  <si>
    <t xml:space="preserve">مهرآباد</t>
  </si>
  <si>
    <t xml:space="preserve">جابری</t>
  </si>
  <si>
    <t xml:space="preserve">نیکنام</t>
  </si>
  <si>
    <t xml:space="preserve">حسن‌آباد</t>
  </si>
  <si>
    <t xml:space="preserve">خرمشهر</t>
  </si>
  <si>
    <t xml:space="preserve">فلاح</t>
  </si>
  <si>
    <t xml:space="preserve">خاوران</t>
  </si>
  <si>
    <t xml:space="preserve">شهرک طالقانی</t>
  </si>
  <si>
    <t xml:space="preserve">گمرک</t>
  </si>
  <si>
    <t xml:space="preserve">مسگرآباد</t>
  </si>
  <si>
    <t xml:space="preserve">شهرک دانشگاه</t>
  </si>
  <si>
    <t xml:space="preserve">شهرک شریفی</t>
  </si>
  <si>
    <t xml:space="preserve">عبدل‌آباد</t>
  </si>
  <si>
    <t xml:space="preserve">خاک سفید</t>
  </si>
  <si>
    <t xml:space="preserve">مولوی</t>
  </si>
  <si>
    <t xml:space="preserve">امین حضور</t>
  </si>
  <si>
    <t xml:space="preserve">سیروس</t>
  </si>
  <si>
    <t xml:space="preserve">شهرک آسمان</t>
  </si>
  <si>
    <t xml:space="preserve">شهرک امام خمینی</t>
  </si>
  <si>
    <t xml:space="preserve">قصر فیروزه ۲</t>
  </si>
  <si>
    <t xml:space="preserve">محله شهرداری</t>
  </si>
  <si>
    <r>
      <rPr>
        <b val="true"/>
        <sz val="11"/>
        <color rgb="FFFFFFFF"/>
        <rFont val="Noto Sans"/>
        <family val="2"/>
      </rPr>
      <t xml:space="preserve">کد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های</t>
    </r>
    <r>
      <rPr>
        <b val="true"/>
        <sz val="11"/>
        <color rgb="FFFFFFFF"/>
        <rFont val="Tahoma"/>
        <family val="0"/>
        <charset val="1"/>
      </rPr>
      <t xml:space="preserve">) </t>
    </r>
    <r>
      <rPr>
        <b val="true"/>
        <sz val="11"/>
        <color rgb="FFFFFFFF"/>
        <rFont val="Noto Sans"/>
        <family val="2"/>
      </rPr>
      <t xml:space="preserve">دیوار</t>
    </r>
  </si>
  <si>
    <r>
      <rPr>
        <b val="true"/>
        <sz val="11"/>
        <color rgb="FFFFFFFF"/>
        <rFont val="Noto Sans"/>
        <family val="2"/>
      </rPr>
      <t xml:space="preserve">نام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"/>
        <family val="2"/>
      </rPr>
      <t xml:space="preserve">های</t>
    </r>
    <r>
      <rPr>
        <b val="true"/>
        <sz val="11"/>
        <color rgb="FFFFFFFF"/>
        <rFont val="Tahoma"/>
        <family val="0"/>
        <charset val="1"/>
      </rPr>
      <t xml:space="preserve">) </t>
    </r>
    <r>
      <rPr>
        <b val="true"/>
        <sz val="11"/>
        <color rgb="FFFFFFFF"/>
        <rFont val="Noto Sans"/>
        <family val="2"/>
      </rPr>
      <t xml:space="preserve">دیوار</t>
    </r>
  </si>
  <si>
    <t xml:space="preserve">تعداد آگهی</t>
  </si>
  <si>
    <t xml:space="preserve">53</t>
  </si>
  <si>
    <t xml:space="preserve">45</t>
  </si>
  <si>
    <t xml:space="preserve">57</t>
  </si>
  <si>
    <t xml:space="preserve">930</t>
  </si>
  <si>
    <t xml:space="preserve">61</t>
  </si>
  <si>
    <t xml:space="preserve">44</t>
  </si>
  <si>
    <t xml:space="preserve">942</t>
  </si>
  <si>
    <t xml:space="preserve">931</t>
  </si>
  <si>
    <t xml:space="preserve">47</t>
  </si>
  <si>
    <t xml:space="preserve">50</t>
  </si>
  <si>
    <t xml:space="preserve">54</t>
  </si>
  <si>
    <t xml:space="preserve">58</t>
  </si>
  <si>
    <t xml:space="preserve">66</t>
  </si>
  <si>
    <t xml:space="preserve">56</t>
  </si>
  <si>
    <t xml:space="preserve">52</t>
  </si>
  <si>
    <t xml:space="preserve">51</t>
  </si>
  <si>
    <t xml:space="preserve">49</t>
  </si>
  <si>
    <t xml:space="preserve">64</t>
  </si>
  <si>
    <t xml:space="preserve">65</t>
  </si>
  <si>
    <t xml:space="preserve">60</t>
  </si>
  <si>
    <t xml:space="preserve">42</t>
  </si>
  <si>
    <t xml:space="preserve">55</t>
  </si>
  <si>
    <t xml:space="preserve">63</t>
  </si>
  <si>
    <t xml:space="preserve">43</t>
  </si>
  <si>
    <t xml:space="preserve">46</t>
  </si>
  <si>
    <r>
      <rPr>
        <sz val="11"/>
        <rFont val="Tahoma"/>
        <family val="0"/>
        <charset val="1"/>
      </rPr>
      <t xml:space="preserve">180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925</t>
    </r>
  </si>
  <si>
    <t xml:space="preserve">شهرک آسمان، آسمان</t>
  </si>
  <si>
    <t xml:space="preserve">927</t>
  </si>
  <si>
    <t xml:space="preserve">205</t>
  </si>
  <si>
    <t xml:space="preserve">201</t>
  </si>
  <si>
    <t xml:space="preserve">203</t>
  </si>
  <si>
    <t xml:space="preserve">929</t>
  </si>
  <si>
    <t xml:space="preserve">75</t>
  </si>
  <si>
    <t xml:space="preserve">202</t>
  </si>
  <si>
    <t xml:space="preserve">172</t>
  </si>
  <si>
    <t xml:space="preserve">171</t>
  </si>
  <si>
    <t xml:space="preserve">923</t>
  </si>
  <si>
    <t xml:space="preserve">59</t>
  </si>
  <si>
    <t xml:space="preserve">139</t>
  </si>
  <si>
    <t xml:space="preserve">922</t>
  </si>
  <si>
    <t xml:space="preserve">82</t>
  </si>
  <si>
    <t xml:space="preserve">88</t>
  </si>
  <si>
    <t xml:space="preserve">87</t>
  </si>
  <si>
    <t xml:space="preserve">68</t>
  </si>
  <si>
    <t xml:space="preserve">360</t>
  </si>
  <si>
    <r>
      <rPr>
        <sz val="11"/>
        <rFont val="Tahoma"/>
        <family val="0"/>
        <charset val="1"/>
      </rPr>
      <t xml:space="preserve">99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84</t>
    </r>
  </si>
  <si>
    <t xml:space="preserve">940</t>
  </si>
  <si>
    <t xml:space="preserve">71</t>
  </si>
  <si>
    <r>
      <rPr>
        <sz val="11"/>
        <rFont val="Tahoma"/>
        <family val="0"/>
        <charset val="1"/>
      </rPr>
      <t xml:space="preserve">95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1028</t>
    </r>
  </si>
  <si>
    <t xml:space="preserve">941</t>
  </si>
  <si>
    <t xml:space="preserve">70</t>
  </si>
  <si>
    <t xml:space="preserve">315</t>
  </si>
  <si>
    <t xml:space="preserve">115</t>
  </si>
  <si>
    <t xml:space="preserve">109</t>
  </si>
  <si>
    <t xml:space="preserve">108</t>
  </si>
  <si>
    <t xml:space="preserve">947</t>
  </si>
  <si>
    <t xml:space="preserve">1025</t>
  </si>
  <si>
    <t xml:space="preserve">121</t>
  </si>
  <si>
    <r>
      <rPr>
        <sz val="11"/>
        <rFont val="Tahoma"/>
        <family val="0"/>
        <charset val="1"/>
      </rPr>
      <t xml:space="preserve">125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126</t>
    </r>
  </si>
  <si>
    <t xml:space="preserve">106</t>
  </si>
  <si>
    <t xml:space="preserve">116</t>
  </si>
  <si>
    <t xml:space="preserve">961</t>
  </si>
  <si>
    <t xml:space="preserve">105</t>
  </si>
  <si>
    <r>
      <rPr>
        <sz val="11"/>
        <rFont val="Tahoma"/>
        <family val="0"/>
        <charset val="1"/>
      </rPr>
      <t xml:space="preserve">104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103</t>
    </r>
  </si>
  <si>
    <t xml:space="preserve">110</t>
  </si>
  <si>
    <t xml:space="preserve">95</t>
  </si>
  <si>
    <t xml:space="preserve">399</t>
  </si>
  <si>
    <t xml:space="preserve">67</t>
  </si>
  <si>
    <t xml:space="preserve">169</t>
  </si>
  <si>
    <t xml:space="preserve">173</t>
  </si>
  <si>
    <t xml:space="preserve">160</t>
  </si>
  <si>
    <t xml:space="preserve">143</t>
  </si>
  <si>
    <t xml:space="preserve">156</t>
  </si>
  <si>
    <t xml:space="preserve">167</t>
  </si>
  <si>
    <t xml:space="preserve">920</t>
  </si>
  <si>
    <t xml:space="preserve">154</t>
  </si>
  <si>
    <t xml:space="preserve">168</t>
  </si>
  <si>
    <t xml:space="preserve">148</t>
  </si>
  <si>
    <t xml:space="preserve">145</t>
  </si>
  <si>
    <t xml:space="preserve">146</t>
  </si>
  <si>
    <t xml:space="preserve">919</t>
  </si>
  <si>
    <t xml:space="preserve">157</t>
  </si>
  <si>
    <t xml:space="preserve">158</t>
  </si>
  <si>
    <t xml:space="preserve">147</t>
  </si>
  <si>
    <t xml:space="preserve">152</t>
  </si>
  <si>
    <t xml:space="preserve">151</t>
  </si>
  <si>
    <t xml:space="preserve">155</t>
  </si>
  <si>
    <t xml:space="preserve">921</t>
  </si>
  <si>
    <t xml:space="preserve">159</t>
  </si>
  <si>
    <t xml:space="preserve">170</t>
  </si>
  <si>
    <t xml:space="preserve">141</t>
  </si>
  <si>
    <t xml:space="preserve">174</t>
  </si>
  <si>
    <t xml:space="preserve">153</t>
  </si>
  <si>
    <t xml:space="preserve">140</t>
  </si>
  <si>
    <t xml:space="preserve">91</t>
  </si>
  <si>
    <t xml:space="preserve">298</t>
  </si>
  <si>
    <t xml:space="preserve">297</t>
  </si>
  <si>
    <t xml:space="preserve">204</t>
  </si>
  <si>
    <t xml:space="preserve">933</t>
  </si>
  <si>
    <t xml:space="preserve">299</t>
  </si>
  <si>
    <t xml:space="preserve">210</t>
  </si>
  <si>
    <t xml:space="preserve">934</t>
  </si>
  <si>
    <t xml:space="preserve">932</t>
  </si>
  <si>
    <t xml:space="preserve">658</t>
  </si>
  <si>
    <t xml:space="preserve">208</t>
  </si>
  <si>
    <t xml:space="preserve">90</t>
  </si>
  <si>
    <t xml:space="preserve">131</t>
  </si>
  <si>
    <t xml:space="preserve">937</t>
  </si>
  <si>
    <t xml:space="preserve">938</t>
  </si>
  <si>
    <t xml:space="preserve">286</t>
  </si>
  <si>
    <t xml:space="preserve">958</t>
  </si>
  <si>
    <r>
      <rPr>
        <sz val="11"/>
        <rFont val="Tahoma"/>
        <family val="0"/>
        <charset val="1"/>
      </rPr>
      <t xml:space="preserve">962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960</t>
    </r>
  </si>
  <si>
    <t xml:space="preserve">302</t>
  </si>
  <si>
    <t xml:space="preserve">300</t>
  </si>
  <si>
    <t xml:space="preserve">130</t>
  </si>
  <si>
    <t xml:space="preserve">127</t>
  </si>
  <si>
    <t xml:space="preserve">132</t>
  </si>
  <si>
    <t xml:space="preserve">939</t>
  </si>
  <si>
    <t xml:space="preserve">959</t>
  </si>
  <si>
    <t xml:space="preserve">956</t>
  </si>
  <si>
    <r>
      <rPr>
        <sz val="11"/>
        <rFont val="Tahoma"/>
        <family val="0"/>
        <charset val="1"/>
      </rPr>
      <t xml:space="preserve">108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109</t>
    </r>
  </si>
  <si>
    <t xml:space="preserve">118</t>
  </si>
  <si>
    <t xml:space="preserve">955</t>
  </si>
  <si>
    <t xml:space="preserve">120</t>
  </si>
  <si>
    <t xml:space="preserve">949</t>
  </si>
  <si>
    <t xml:space="preserve">126</t>
  </si>
  <si>
    <t xml:space="preserve">117</t>
  </si>
  <si>
    <t xml:space="preserve">119</t>
  </si>
  <si>
    <t xml:space="preserve">133</t>
  </si>
  <si>
    <t xml:space="preserve">945</t>
  </si>
  <si>
    <t xml:space="preserve">195</t>
  </si>
  <si>
    <t xml:space="preserve">1003</t>
  </si>
  <si>
    <t xml:space="preserve">1029</t>
  </si>
  <si>
    <t xml:space="preserve">915</t>
  </si>
  <si>
    <t xml:space="preserve">182</t>
  </si>
  <si>
    <t xml:space="preserve">186</t>
  </si>
  <si>
    <t xml:space="preserve">197</t>
  </si>
  <si>
    <t xml:space="preserve">1001</t>
  </si>
  <si>
    <t xml:space="preserve">284</t>
  </si>
  <si>
    <t xml:space="preserve">1005</t>
  </si>
  <si>
    <t xml:space="preserve">196</t>
  </si>
  <si>
    <t xml:space="preserve">1002</t>
  </si>
  <si>
    <t xml:space="preserve">1006</t>
  </si>
  <si>
    <t xml:space="preserve">283</t>
  </si>
  <si>
    <t xml:space="preserve">277</t>
  </si>
  <si>
    <t xml:space="preserve">655</t>
  </si>
  <si>
    <t xml:space="preserve">94</t>
  </si>
  <si>
    <t xml:space="preserve">282</t>
  </si>
  <si>
    <t xml:space="preserve">165</t>
  </si>
  <si>
    <t xml:space="preserve">281</t>
  </si>
  <si>
    <t xml:space="preserve">276</t>
  </si>
  <si>
    <t xml:space="preserve">998</t>
  </si>
  <si>
    <t xml:space="preserve">1000</t>
  </si>
  <si>
    <t xml:space="preserve">278</t>
  </si>
  <si>
    <t xml:space="preserve">992</t>
  </si>
  <si>
    <t xml:space="preserve">280</t>
  </si>
  <si>
    <t xml:space="preserve">991</t>
  </si>
  <si>
    <t xml:space="preserve">93</t>
  </si>
  <si>
    <t xml:space="preserve">92</t>
  </si>
  <si>
    <t xml:space="preserve">285</t>
  </si>
  <si>
    <t xml:space="preserve">279</t>
  </si>
  <si>
    <t xml:space="preserve">994</t>
  </si>
  <si>
    <t xml:space="preserve">995</t>
  </si>
  <si>
    <t xml:space="preserve">236</t>
  </si>
  <si>
    <t xml:space="preserve">997</t>
  </si>
  <si>
    <t xml:space="preserve">951</t>
  </si>
  <si>
    <t xml:space="preserve">963</t>
  </si>
  <si>
    <t xml:space="preserve">953</t>
  </si>
  <si>
    <t xml:space="preserve">952</t>
  </si>
  <si>
    <t xml:space="preserve">962</t>
  </si>
  <si>
    <t xml:space="preserve">964</t>
  </si>
  <si>
    <t xml:space="preserve">946</t>
  </si>
  <si>
    <t xml:space="preserve">288</t>
  </si>
  <si>
    <t xml:space="preserve">134</t>
  </si>
  <si>
    <t xml:space="preserve">966</t>
  </si>
  <si>
    <t xml:space="preserve">272</t>
  </si>
  <si>
    <t xml:space="preserve">970</t>
  </si>
  <si>
    <t xml:space="preserve">969</t>
  </si>
  <si>
    <t xml:space="preserve">968</t>
  </si>
  <si>
    <t xml:space="preserve">289</t>
  </si>
  <si>
    <t xml:space="preserve">248</t>
  </si>
  <si>
    <t xml:space="preserve">975</t>
  </si>
  <si>
    <t xml:space="preserve">967</t>
  </si>
  <si>
    <t xml:space="preserve">965</t>
  </si>
  <si>
    <t xml:space="preserve">251</t>
  </si>
  <si>
    <t xml:space="preserve">259</t>
  </si>
  <si>
    <t xml:space="preserve">1019</t>
  </si>
  <si>
    <t xml:space="preserve">249</t>
  </si>
  <si>
    <t xml:space="preserve">1023</t>
  </si>
  <si>
    <t xml:space="preserve">245</t>
  </si>
  <si>
    <r>
      <rPr>
        <sz val="11"/>
        <rFont val="Tahoma"/>
        <family val="0"/>
        <charset val="1"/>
      </rPr>
      <t xml:space="preserve">240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264</t>
    </r>
  </si>
  <si>
    <t xml:space="preserve">1016</t>
  </si>
  <si>
    <t xml:space="preserve">246</t>
  </si>
  <si>
    <t xml:space="preserve">243</t>
  </si>
  <si>
    <t xml:space="preserve">1018</t>
  </si>
  <si>
    <t xml:space="preserve">270</t>
  </si>
  <si>
    <t xml:space="preserve">1015</t>
  </si>
  <si>
    <t xml:space="preserve">241</t>
  </si>
  <si>
    <t xml:space="preserve">264</t>
  </si>
  <si>
    <t xml:space="preserve">265</t>
  </si>
  <si>
    <t xml:space="preserve">253</t>
  </si>
  <si>
    <t xml:space="preserve">235</t>
  </si>
  <si>
    <t xml:space="preserve">252</t>
  </si>
  <si>
    <t xml:space="preserve">250</t>
  </si>
  <si>
    <t xml:space="preserve">198</t>
  </si>
  <si>
    <t xml:space="preserve">1020</t>
  </si>
  <si>
    <t xml:space="preserve">1021</t>
  </si>
  <si>
    <t xml:space="preserve">1022</t>
  </si>
  <si>
    <t xml:space="preserve">1007</t>
  </si>
  <si>
    <t xml:space="preserve">1013</t>
  </si>
  <si>
    <t xml:space="preserve">1009</t>
  </si>
  <si>
    <t xml:space="preserve">268</t>
  </si>
  <si>
    <t xml:space="preserve">1014</t>
  </si>
  <si>
    <t xml:space="preserve">1010</t>
  </si>
  <si>
    <t xml:space="preserve">269</t>
  </si>
  <si>
    <t xml:space="preserve">1012</t>
  </si>
  <si>
    <t xml:space="preserve">1008</t>
  </si>
  <si>
    <t xml:space="preserve">190</t>
  </si>
  <si>
    <t xml:space="preserve">917</t>
  </si>
  <si>
    <t xml:space="preserve">916</t>
  </si>
  <si>
    <t xml:space="preserve">188</t>
  </si>
  <si>
    <t xml:space="preserve">913</t>
  </si>
  <si>
    <t xml:space="preserve">189</t>
  </si>
  <si>
    <t xml:space="preserve">125</t>
  </si>
  <si>
    <t xml:space="preserve">263</t>
  </si>
  <si>
    <t xml:space="preserve">193</t>
  </si>
  <si>
    <t xml:space="preserve">185</t>
  </si>
  <si>
    <t xml:space="preserve">184</t>
  </si>
  <si>
    <t xml:space="preserve">194</t>
  </si>
  <si>
    <t xml:space="preserve">192</t>
  </si>
  <si>
    <t xml:space="preserve">191</t>
  </si>
  <si>
    <t xml:space="preserve">256</t>
  </si>
  <si>
    <t xml:space="preserve">254</t>
  </si>
  <si>
    <t xml:space="preserve">989</t>
  </si>
  <si>
    <t xml:space="preserve">255</t>
  </si>
  <si>
    <t xml:space="preserve">918</t>
  </si>
  <si>
    <t xml:space="preserve">257</t>
  </si>
  <si>
    <t xml:space="preserve">262</t>
  </si>
  <si>
    <t xml:space="preserve">112</t>
  </si>
  <si>
    <t xml:space="preserve">48</t>
  </si>
  <si>
    <t xml:space="preserve">178</t>
  </si>
  <si>
    <t xml:space="preserve">175</t>
  </si>
  <si>
    <t xml:space="preserve">179</t>
  </si>
  <si>
    <t xml:space="preserve">307</t>
  </si>
  <si>
    <r>
      <rPr>
        <sz val="11"/>
        <rFont val="Tahoma"/>
        <family val="0"/>
        <charset val="1"/>
      </rPr>
      <t xml:space="preserve">911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164</t>
    </r>
  </si>
  <si>
    <t xml:space="preserve">374</t>
  </si>
  <si>
    <t xml:space="preserve">308</t>
  </si>
  <si>
    <t xml:space="preserve">910</t>
  </si>
  <si>
    <t xml:space="preserve">306</t>
  </si>
  <si>
    <t xml:space="preserve">311</t>
  </si>
  <si>
    <t xml:space="preserve">1031</t>
  </si>
  <si>
    <t xml:space="preserve">161</t>
  </si>
  <si>
    <t xml:space="preserve">162</t>
  </si>
  <si>
    <r>
      <rPr>
        <sz val="11"/>
        <rFont val="Tahoma"/>
        <family val="0"/>
        <charset val="1"/>
      </rPr>
      <t xml:space="preserve">1034</t>
    </r>
    <r>
      <rPr>
        <sz val="11"/>
        <rFont val="Noto Sans"/>
        <family val="2"/>
      </rPr>
      <t xml:space="preserve">، </t>
    </r>
    <r>
      <rPr>
        <sz val="11"/>
        <rFont val="Tahoma"/>
        <family val="0"/>
        <charset val="1"/>
      </rPr>
      <t xml:space="preserve">928</t>
    </r>
  </si>
  <si>
    <t xml:space="preserve">1030</t>
  </si>
  <si>
    <t xml:space="preserve">163</t>
  </si>
  <si>
    <t xml:space="preserve">908</t>
  </si>
  <si>
    <t xml:space="preserve">909</t>
  </si>
  <si>
    <r>
      <rPr>
        <b val="true"/>
        <sz val="11"/>
        <color rgb="FFFFFFFF"/>
        <rFont val="Noto Sans"/>
        <family val="2"/>
      </rPr>
      <t xml:space="preserve">منبع </t>
    </r>
    <r>
      <rPr>
        <b val="true"/>
        <sz val="11"/>
        <color rgb="FFFFFFFF"/>
        <rFont val="Tahoma"/>
        <family val="0"/>
        <charset val="1"/>
      </rPr>
      <t xml:space="preserve">/ </t>
    </r>
    <r>
      <rPr>
        <b val="true"/>
        <sz val="11"/>
        <color rgb="FFFFFFFF"/>
        <rFont val="Noto Sans"/>
        <family val="2"/>
      </rPr>
      <t xml:space="preserve">موضوع</t>
    </r>
  </si>
  <si>
    <t xml:space="preserve">توضیح</t>
  </si>
  <si>
    <t xml:space="preserve">شاخص‌های آموزشی مناطق</t>
  </si>
  <si>
    <r>
      <rPr>
        <sz val="11"/>
        <rFont val="Noto Sans"/>
        <family val="2"/>
      </rPr>
      <t xml:space="preserve">صادقی و زنجری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۱۳۹۶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فصلنامه رفاه اجتماعی، ش ۶۶، جدول ۲؛ مبتنی بر داده‌های خام سرشماری ۱۳۹۰ برای ۲۲ منطقه — </t>
    </r>
    <r>
      <rPr>
        <sz val="11"/>
        <rFont val="Tahoma"/>
        <family val="0"/>
        <charset val="1"/>
      </rPr>
      <t xml:space="preserve">https://www.sid.ir/fileserver/jf/62113966604</t>
    </r>
  </si>
  <si>
    <t xml:space="preserve">جمعیت محلات</t>
  </si>
  <si>
    <r>
      <rPr>
        <sz val="11"/>
        <rFont val="Noto Sans"/>
        <family val="2"/>
      </rPr>
      <t xml:space="preserve">۳۴۹ محله تهران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حدود ۱۳۹۵</t>
    </r>
    <r>
      <rPr>
        <sz val="11"/>
        <rFont val="Tahoma"/>
        <family val="0"/>
        <charset val="1"/>
      </rPr>
      <t xml:space="preserve">)</t>
    </r>
    <r>
      <rPr>
        <sz val="11"/>
        <rFont val="Noto Sans"/>
        <family val="2"/>
      </rPr>
      <t xml:space="preserve">، سامانه داده‌های باز شهرداری تهران </t>
    </r>
    <r>
      <rPr>
        <sz val="11"/>
        <rFont val="Tahoma"/>
        <family val="0"/>
        <charset val="1"/>
      </rPr>
      <t xml:space="preserve">(data.tehran.ir) </t>
    </r>
    <r>
      <rPr>
        <sz val="11"/>
        <rFont val="Noto Sans"/>
        <family val="2"/>
      </rPr>
      <t xml:space="preserve">به نقل از </t>
    </r>
    <r>
      <rPr>
        <sz val="11"/>
        <rFont val="Tahoma"/>
        <family val="0"/>
        <charset val="1"/>
      </rPr>
      <t xml:space="preserve">https://d-learn.ir/tehran-neighborhood-data</t>
    </r>
  </si>
  <si>
    <t xml:space="preserve">متغیر کمکی قیمت مسکن</t>
  </si>
  <si>
    <r>
      <rPr>
        <sz val="11"/>
        <rFont val="Noto Sans"/>
        <family val="2"/>
      </rPr>
      <t xml:space="preserve">آگهی‌های فروش آپارتمان دیوار </t>
    </r>
    <r>
      <rPr>
        <sz val="11"/>
        <rFont val="Tahoma"/>
        <family val="0"/>
        <charset val="1"/>
      </rPr>
      <t xml:space="preserve">(api.divar.ir)</t>
    </r>
    <r>
      <rPr>
        <sz val="11"/>
        <rFont val="Noto Sans"/>
        <family val="2"/>
      </rPr>
      <t xml:space="preserve">، ۳۱۱ محله، جمع‌آوری مهر ۱۴۰۵؛ قیمت درخواستی فروشنده، متراژ از عنوان آگهی استخراج شد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دقت ۹۷٫۷٪ در مقایسه با ۱۳۰ آگهی کامل</t>
    </r>
    <r>
      <rPr>
        <sz val="11"/>
        <rFont val="Tahoma"/>
        <family val="0"/>
        <charset val="1"/>
      </rPr>
      <t xml:space="preserve">)</t>
    </r>
  </si>
  <si>
    <t xml:space="preserve">کنترل کلی شهر</t>
  </si>
  <si>
    <r>
      <rPr>
        <sz val="11"/>
        <rFont val="Noto Sans"/>
        <family val="2"/>
      </rPr>
      <t xml:space="preserve">سرشماری ۱۳۹۵</t>
    </r>
    <r>
      <rPr>
        <sz val="11"/>
        <rFont val="Tahoma"/>
        <family val="0"/>
        <charset val="1"/>
      </rPr>
      <t xml:space="preserve">: </t>
    </r>
    <r>
      <rPr>
        <sz val="11"/>
        <rFont val="Noto Sans"/>
        <family val="2"/>
      </rPr>
      <t xml:space="preserve">۹۵٪ باسوادی جمعیت ۶ ساله و بیشتر شهر تهران؛ کمترین باسوادی مناطق ۱۷ و ۱۹ و بیشترین ۳ و ۶ — </t>
    </r>
    <r>
      <rPr>
        <sz val="11"/>
        <rFont val="Tahoma"/>
        <family val="0"/>
        <charset val="1"/>
      </rPr>
      <t xml:space="preserve">https://www.mizanonline.ir/fa/news/681973/</t>
    </r>
  </si>
  <si>
    <t xml:space="preserve">پالایش داده قیمت</t>
  </si>
  <si>
    <t xml:space="preserve">حذف آگهی تکراری، آگهی‌های محله دیگر، متراژ خارج از ۲۵ تا ۱۰۰۰ متر، قیمت هر متر خارج از ۲۰ تا ۲۰۰۰ میلیون تومان</t>
  </si>
  <si>
    <r>
      <rPr>
        <b val="true"/>
        <sz val="11"/>
        <color rgb="FF000000"/>
        <rFont val="Noto Sans"/>
        <family val="2"/>
      </rPr>
      <t xml:space="preserve">درجه کیفیت </t>
    </r>
    <r>
      <rPr>
        <b val="true"/>
        <sz val="11"/>
        <color rgb="FF000000"/>
        <rFont val="Tahoma"/>
        <family val="0"/>
        <charset val="1"/>
      </rPr>
      <t xml:space="preserve">A</t>
    </r>
  </si>
  <si>
    <r>
      <rPr>
        <sz val="11"/>
        <rFont val="Noto Sans"/>
        <family val="2"/>
      </rPr>
      <t xml:space="preserve">تطبیق دقیق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دستی و حداقل ۳۰ آگهی معتبر</t>
    </r>
  </si>
  <si>
    <r>
      <rPr>
        <b val="true"/>
        <sz val="11"/>
        <color rgb="FF000000"/>
        <rFont val="Noto Sans"/>
        <family val="2"/>
      </rPr>
      <t xml:space="preserve">درجه کیفیت </t>
    </r>
    <r>
      <rPr>
        <b val="true"/>
        <sz val="11"/>
        <color rgb="FF000000"/>
        <rFont val="Tahoma"/>
        <family val="0"/>
        <charset val="1"/>
      </rPr>
      <t xml:space="preserve">B</t>
    </r>
  </si>
  <si>
    <r>
      <rPr>
        <sz val="11"/>
        <rFont val="Noto Sans"/>
        <family val="2"/>
      </rPr>
      <t xml:space="preserve">۱۰ تا ۲۹ آگهی، یا محله جایگزین با ۳۰</t>
    </r>
    <r>
      <rPr>
        <sz val="11"/>
        <rFont val="Tahoma"/>
        <family val="0"/>
        <charset val="1"/>
      </rPr>
      <t xml:space="preserve">+ </t>
    </r>
    <r>
      <rPr>
        <sz val="11"/>
        <rFont val="Noto Sans"/>
        <family val="2"/>
      </rPr>
      <t xml:space="preserve">آگهی</t>
    </r>
  </si>
  <si>
    <r>
      <rPr>
        <b val="true"/>
        <sz val="11"/>
        <color rgb="FF000000"/>
        <rFont val="Noto Sans"/>
        <family val="2"/>
      </rPr>
      <t xml:space="preserve">درجه کیفیت </t>
    </r>
    <r>
      <rPr>
        <b val="true"/>
        <sz val="11"/>
        <color rgb="FF000000"/>
        <rFont val="Tahoma"/>
        <family val="0"/>
        <charset val="1"/>
      </rPr>
      <t xml:space="preserve">C</t>
    </r>
  </si>
  <si>
    <t xml:space="preserve">کمتر از ۱۰ آگهی یا محله جایگزین با آگهی کم</t>
  </si>
  <si>
    <r>
      <rPr>
        <b val="true"/>
        <sz val="11"/>
        <color rgb="FF000000"/>
        <rFont val="Noto Sans"/>
        <family val="2"/>
      </rPr>
      <t xml:space="preserve">درجه کیفیت </t>
    </r>
    <r>
      <rPr>
        <b val="true"/>
        <sz val="11"/>
        <color rgb="FF000000"/>
        <rFont val="Tahoma"/>
        <family val="0"/>
        <charset val="1"/>
      </rPr>
      <t xml:space="preserve">D</t>
    </r>
  </si>
  <si>
    <t xml:space="preserve">بدون داده قیمت؛ فقط مقدار منطقه</t>
  </si>
  <si>
    <t xml:space="preserve">آستانه‌های سطح</t>
  </si>
  <si>
    <r>
      <rPr>
        <sz val="11"/>
        <rFont val="Noto Sans"/>
        <family val="2"/>
      </rPr>
      <t xml:space="preserve">≥۳۰٪ بسیار بالا؛ ۲۰ تا ۳۰ بالا؛ ۱۳ تا ۲۰ متوسط؛ ۸ تا ۱۳ پایین؛ کمتر از ۸ بسیار پایین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سهم دانش‌آموختگان دانشگاهی از کل جمعیت</t>
    </r>
    <r>
      <rPr>
        <sz val="11"/>
        <rFont val="Tahoma"/>
        <family val="0"/>
        <charset val="1"/>
      </rPr>
      <t xml:space="preserve">)</t>
    </r>
  </si>
  <si>
    <t xml:space="preserve">محدودیت‌ها</t>
  </si>
  <si>
    <r>
      <rPr>
        <sz val="11"/>
        <rFont val="Noto Sans"/>
        <family val="2"/>
      </rPr>
      <t xml:space="preserve">۱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داده رسمی تحصیلات به تفکیک محله منتشر</t>
    </r>
    <r>
      <rPr>
        <sz val="11"/>
        <rFont val="Tahoma"/>
        <family val="0"/>
        <charset val="1"/>
      </rPr>
      <t xml:space="preserve">/</t>
    </r>
    <r>
      <rPr>
        <sz val="11"/>
        <rFont val="Noto Sans"/>
        <family val="2"/>
      </rPr>
      <t xml:space="preserve">در دسترس نبود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سایت‌های شهرداری و مرکز آمار از محیط کار قابل دسترسی نبودند</t>
    </r>
    <r>
      <rPr>
        <sz val="11"/>
        <rFont val="Tahoma"/>
        <family val="0"/>
        <charset val="1"/>
      </rPr>
      <t xml:space="preserve">). </t>
    </r>
    <r>
      <rPr>
        <sz val="11"/>
        <rFont val="Noto Sans"/>
        <family val="2"/>
      </rPr>
      <t xml:space="preserve">۲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پایه سرشماری ۱۳۹۰ است و سطح تحصیلات از آن زمان افزایش یافته؛ ارقام برای مقایسه نسبی محلات مناسب‌ترند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۳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قیمت مسکن نماینده وضعیت اقتصادی</t>
    </r>
    <r>
      <rPr>
        <sz val="11"/>
        <rFont val="Tahoma"/>
        <family val="0"/>
        <charset val="1"/>
      </rPr>
      <t xml:space="preserve">-</t>
    </r>
    <r>
      <rPr>
        <sz val="11"/>
        <rFont val="Noto Sans"/>
        <family val="2"/>
      </rPr>
      <t xml:space="preserve">اجتماعی است، نه اندازه‌گیری مستقیم تحصیلات</t>
    </r>
    <r>
      <rPr>
        <sz val="11"/>
        <rFont val="Tahoma"/>
        <family val="0"/>
        <charset val="1"/>
      </rPr>
      <t xml:space="preserve">. </t>
    </r>
    <r>
      <rPr>
        <sz val="11"/>
        <rFont val="Noto Sans"/>
        <family val="2"/>
      </rPr>
      <t xml:space="preserve">۴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منطقه ۲۰ </t>
    </r>
    <r>
      <rPr>
        <sz val="11"/>
        <rFont val="Tahoma"/>
        <family val="0"/>
        <charset val="1"/>
      </rPr>
      <t xml:space="preserve">(</t>
    </r>
    <r>
      <rPr>
        <sz val="11"/>
        <rFont val="Noto Sans"/>
        <family val="2"/>
      </rPr>
      <t xml:space="preserve">شهرری</t>
    </r>
    <r>
      <rPr>
        <sz val="11"/>
        <rFont val="Tahoma"/>
        <family val="0"/>
        <charset val="1"/>
      </rPr>
      <t xml:space="preserve">) </t>
    </r>
    <r>
      <rPr>
        <sz val="11"/>
        <rFont val="Noto Sans"/>
        <family val="2"/>
      </rPr>
      <t xml:space="preserve">پوشش آگهی بسیار کمی دارد</t>
    </r>
    <r>
      <rPr>
        <sz val="11"/>
        <rFont val="Tahoma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</si>
</sst>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"/>
    <numFmt numFmtId="168" formatCode="#,##0.0"/>
    <numFmt numFmtId="169" formatCode="\+0.000;\-0.000;0"/>
  </numFmts>
  <fonts count="14">
    <font>
      <sz val="11"/>
      <color theme="1"/>
      <name val="Tahoma"/>
      <family val="2"/>
      <charset val="1"/>
    </font>
    <font>
      <sz val="10"/>
      <name val="Tahoma"/>
      <family val="0"/>
    </font>
    <font>
      <sz val="10"/>
      <name val="Tahoma"/>
      <family val="0"/>
    </font>
    <font>
      <sz val="10"/>
      <name val="Tahoma"/>
      <family val="0"/>
    </font>
    <font>
      <b val="true"/>
      <sz val="14"/>
      <name val="Tahoma"/>
      <family val="2"/>
    </font>
    <font>
      <b val="true"/>
      <sz val="14"/>
      <name val="Tahoma"/>
      <family val="0"/>
      <charset val="1"/>
    </font>
    <font>
      <sz val="11"/>
      <name val="Tahoma"/>
      <family val="2"/>
    </font>
    <font>
      <b val="true"/>
      <sz val="11"/>
      <name val="Tahoma"/>
      <family val="0"/>
      <charset val="1"/>
    </font>
    <font>
      <sz val="11"/>
      <name val="Tahoma"/>
      <family val="0"/>
      <charset val="1"/>
    </font>
    <font>
      <b val="true"/>
      <sz val="11"/>
      <color rgb="FFFFFFFF"/>
      <name val="Tahoma"/>
      <family val="2"/>
    </font>
    <font>
      <b val="true"/>
      <sz val="11"/>
      <color rgb="FFFFFFFF"/>
      <name val="Tahoma"/>
      <family val="0"/>
      <charset val="1"/>
    </font>
    <font>
      <b val="true"/>
      <sz val="11"/>
      <name val="Tahoma"/>
      <family val="2"/>
    </font>
    <font>
      <b val="true"/>
      <sz val="11"/>
      <color rgb="FF000000"/>
      <name val="Tahoma"/>
      <family val="2"/>
    </font>
    <font>
      <b val="true"/>
      <sz val="11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5" type="wholeTable"/>
      <tableStyleElement dxfId="16" type="firstColumnStripe"/>
      <tableStyleElement dxfId="17" type="firstRowStripe"/>
      <tableStyleElement dxfId="18" type="lastColumn"/>
      <tableStyleElement dxfId="19" type="firstColumn"/>
      <tableStyleElement dxfId="20" type="headerRow"/>
      <tableStyleElement dxfId="2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5B3D7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hallat" displayName="Mahallat" ref="A1:X350" headerRowCount="1" totalsRowCount="0" totalsRowShown="0">
  <autoFilter ref="A1:X350"/>
  <tableColumns count="24">
    <tableColumn id="1" name="ردیف"/>
    <tableColumn id="2" name="منطقه"/>
    <tableColumn id="3" name="محله"/>
    <tableColumn id="4" name="جمعیت (حدود ۱۳۹۵)"/>
    <tableColumn id="5" name="سهم دانش‌آموختگان دانشگاهی از کل جمعیت ٪ (برآورد تعدیل‌شده)"/>
    <tableColumn id="6" name="حد پایین بازه ٪"/>
    <tableColumn id="7" name="حد بالای بازه ٪"/>
    <tableColumn id="8" name="مقدار میانگین منطقه ٪ (روش نسخه ۱)"/>
    <tableColumn id="9" name="اختلاف با میانگین منطقه (واحد درصد)"/>
    <tableColumn id="10" name="تعداد برآوردی دانش‌آموختگان دانشگاهی"/>
    <tableColumn id="11" name="مردان دارای تحصیلات دانشگاهی ٪"/>
    <tableColumn id="12" name="زنان دارای تحصیلات دانشگاهی ٪"/>
    <tableColumn id="13" name="باسوادی ۳۰ تا ۵۹ سال ٪"/>
    <tableColumn id="14" name="باسوادی ۶۰ سال و بالاتر ٪"/>
    <tableColumn id="15" name="استفاده از اینترنت ٪"/>
    <tableColumn id="16" name="رتبه در شهر (سهم دانش‌آموختگان)"/>
    <tableColumn id="17" name="سطح تحصیلات"/>
    <tableColumn id="18" name="قیمت میانه هر متر (میلیون تومان، دیوار)"/>
    <tableColumn id="19" name="انحراف لگاریتم قیمت از میانگین منطقه"/>
    <tableColumn id="20" name="تعداد آگهی معتبر"/>
    <tableColumn id="21" name="نوع تطبیق"/>
    <tableColumn id="22" name="محله(های) دیوار استفاده‌شده"/>
    <tableColumn id="23" name="وزن اعتماد به داده محله (۰ تا ۱)"/>
    <tableColumn id="24" name="درجه کیفیت داد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0.8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COUNTA(محلات!C2:C350)</f>
        <v>349</v>
      </c>
    </row>
    <row r="4" customFormat="false" ht="15" hidden="false" customHeight="false" outlineLevel="0" collapsed="false">
      <c r="A4" s="2" t="s">
        <v>2</v>
      </c>
      <c r="B4" s="4" t="n">
        <f aca="false">SUM(محلات!D2:D350)</f>
        <v>8627281</v>
      </c>
    </row>
    <row r="5" customFormat="false" ht="15" hidden="false" customHeight="false" outlineLevel="0" collapsed="false">
      <c r="A5" s="2" t="s">
        <v>3</v>
      </c>
      <c r="B5" s="4" t="n">
        <f aca="false">SUM(محلات!J2:J350)</f>
        <v>1540308</v>
      </c>
    </row>
    <row r="6" customFormat="false" ht="15" hidden="false" customHeight="false" outlineLevel="0" collapsed="false">
      <c r="A6" s="2" t="s">
        <v>4</v>
      </c>
      <c r="B6" s="5" t="n">
        <f aca="false">B5/B4*100</f>
        <v>17.8539217628358</v>
      </c>
    </row>
    <row r="7" customFormat="false" ht="16.4" hidden="false" customHeight="false" outlineLevel="0" collapsed="false">
      <c r="A7" s="2" t="s">
        <v>5</v>
      </c>
      <c r="B7" s="3" t="n">
        <f aca="false">COUNTIF(محلات!Q2:Q350,"بسیار بالا")</f>
        <v>50</v>
      </c>
    </row>
    <row r="8" customFormat="false" ht="16.4" hidden="false" customHeight="false" outlineLevel="0" collapsed="false">
      <c r="A8" s="2" t="s">
        <v>6</v>
      </c>
      <c r="B8" s="3" t="n">
        <f aca="false">COUNTIF(محلات!Q2:Q350,"بالا")</f>
        <v>68</v>
      </c>
    </row>
    <row r="9" customFormat="false" ht="16.4" hidden="false" customHeight="false" outlineLevel="0" collapsed="false">
      <c r="A9" s="2" t="s">
        <v>7</v>
      </c>
      <c r="B9" s="3" t="n">
        <f aca="false">COUNTIF(محلات!Q2:Q350,"متوسط")</f>
        <v>92</v>
      </c>
    </row>
    <row r="10" customFormat="false" ht="16.4" hidden="false" customHeight="false" outlineLevel="0" collapsed="false">
      <c r="A10" s="2" t="s">
        <v>8</v>
      </c>
      <c r="B10" s="3" t="n">
        <f aca="false">COUNTIF(محلات!Q2:Q350,"پایین")</f>
        <v>68</v>
      </c>
    </row>
    <row r="11" customFormat="false" ht="16.4" hidden="false" customHeight="false" outlineLevel="0" collapsed="false">
      <c r="A11" s="2" t="s">
        <v>9</v>
      </c>
      <c r="B11" s="3" t="n">
        <f aca="false">COUNTIF(محلات!Q2:Q350,"بسیار پایین")</f>
        <v>71</v>
      </c>
    </row>
    <row r="12" customFormat="false" ht="16.4" hidden="false" customHeight="false" outlineLevel="0" collapsed="false">
      <c r="A12" s="2" t="s">
        <v>10</v>
      </c>
      <c r="B12" s="3" t="n">
        <f aca="false">COUNTIF(محلات!X2:X350,"&lt;&gt;D")</f>
        <v>280</v>
      </c>
    </row>
    <row r="13" customFormat="false" ht="16.4" hidden="false" customHeight="false" outlineLevel="0" collapsed="false">
      <c r="A13" s="2" t="s">
        <v>11</v>
      </c>
      <c r="B13" s="3" t="n">
        <f aca="false">COUNTIF(محلات!X2:X350,"A")</f>
        <v>254</v>
      </c>
    </row>
    <row r="14" customFormat="false" ht="15" hidden="false" customHeight="false" outlineLevel="0" collapsed="false">
      <c r="A14" s="2" t="s">
        <v>12</v>
      </c>
      <c r="B14" s="5" t="n">
        <f aca="false">MAX(محلات!E2:E350)</f>
        <v>46.93</v>
      </c>
    </row>
    <row r="15" customFormat="false" ht="15" hidden="false" customHeight="false" outlineLevel="0" collapsed="false">
      <c r="A15" s="2" t="s">
        <v>13</v>
      </c>
      <c r="B15" s="5" t="n">
        <f aca="false">MIN(محلات!E2:E350)</f>
        <v>2.58</v>
      </c>
    </row>
    <row r="16" customFormat="false" ht="15" hidden="false" customHeight="false" outlineLevel="0" collapsed="false">
      <c r="A16" s="2" t="s">
        <v>14</v>
      </c>
      <c r="B16" s="4" t="n">
        <v>23102</v>
      </c>
    </row>
    <row r="18" customFormat="false" ht="45" hidden="false" customHeight="true" outlineLevel="0" collapsed="false">
      <c r="A18" s="6" t="s">
        <v>15</v>
      </c>
      <c r="B18" s="6"/>
      <c r="C18" s="6"/>
      <c r="D18" s="6"/>
      <c r="E18" s="6"/>
      <c r="F18" s="6"/>
    </row>
    <row r="19" customFormat="false" ht="45" hidden="false" customHeight="true" outlineLevel="0" collapsed="false">
      <c r="A19" s="6" t="s">
        <v>16</v>
      </c>
      <c r="B19" s="6"/>
      <c r="C19" s="6"/>
      <c r="D19" s="6"/>
      <c r="E19" s="6"/>
      <c r="F19" s="6"/>
    </row>
    <row r="20" customFormat="false" ht="45" hidden="false" customHeight="true" outlineLevel="0" collapsed="false">
      <c r="A20" s="6" t="s">
        <v>17</v>
      </c>
      <c r="B20" s="6"/>
      <c r="C20" s="6"/>
      <c r="D20" s="6"/>
      <c r="E20" s="6"/>
      <c r="F20" s="6"/>
    </row>
    <row r="21" customFormat="false" ht="45" hidden="false" customHeight="true" outlineLevel="0" collapsed="false">
      <c r="A21" s="6" t="s">
        <v>18</v>
      </c>
      <c r="B21" s="6"/>
      <c r="C21" s="6"/>
      <c r="D21" s="6"/>
      <c r="E21" s="6"/>
      <c r="F21" s="6"/>
    </row>
    <row r="22" customFormat="false" ht="45" hidden="false" customHeight="true" outlineLevel="0" collapsed="false">
      <c r="A22" s="6" t="s">
        <v>19</v>
      </c>
      <c r="B22" s="6"/>
      <c r="C22" s="6"/>
      <c r="D22" s="6"/>
      <c r="E22" s="6"/>
      <c r="F22" s="6"/>
    </row>
    <row r="23" customFormat="false" ht="45" hidden="false" customHeight="true" outlineLevel="0" collapsed="false">
      <c r="A23" s="6" t="s">
        <v>20</v>
      </c>
      <c r="B23" s="6"/>
      <c r="C23" s="6"/>
      <c r="D23" s="6"/>
      <c r="E23" s="6"/>
      <c r="F23" s="6"/>
    </row>
  </sheetData>
  <mergeCells count="6">
    <mergeCell ref="A18:F18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5" min="13" style="0" width="12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10"/>
    <col collapsed="false" customWidth="true" hidden="false" outlineLevel="0" max="21" min="21" style="0" width="20"/>
    <col collapsed="false" customWidth="true" hidden="false" outlineLevel="0" max="22" min="22" style="0" width="28"/>
    <col collapsed="false" customWidth="true" hidden="false" outlineLevel="0" max="23" min="23" style="0" width="12"/>
    <col collapsed="false" customWidth="true" hidden="false" outlineLevel="0" max="24" min="24" style="0" width="10"/>
  </cols>
  <sheetData>
    <row r="1" customFormat="false" ht="48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43</v>
      </c>
    </row>
    <row r="2" customFormat="false" ht="16.4" hidden="false" customHeight="false" outlineLevel="0" collapsed="false">
      <c r="A2" s="2" t="n">
        <v>1</v>
      </c>
      <c r="B2" s="2" t="n">
        <v>1</v>
      </c>
      <c r="C2" s="2" t="s">
        <v>44</v>
      </c>
      <c r="D2" s="8" t="n">
        <v>26587</v>
      </c>
      <c r="E2" s="9" t="n">
        <v>45.85</v>
      </c>
      <c r="F2" s="9" t="n">
        <v>42.72</v>
      </c>
      <c r="G2" s="9" t="n">
        <v>48.96</v>
      </c>
      <c r="H2" s="9" t="n">
        <v>31.3</v>
      </c>
      <c r="I2" s="9" t="n">
        <f aca="false">E2-H2</f>
        <v>14.55</v>
      </c>
      <c r="J2" s="8" t="n">
        <f aca="false">ROUND(D2*E2/100,0)</f>
        <v>12190</v>
      </c>
      <c r="K2" s="9" t="n">
        <v>65.38</v>
      </c>
      <c r="L2" s="9" t="n">
        <v>56.8</v>
      </c>
      <c r="M2" s="9" t="n">
        <v>98.56</v>
      </c>
      <c r="N2" s="9" t="n">
        <v>96.64</v>
      </c>
      <c r="O2" s="9" t="n">
        <v>62.76</v>
      </c>
      <c r="P2" s="2" t="n">
        <f aca="false">RANK(E2,$E$2:$E$350,0)</f>
        <v>3</v>
      </c>
      <c r="Q2" s="2" t="str">
        <f aca="false">IF(E2&gt;=30,"بسیار بالا",IF(E2&gt;=20,"بالا",IF(E2&gt;=13,"متوسط",IF(E2&gt;=8,"پایین","بسیار پایین"))))</f>
        <v>بسیار بالا</v>
      </c>
      <c r="R2" s="10" t="n">
        <v>844.4</v>
      </c>
      <c r="S2" s="11" t="n">
        <v>0.455</v>
      </c>
      <c r="T2" s="8" t="n">
        <v>88</v>
      </c>
      <c r="U2" s="2" t="s">
        <v>45</v>
      </c>
      <c r="V2" s="2" t="s">
        <v>44</v>
      </c>
      <c r="W2" s="2" t="n">
        <v>0.99</v>
      </c>
      <c r="X2" s="12" t="s">
        <v>46</v>
      </c>
    </row>
    <row r="3" customFormat="false" ht="16.4" hidden="false" customHeight="false" outlineLevel="0" collapsed="false">
      <c r="A3" s="2" t="n">
        <v>2</v>
      </c>
      <c r="B3" s="2" t="n">
        <v>1</v>
      </c>
      <c r="C3" s="2" t="s">
        <v>47</v>
      </c>
      <c r="D3" s="8" t="n">
        <v>30377</v>
      </c>
      <c r="E3" s="9" t="n">
        <v>45.56</v>
      </c>
      <c r="F3" s="9" t="n">
        <v>42.49</v>
      </c>
      <c r="G3" s="9" t="n">
        <v>48.6</v>
      </c>
      <c r="H3" s="9" t="n">
        <v>31.3</v>
      </c>
      <c r="I3" s="9" t="n">
        <f aca="false">E3-H3</f>
        <v>14.26</v>
      </c>
      <c r="J3" s="8" t="n">
        <f aca="false">ROUND(D3*E3/100,0)</f>
        <v>13840</v>
      </c>
      <c r="K3" s="9" t="n">
        <v>65.11</v>
      </c>
      <c r="L3" s="9" t="n">
        <v>56.56</v>
      </c>
      <c r="M3" s="9" t="n">
        <v>98.55</v>
      </c>
      <c r="N3" s="9" t="n">
        <v>96.59</v>
      </c>
      <c r="O3" s="9" t="n">
        <v>62.5</v>
      </c>
      <c r="P3" s="2" t="n">
        <f aca="false">RANK(E3,$E$2:$E$350,0)</f>
        <v>4</v>
      </c>
      <c r="Q3" s="2" t="str">
        <f aca="false">IF(E3&gt;=30,"بسیار بالا",IF(E3&gt;=20,"بالا",IF(E3&gt;=13,"متوسط",IF(E3&gt;=8,"پایین","بسیار پایین"))))</f>
        <v>بسیار بالا</v>
      </c>
      <c r="R3" s="10" t="n">
        <v>831.2</v>
      </c>
      <c r="S3" s="11" t="n">
        <v>0.447</v>
      </c>
      <c r="T3" s="8" t="n">
        <v>87</v>
      </c>
      <c r="U3" s="2" t="s">
        <v>45</v>
      </c>
      <c r="V3" s="2" t="s">
        <v>47</v>
      </c>
      <c r="W3" s="2" t="n">
        <v>0.98</v>
      </c>
      <c r="X3" s="12" t="s">
        <v>46</v>
      </c>
    </row>
    <row r="4" customFormat="false" ht="16.4" hidden="false" customHeight="false" outlineLevel="0" collapsed="false">
      <c r="A4" s="2" t="n">
        <v>3</v>
      </c>
      <c r="B4" s="2" t="n">
        <v>1</v>
      </c>
      <c r="C4" s="2" t="s">
        <v>48</v>
      </c>
      <c r="D4" s="8" t="n">
        <v>8763</v>
      </c>
      <c r="E4" s="9" t="n">
        <v>39.73</v>
      </c>
      <c r="F4" s="9" t="n">
        <v>37.98</v>
      </c>
      <c r="G4" s="9" t="n">
        <v>41.45</v>
      </c>
      <c r="H4" s="9" t="n">
        <v>31.3</v>
      </c>
      <c r="I4" s="9" t="n">
        <f aca="false">E4-H4</f>
        <v>8.43</v>
      </c>
      <c r="J4" s="8" t="n">
        <f aca="false">ROUND(D4*E4/100,0)</f>
        <v>3482</v>
      </c>
      <c r="K4" s="9" t="n">
        <v>59.52</v>
      </c>
      <c r="L4" s="9" t="n">
        <v>51.69</v>
      </c>
      <c r="M4" s="9" t="n">
        <v>98.27</v>
      </c>
      <c r="N4" s="9" t="n">
        <v>95.27</v>
      </c>
      <c r="O4" s="9" t="n">
        <v>57.32</v>
      </c>
      <c r="P4" s="2" t="n">
        <f aca="false">RANK(E4,$E$2:$E$350,0)</f>
        <v>6</v>
      </c>
      <c r="Q4" s="2" t="str">
        <f aca="false">IF(E4&gt;=30,"بسیار بالا",IF(E4&gt;=20,"بالا",IF(E4&gt;=13,"متوسط",IF(E4&gt;=8,"پایین","بسیار پایین"))))</f>
        <v>بسیار بالا</v>
      </c>
      <c r="R4" s="10" t="n">
        <v>704.4</v>
      </c>
      <c r="S4" s="11" t="n">
        <v>0.28</v>
      </c>
      <c r="T4" s="8" t="n">
        <v>88</v>
      </c>
      <c r="U4" s="2" t="s">
        <v>45</v>
      </c>
      <c r="V4" s="2" t="s">
        <v>48</v>
      </c>
      <c r="W4" s="2" t="n">
        <v>0.99</v>
      </c>
      <c r="X4" s="12" t="s">
        <v>46</v>
      </c>
    </row>
    <row r="5" customFormat="false" ht="16.4" hidden="false" customHeight="false" outlineLevel="0" collapsed="false">
      <c r="A5" s="2" t="n">
        <v>4</v>
      </c>
      <c r="B5" s="2" t="n">
        <v>1</v>
      </c>
      <c r="C5" s="2" t="s">
        <v>49</v>
      </c>
      <c r="D5" s="8" t="n">
        <v>17579</v>
      </c>
      <c r="E5" s="9" t="n">
        <v>39.26</v>
      </c>
      <c r="F5" s="9" t="n">
        <v>37.61</v>
      </c>
      <c r="G5" s="9" t="n">
        <v>40.87</v>
      </c>
      <c r="H5" s="9" t="n">
        <v>31.3</v>
      </c>
      <c r="I5" s="9" t="n">
        <f aca="false">E5-H5</f>
        <v>7.96</v>
      </c>
      <c r="J5" s="8" t="n">
        <f aca="false">ROUND(D5*E5/100,0)</f>
        <v>6902</v>
      </c>
      <c r="K5" s="9" t="n">
        <v>59.05</v>
      </c>
      <c r="L5" s="9" t="n">
        <v>51.29</v>
      </c>
      <c r="M5" s="9" t="n">
        <v>98.25</v>
      </c>
      <c r="N5" s="9" t="n">
        <v>95.14</v>
      </c>
      <c r="O5" s="9" t="n">
        <v>56.88</v>
      </c>
      <c r="P5" s="2" t="n">
        <f aca="false">RANK(E5,$E$2:$E$350,0)</f>
        <v>7</v>
      </c>
      <c r="Q5" s="2" t="str">
        <f aca="false">IF(E5&gt;=30,"بسیار بالا",IF(E5&gt;=20,"بالا",IF(E5&gt;=13,"متوسط",IF(E5&gt;=8,"پایین","بسیار پایین"))))</f>
        <v>بسیار بالا</v>
      </c>
      <c r="R5" s="10" t="n">
        <v>650</v>
      </c>
      <c r="S5" s="11" t="n">
        <v>0.266</v>
      </c>
      <c r="T5" s="8" t="n">
        <v>13</v>
      </c>
      <c r="U5" s="2" t="s">
        <v>45</v>
      </c>
      <c r="V5" s="2" t="s">
        <v>49</v>
      </c>
      <c r="W5" s="2" t="n">
        <v>0.87</v>
      </c>
      <c r="X5" s="12" t="s">
        <v>50</v>
      </c>
    </row>
    <row r="6" customFormat="false" ht="16.4" hidden="false" customHeight="false" outlineLevel="0" collapsed="false">
      <c r="A6" s="2" t="n">
        <v>5</v>
      </c>
      <c r="B6" s="2" t="n">
        <v>1</v>
      </c>
      <c r="C6" s="2" t="s">
        <v>51</v>
      </c>
      <c r="D6" s="8" t="n">
        <v>22574</v>
      </c>
      <c r="E6" s="9" t="n">
        <v>39.18</v>
      </c>
      <c r="F6" s="9" t="n">
        <v>37.55</v>
      </c>
      <c r="G6" s="9" t="n">
        <v>40.78</v>
      </c>
      <c r="H6" s="9" t="n">
        <v>31.3</v>
      </c>
      <c r="I6" s="9" t="n">
        <f aca="false">E6-H6</f>
        <v>7.88</v>
      </c>
      <c r="J6" s="8" t="n">
        <f aca="false">ROUND(D6*E6/100,0)</f>
        <v>8844</v>
      </c>
      <c r="K6" s="9" t="n">
        <v>58.97</v>
      </c>
      <c r="L6" s="9" t="n">
        <v>51.22</v>
      </c>
      <c r="M6" s="9" t="n">
        <v>98.25</v>
      </c>
      <c r="N6" s="9" t="n">
        <v>95.12</v>
      </c>
      <c r="O6" s="9" t="n">
        <v>56.81</v>
      </c>
      <c r="P6" s="2" t="n">
        <f aca="false">RANK(E6,$E$2:$E$350,0)</f>
        <v>8</v>
      </c>
      <c r="Q6" s="2" t="str">
        <f aca="false">IF(E6&gt;=30,"بسیار بالا",IF(E6&gt;=20,"بالا",IF(E6&gt;=13,"متوسط",IF(E6&gt;=8,"پایین","بسیار پایین"))))</f>
        <v>بسیار بالا</v>
      </c>
      <c r="R6" s="10" t="n">
        <v>682.1</v>
      </c>
      <c r="S6" s="11" t="n">
        <v>0.264</v>
      </c>
      <c r="T6" s="8" t="n">
        <v>88</v>
      </c>
      <c r="U6" s="2" t="s">
        <v>45</v>
      </c>
      <c r="V6" s="2" t="s">
        <v>51</v>
      </c>
      <c r="W6" s="2" t="n">
        <v>0.98</v>
      </c>
      <c r="X6" s="12" t="s">
        <v>46</v>
      </c>
    </row>
    <row r="7" customFormat="false" ht="16.4" hidden="false" customHeight="false" outlineLevel="0" collapsed="false">
      <c r="A7" s="2" t="n">
        <v>6</v>
      </c>
      <c r="B7" s="2" t="n">
        <v>1</v>
      </c>
      <c r="C7" s="2" t="s">
        <v>52</v>
      </c>
      <c r="D7" s="8" t="n">
        <v>13368</v>
      </c>
      <c r="E7" s="9" t="n">
        <v>37.89</v>
      </c>
      <c r="F7" s="9" t="n">
        <v>36.55</v>
      </c>
      <c r="G7" s="9" t="n">
        <v>39.19</v>
      </c>
      <c r="H7" s="9" t="n">
        <v>31.3</v>
      </c>
      <c r="I7" s="9" t="n">
        <f aca="false">E7-H7</f>
        <v>6.59</v>
      </c>
      <c r="J7" s="8" t="n">
        <f aca="false">ROUND(D7*E7/100,0)</f>
        <v>5065</v>
      </c>
      <c r="K7" s="9" t="n">
        <v>57.64</v>
      </c>
      <c r="L7" s="9" t="n">
        <v>50.1</v>
      </c>
      <c r="M7" s="9" t="n">
        <v>98.17</v>
      </c>
      <c r="N7" s="9" t="n">
        <v>94.74</v>
      </c>
      <c r="O7" s="9" t="n">
        <v>55.59</v>
      </c>
      <c r="P7" s="2" t="n">
        <f aca="false">RANK(E7,$E$2:$E$350,0)</f>
        <v>12</v>
      </c>
      <c r="Q7" s="2" t="str">
        <f aca="false">IF(E7&gt;=30,"بسیار بالا",IF(E7&gt;=20,"بالا",IF(E7&gt;=13,"متوسط",IF(E7&gt;=8,"پایین","بسیار پایین"))))</f>
        <v>بسیار بالا</v>
      </c>
      <c r="R7" s="10" t="n">
        <v>653.3</v>
      </c>
      <c r="S7" s="11" t="n">
        <v>0.225</v>
      </c>
      <c r="T7" s="8" t="n">
        <v>87</v>
      </c>
      <c r="U7" s="2" t="s">
        <v>45</v>
      </c>
      <c r="V7" s="2" t="s">
        <v>52</v>
      </c>
      <c r="W7" s="2" t="n">
        <v>0.99</v>
      </c>
      <c r="X7" s="12" t="s">
        <v>46</v>
      </c>
    </row>
    <row r="8" customFormat="false" ht="16.4" hidden="false" customHeight="false" outlineLevel="0" collapsed="false">
      <c r="A8" s="2" t="n">
        <v>7</v>
      </c>
      <c r="B8" s="2" t="n">
        <v>1</v>
      </c>
      <c r="C8" s="2" t="s">
        <v>53</v>
      </c>
      <c r="D8" s="8" t="n">
        <v>9791</v>
      </c>
      <c r="E8" s="9" t="n">
        <v>37.42</v>
      </c>
      <c r="F8" s="9" t="n">
        <v>36.19</v>
      </c>
      <c r="G8" s="9" t="n">
        <v>38.61</v>
      </c>
      <c r="H8" s="9" t="n">
        <v>31.3</v>
      </c>
      <c r="I8" s="9" t="n">
        <f aca="false">E8-H8</f>
        <v>6.12</v>
      </c>
      <c r="J8" s="8" t="n">
        <f aca="false">ROUND(D8*E8/100,0)</f>
        <v>3664</v>
      </c>
      <c r="K8" s="9" t="n">
        <v>57.15</v>
      </c>
      <c r="L8" s="9" t="n">
        <v>49.69</v>
      </c>
      <c r="M8" s="9" t="n">
        <v>98.15</v>
      </c>
      <c r="N8" s="9" t="n">
        <v>94.6</v>
      </c>
      <c r="O8" s="9" t="n">
        <v>55.14</v>
      </c>
      <c r="P8" s="2" t="n">
        <f aca="false">RANK(E8,$E$2:$E$350,0)</f>
        <v>13</v>
      </c>
      <c r="Q8" s="2" t="str">
        <f aca="false">IF(E8&gt;=30,"بسیار بالا",IF(E8&gt;=20,"بالا",IF(E8&gt;=13,"متوسط",IF(E8&gt;=8,"پایین","بسیار پایین"))))</f>
        <v>بسیار بالا</v>
      </c>
      <c r="R8" s="10" t="n">
        <v>671.2</v>
      </c>
      <c r="S8" s="11" t="n">
        <v>0.211</v>
      </c>
      <c r="T8" s="8" t="n">
        <v>90</v>
      </c>
      <c r="U8" s="2" t="s">
        <v>54</v>
      </c>
      <c r="V8" s="2" t="s">
        <v>53</v>
      </c>
      <c r="W8" s="2" t="n">
        <v>0.99</v>
      </c>
      <c r="X8" s="12" t="s">
        <v>46</v>
      </c>
    </row>
    <row r="9" customFormat="false" ht="16.4" hidden="false" customHeight="false" outlineLevel="0" collapsed="false">
      <c r="A9" s="2" t="n">
        <v>8</v>
      </c>
      <c r="B9" s="2" t="n">
        <v>1</v>
      </c>
      <c r="C9" s="2" t="s">
        <v>55</v>
      </c>
      <c r="D9" s="8" t="n">
        <v>8373</v>
      </c>
      <c r="E9" s="9" t="n">
        <v>37.31</v>
      </c>
      <c r="F9" s="9" t="n">
        <v>36.1</v>
      </c>
      <c r="G9" s="9" t="n">
        <v>38.48</v>
      </c>
      <c r="H9" s="9" t="n">
        <v>31.3</v>
      </c>
      <c r="I9" s="9" t="n">
        <f aca="false">E9-H9</f>
        <v>6.01</v>
      </c>
      <c r="J9" s="8" t="n">
        <f aca="false">ROUND(D9*E9/100,0)</f>
        <v>3124</v>
      </c>
      <c r="K9" s="9" t="n">
        <v>57.04</v>
      </c>
      <c r="L9" s="9" t="n">
        <v>49.59</v>
      </c>
      <c r="M9" s="9" t="n">
        <v>98.14</v>
      </c>
      <c r="N9" s="9" t="n">
        <v>94.56</v>
      </c>
      <c r="O9" s="9" t="n">
        <v>55.04</v>
      </c>
      <c r="P9" s="2" t="n">
        <f aca="false">RANK(E9,$E$2:$E$350,0)</f>
        <v>14</v>
      </c>
      <c r="Q9" s="2" t="str">
        <f aca="false">IF(E9&gt;=30,"بسیار بالا",IF(E9&gt;=20,"بالا",IF(E9&gt;=13,"متوسط",IF(E9&gt;=8,"پایین","بسیار پایین"))))</f>
        <v>بسیار بالا</v>
      </c>
      <c r="R9" s="10" t="n">
        <v>646.9</v>
      </c>
      <c r="S9" s="11" t="n">
        <v>0.208</v>
      </c>
      <c r="T9" s="8" t="n">
        <v>91</v>
      </c>
      <c r="U9" s="2" t="s">
        <v>45</v>
      </c>
      <c r="V9" s="2" t="s">
        <v>56</v>
      </c>
      <c r="W9" s="2" t="n">
        <v>0.99</v>
      </c>
      <c r="X9" s="12" t="s">
        <v>46</v>
      </c>
    </row>
    <row r="10" customFormat="false" ht="16.4" hidden="false" customHeight="false" outlineLevel="0" collapsed="false">
      <c r="A10" s="2" t="n">
        <v>9</v>
      </c>
      <c r="B10" s="2" t="n">
        <v>1</v>
      </c>
      <c r="C10" s="2" t="s">
        <v>57</v>
      </c>
      <c r="D10" s="8" t="n">
        <v>23845</v>
      </c>
      <c r="E10" s="9" t="n">
        <v>37.06</v>
      </c>
      <c r="F10" s="9" t="n">
        <v>35.91</v>
      </c>
      <c r="G10" s="9" t="n">
        <v>38.17</v>
      </c>
      <c r="H10" s="9" t="n">
        <v>31.3</v>
      </c>
      <c r="I10" s="9" t="n">
        <f aca="false">E10-H10</f>
        <v>5.76</v>
      </c>
      <c r="J10" s="8" t="n">
        <f aca="false">ROUND(D10*E10/100,0)</f>
        <v>8837</v>
      </c>
      <c r="K10" s="9" t="n">
        <v>56.77</v>
      </c>
      <c r="L10" s="9" t="n">
        <v>49.37</v>
      </c>
      <c r="M10" s="9" t="n">
        <v>98.13</v>
      </c>
      <c r="N10" s="9" t="n">
        <v>94.48</v>
      </c>
      <c r="O10" s="9" t="n">
        <v>54.8</v>
      </c>
      <c r="P10" s="2" t="n">
        <f aca="false">RANK(E10,$E$2:$E$350,0)</f>
        <v>17</v>
      </c>
      <c r="Q10" s="2" t="str">
        <f aca="false">IF(E10&gt;=30,"بسیار بالا",IF(E10&gt;=20,"بالا",IF(E10&gt;=13,"متوسط",IF(E10&gt;=8,"پایین","بسیار پایین"))))</f>
        <v>بسیار بالا</v>
      </c>
      <c r="R10" s="10" t="n">
        <v>636.8</v>
      </c>
      <c r="S10" s="11" t="n">
        <v>0.201</v>
      </c>
      <c r="T10" s="8" t="n">
        <v>86</v>
      </c>
      <c r="U10" s="2" t="s">
        <v>45</v>
      </c>
      <c r="V10" s="2" t="s">
        <v>58</v>
      </c>
      <c r="W10" s="2" t="n">
        <v>0.98</v>
      </c>
      <c r="X10" s="12" t="s">
        <v>46</v>
      </c>
    </row>
    <row r="11" customFormat="false" ht="16.4" hidden="false" customHeight="false" outlineLevel="0" collapsed="false">
      <c r="A11" s="2" t="n">
        <v>10</v>
      </c>
      <c r="B11" s="2" t="n">
        <v>1</v>
      </c>
      <c r="C11" s="2" t="s">
        <v>59</v>
      </c>
      <c r="D11" s="8" t="n">
        <v>15178</v>
      </c>
      <c r="E11" s="9" t="n">
        <v>35.9</v>
      </c>
      <c r="F11" s="9" t="n">
        <v>35</v>
      </c>
      <c r="G11" s="9" t="n">
        <v>36.74</v>
      </c>
      <c r="H11" s="9" t="n">
        <v>31.3</v>
      </c>
      <c r="I11" s="9" t="n">
        <f aca="false">E11-H11</f>
        <v>4.6</v>
      </c>
      <c r="J11" s="8" t="n">
        <f aca="false">ROUND(D11*E11/100,0)</f>
        <v>5449</v>
      </c>
      <c r="K11" s="9" t="n">
        <v>55.54</v>
      </c>
      <c r="L11" s="9" t="n">
        <v>48.34</v>
      </c>
      <c r="M11" s="9" t="n">
        <v>98.06</v>
      </c>
      <c r="N11" s="9" t="n">
        <v>94.1</v>
      </c>
      <c r="O11" s="9" t="n">
        <v>53.67</v>
      </c>
      <c r="P11" s="2" t="n">
        <f aca="false">RANK(E11,$E$2:$E$350,0)</f>
        <v>19</v>
      </c>
      <c r="Q11" s="2" t="str">
        <f aca="false">IF(E11&gt;=30,"بسیار بالا",IF(E11&gt;=20,"بالا",IF(E11&gt;=13,"متوسط",IF(E11&gt;=8,"پایین","بسیار پایین"))))</f>
        <v>بسیار بالا</v>
      </c>
      <c r="R11" s="10" t="n">
        <v>608.8</v>
      </c>
      <c r="S11" s="11" t="n">
        <v>0.165</v>
      </c>
      <c r="T11" s="8" t="n">
        <v>88</v>
      </c>
      <c r="U11" s="2" t="s">
        <v>45</v>
      </c>
      <c r="V11" s="2" t="s">
        <v>59</v>
      </c>
      <c r="W11" s="2" t="n">
        <v>0.98</v>
      </c>
      <c r="X11" s="12" t="s">
        <v>46</v>
      </c>
    </row>
    <row r="12" customFormat="false" ht="16.4" hidden="false" customHeight="false" outlineLevel="0" collapsed="false">
      <c r="A12" s="2" t="n">
        <v>11</v>
      </c>
      <c r="B12" s="2" t="n">
        <v>1</v>
      </c>
      <c r="C12" s="2" t="s">
        <v>60</v>
      </c>
      <c r="D12" s="8" t="n">
        <v>30216</v>
      </c>
      <c r="E12" s="9" t="n">
        <v>33.18</v>
      </c>
      <c r="F12" s="9" t="n">
        <v>32.88</v>
      </c>
      <c r="G12" s="9" t="n">
        <v>33.42</v>
      </c>
      <c r="H12" s="9" t="n">
        <v>31.3</v>
      </c>
      <c r="I12" s="9" t="n">
        <f aca="false">E12-H12</f>
        <v>1.88</v>
      </c>
      <c r="J12" s="8" t="n">
        <f aca="false">ROUND(D12*E12/100,0)</f>
        <v>10026</v>
      </c>
      <c r="K12" s="9" t="n">
        <v>52.55</v>
      </c>
      <c r="L12" s="9" t="n">
        <v>45.87</v>
      </c>
      <c r="M12" s="9" t="n">
        <v>97.88</v>
      </c>
      <c r="N12" s="9" t="n">
        <v>93.07</v>
      </c>
      <c r="O12" s="9" t="n">
        <v>50.95</v>
      </c>
      <c r="P12" s="2" t="n">
        <f aca="false">RANK(E12,$E$2:$E$350,0)</f>
        <v>32</v>
      </c>
      <c r="Q12" s="2" t="str">
        <f aca="false">IF(E12&gt;=30,"بسیار بالا",IF(E12&gt;=20,"بالا",IF(E12&gt;=13,"متوسط",IF(E12&gt;=8,"پایین","بسیار پایین"))))</f>
        <v>بسیار بالا</v>
      </c>
      <c r="R12" s="10" t="n">
        <v>595.9</v>
      </c>
      <c r="S12" s="11" t="n">
        <v>0.081</v>
      </c>
      <c r="T12" s="8" t="n">
        <v>90</v>
      </c>
      <c r="U12" s="2" t="s">
        <v>45</v>
      </c>
      <c r="V12" s="2" t="s">
        <v>60</v>
      </c>
      <c r="W12" s="2" t="n">
        <v>0.99</v>
      </c>
      <c r="X12" s="12" t="s">
        <v>46</v>
      </c>
    </row>
    <row r="13" customFormat="false" ht="16.4" hidden="false" customHeight="false" outlineLevel="0" collapsed="false">
      <c r="A13" s="2" t="n">
        <v>12</v>
      </c>
      <c r="B13" s="2" t="n">
        <v>1</v>
      </c>
      <c r="C13" s="2" t="s">
        <v>61</v>
      </c>
      <c r="D13" s="8" t="n">
        <v>24680</v>
      </c>
      <c r="E13" s="9" t="n">
        <v>32.08</v>
      </c>
      <c r="F13" s="9" t="n">
        <v>32.02</v>
      </c>
      <c r="G13" s="9" t="n">
        <v>32.09</v>
      </c>
      <c r="H13" s="9" t="n">
        <v>31.3</v>
      </c>
      <c r="I13" s="9" t="n">
        <f aca="false">E13-H13</f>
        <v>0.779999999999998</v>
      </c>
      <c r="J13" s="8" t="n">
        <f aca="false">ROUND(D13*E13/100,0)</f>
        <v>7917</v>
      </c>
      <c r="K13" s="9" t="n">
        <v>51.31</v>
      </c>
      <c r="L13" s="9" t="n">
        <v>44.86</v>
      </c>
      <c r="M13" s="9" t="n">
        <v>97.8</v>
      </c>
      <c r="N13" s="9" t="n">
        <v>92.59</v>
      </c>
      <c r="O13" s="9" t="n">
        <v>49.82</v>
      </c>
      <c r="P13" s="2" t="n">
        <f aca="false">RANK(E13,$E$2:$E$350,0)</f>
        <v>35</v>
      </c>
      <c r="Q13" s="2" t="str">
        <f aca="false">IF(E13&gt;=30,"بسیار بالا",IF(E13&gt;=20,"بالا",IF(E13&gt;=13,"متوسط",IF(E13&gt;=8,"پایین","بسیار پایین"))))</f>
        <v>بسیار بالا</v>
      </c>
      <c r="R13" s="10" t="n">
        <v>562.5</v>
      </c>
      <c r="S13" s="11" t="n">
        <v>0.046</v>
      </c>
      <c r="T13" s="8" t="n">
        <v>89</v>
      </c>
      <c r="U13" s="2" t="s">
        <v>45</v>
      </c>
      <c r="V13" s="2" t="s">
        <v>61</v>
      </c>
      <c r="W13" s="2" t="n">
        <v>0.99</v>
      </c>
      <c r="X13" s="12" t="s">
        <v>46</v>
      </c>
    </row>
    <row r="14" customFormat="false" ht="16.4" hidden="false" customHeight="false" outlineLevel="0" collapsed="false">
      <c r="A14" s="2" t="n">
        <v>13</v>
      </c>
      <c r="B14" s="2" t="n">
        <v>1</v>
      </c>
      <c r="C14" s="2" t="s">
        <v>62</v>
      </c>
      <c r="D14" s="8" t="n">
        <v>14564</v>
      </c>
      <c r="E14" s="9" t="n">
        <v>30.93</v>
      </c>
      <c r="F14" s="9" t="n">
        <v>30.69</v>
      </c>
      <c r="G14" s="9" t="n">
        <v>31.11</v>
      </c>
      <c r="H14" s="9" t="n">
        <v>31.3</v>
      </c>
      <c r="I14" s="9" t="n">
        <f aca="false">E14-H14</f>
        <v>-0.370000000000001</v>
      </c>
      <c r="J14" s="8" t="n">
        <f aca="false">ROUND(D14*E14/100,0)</f>
        <v>4505</v>
      </c>
      <c r="K14" s="9" t="n">
        <v>49.97</v>
      </c>
      <c r="L14" s="9" t="n">
        <v>43.77</v>
      </c>
      <c r="M14" s="9" t="n">
        <v>97.72</v>
      </c>
      <c r="N14" s="9" t="n">
        <v>92.05</v>
      </c>
      <c r="O14" s="9" t="n">
        <v>48.61</v>
      </c>
      <c r="P14" s="2" t="n">
        <f aca="false">RANK(E14,$E$2:$E$350,0)</f>
        <v>45</v>
      </c>
      <c r="Q14" s="2" t="str">
        <f aca="false">IF(E14&gt;=30,"بسیار بالا",IF(E14&gt;=20,"بالا",IF(E14&gt;=13,"متوسط",IF(E14&gt;=8,"پایین","بسیار پایین"))))</f>
        <v>بسیار بالا</v>
      </c>
      <c r="R14" s="10" t="n">
        <v>546.9</v>
      </c>
      <c r="S14" s="11" t="n">
        <v>0.008</v>
      </c>
      <c r="T14" s="8" t="n">
        <v>82</v>
      </c>
      <c r="U14" s="2" t="s">
        <v>45</v>
      </c>
      <c r="V14" s="2" t="s">
        <v>62</v>
      </c>
      <c r="W14" s="2" t="n">
        <v>0.98</v>
      </c>
      <c r="X14" s="12" t="s">
        <v>46</v>
      </c>
    </row>
    <row r="15" customFormat="false" ht="16.4" hidden="false" customHeight="false" outlineLevel="0" collapsed="false">
      <c r="A15" s="2" t="n">
        <v>14</v>
      </c>
      <c r="B15" s="2" t="n">
        <v>1</v>
      </c>
      <c r="C15" s="2" t="s">
        <v>63</v>
      </c>
      <c r="D15" s="8" t="n">
        <v>16408</v>
      </c>
      <c r="E15" s="9" t="n">
        <v>30.67</v>
      </c>
      <c r="F15" s="9" t="n">
        <v>30.38</v>
      </c>
      <c r="G15" s="9" t="n">
        <v>30.91</v>
      </c>
      <c r="H15" s="9" t="n">
        <v>31.3</v>
      </c>
      <c r="I15" s="9" t="n">
        <f aca="false">E15-H15</f>
        <v>-0.629999999999999</v>
      </c>
      <c r="J15" s="8" t="n">
        <f aca="false">ROUND(D15*E15/100,0)</f>
        <v>5032</v>
      </c>
      <c r="K15" s="9" t="n">
        <v>49.67</v>
      </c>
      <c r="L15" s="9" t="n">
        <v>43.53</v>
      </c>
      <c r="M15" s="9" t="n">
        <v>97.7</v>
      </c>
      <c r="N15" s="9" t="n">
        <v>91.92</v>
      </c>
      <c r="O15" s="9" t="n">
        <v>48.34</v>
      </c>
      <c r="P15" s="2" t="n">
        <f aca="false">RANK(E15,$E$2:$E$350,0)</f>
        <v>46</v>
      </c>
      <c r="Q15" s="2" t="str">
        <f aca="false">IF(E15&gt;=30,"بسیار بالا",IF(E15&gt;=20,"بالا",IF(E15&gt;=13,"متوسط",IF(E15&gt;=8,"پایین","بسیار پایین"))))</f>
        <v>بسیار بالا</v>
      </c>
      <c r="R15" s="10"/>
      <c r="S15" s="11" t="n">
        <v>0</v>
      </c>
      <c r="T15" s="8" t="n">
        <v>0</v>
      </c>
      <c r="U15" s="2" t="s">
        <v>64</v>
      </c>
      <c r="V15" s="12" t="s">
        <v>65</v>
      </c>
      <c r="W15" s="2" t="n">
        <v>0</v>
      </c>
      <c r="X15" s="12" t="s">
        <v>66</v>
      </c>
    </row>
    <row r="16" customFormat="false" ht="16.4" hidden="false" customHeight="false" outlineLevel="0" collapsed="false">
      <c r="A16" s="2" t="n">
        <v>15</v>
      </c>
      <c r="B16" s="2" t="n">
        <v>1</v>
      </c>
      <c r="C16" s="2" t="s">
        <v>67</v>
      </c>
      <c r="D16" s="8" t="n">
        <v>1088</v>
      </c>
      <c r="E16" s="9" t="n">
        <v>30.67</v>
      </c>
      <c r="F16" s="9" t="n">
        <v>30.38</v>
      </c>
      <c r="G16" s="9" t="n">
        <v>30.91</v>
      </c>
      <c r="H16" s="9" t="n">
        <v>31.3</v>
      </c>
      <c r="I16" s="9" t="n">
        <f aca="false">E16-H16</f>
        <v>-0.629999999999999</v>
      </c>
      <c r="J16" s="8" t="n">
        <f aca="false">ROUND(D16*E16/100,0)</f>
        <v>334</v>
      </c>
      <c r="K16" s="9" t="n">
        <v>49.67</v>
      </c>
      <c r="L16" s="9" t="n">
        <v>43.53</v>
      </c>
      <c r="M16" s="9" t="n">
        <v>97.7</v>
      </c>
      <c r="N16" s="9" t="n">
        <v>91.92</v>
      </c>
      <c r="O16" s="9" t="n">
        <v>48.34</v>
      </c>
      <c r="P16" s="2" t="n">
        <f aca="false">RANK(E16,$E$2:$E$350,0)</f>
        <v>46</v>
      </c>
      <c r="Q16" s="2" t="str">
        <f aca="false">IF(E16&gt;=30,"بسیار بالا",IF(E16&gt;=20,"بالا",IF(E16&gt;=13,"متوسط",IF(E16&gt;=8,"پایین","بسیار پایین"))))</f>
        <v>بسیار بالا</v>
      </c>
      <c r="R16" s="10"/>
      <c r="S16" s="11" t="n">
        <v>0</v>
      </c>
      <c r="T16" s="8" t="n">
        <v>0</v>
      </c>
      <c r="U16" s="2" t="s">
        <v>64</v>
      </c>
      <c r="V16" s="12" t="s">
        <v>65</v>
      </c>
      <c r="W16" s="2" t="n">
        <v>0</v>
      </c>
      <c r="X16" s="12" t="s">
        <v>66</v>
      </c>
    </row>
    <row r="17" customFormat="false" ht="16.4" hidden="false" customHeight="false" outlineLevel="0" collapsed="false">
      <c r="A17" s="2" t="n">
        <v>16</v>
      </c>
      <c r="B17" s="2" t="n">
        <v>1</v>
      </c>
      <c r="C17" s="2" t="s">
        <v>68</v>
      </c>
      <c r="D17" s="8" t="n">
        <v>40434</v>
      </c>
      <c r="E17" s="9" t="n">
        <v>29.46</v>
      </c>
      <c r="F17" s="9" t="n">
        <v>28.92</v>
      </c>
      <c r="G17" s="9" t="n">
        <v>29.95</v>
      </c>
      <c r="H17" s="9" t="n">
        <v>31.3</v>
      </c>
      <c r="I17" s="9" t="n">
        <f aca="false">E17-H17</f>
        <v>-1.84</v>
      </c>
      <c r="J17" s="8" t="n">
        <f aca="false">ROUND(D17*E17/100,0)</f>
        <v>11912</v>
      </c>
      <c r="K17" s="9" t="n">
        <v>48.24</v>
      </c>
      <c r="L17" s="9" t="n">
        <v>42.37</v>
      </c>
      <c r="M17" s="9" t="n">
        <v>97.6</v>
      </c>
      <c r="N17" s="9" t="n">
        <v>91.29</v>
      </c>
      <c r="O17" s="9" t="n">
        <v>47.04</v>
      </c>
      <c r="P17" s="2" t="n">
        <f aca="false">RANK(E17,$E$2:$E$350,0)</f>
        <v>52</v>
      </c>
      <c r="Q17" s="2" t="str">
        <f aca="false">IF(E17&gt;=30,"بسیار بالا",IF(E17&gt;=20,"بالا",IF(E17&gt;=13,"متوسط",IF(E17&gt;=8,"پایین","بسیار پایین"))))</f>
        <v>بالا</v>
      </c>
      <c r="R17" s="10" t="n">
        <v>520</v>
      </c>
      <c r="S17" s="11" t="n">
        <v>-0.04</v>
      </c>
      <c r="T17" s="8" t="n">
        <v>91</v>
      </c>
      <c r="U17" s="2" t="s">
        <v>45</v>
      </c>
      <c r="V17" s="2" t="s">
        <v>68</v>
      </c>
      <c r="W17" s="2" t="n">
        <v>0.99</v>
      </c>
      <c r="X17" s="12" t="s">
        <v>46</v>
      </c>
    </row>
    <row r="18" customFormat="false" ht="16.4" hidden="false" customHeight="false" outlineLevel="0" collapsed="false">
      <c r="A18" s="2" t="n">
        <v>17</v>
      </c>
      <c r="B18" s="2" t="n">
        <v>1</v>
      </c>
      <c r="C18" s="2" t="s">
        <v>69</v>
      </c>
      <c r="D18" s="8" t="n">
        <v>18995</v>
      </c>
      <c r="E18" s="9" t="n">
        <v>26.84</v>
      </c>
      <c r="F18" s="9" t="n">
        <v>25.81</v>
      </c>
      <c r="G18" s="9" t="n">
        <v>27.86</v>
      </c>
      <c r="H18" s="9" t="n">
        <v>31.3</v>
      </c>
      <c r="I18" s="9" t="n">
        <f aca="false">E18-H18</f>
        <v>-4.46</v>
      </c>
      <c r="J18" s="8" t="n">
        <f aca="false">ROUND(D18*E18/100,0)</f>
        <v>5098</v>
      </c>
      <c r="K18" s="9" t="n">
        <v>45.02</v>
      </c>
      <c r="L18" s="9" t="n">
        <v>39.79</v>
      </c>
      <c r="M18" s="9" t="n">
        <v>97.36</v>
      </c>
      <c r="N18" s="9" t="n">
        <v>89.71</v>
      </c>
      <c r="O18" s="9" t="n">
        <v>44.13</v>
      </c>
      <c r="P18" s="2" t="n">
        <f aca="false">RANK(E18,$E$2:$E$350,0)</f>
        <v>65</v>
      </c>
      <c r="Q18" s="2" t="str">
        <f aca="false">IF(E18&gt;=30,"بسیار بالا",IF(E18&gt;=20,"بالا",IF(E18&gt;=13,"متوسط",IF(E18&gt;=8,"پایین","بسیار پایین"))))</f>
        <v>بالا</v>
      </c>
      <c r="R18" s="10" t="n">
        <v>470.1</v>
      </c>
      <c r="S18" s="11" t="n">
        <v>-0.131</v>
      </c>
      <c r="T18" s="8" t="n">
        <v>78</v>
      </c>
      <c r="U18" s="2" t="s">
        <v>45</v>
      </c>
      <c r="V18" s="2" t="s">
        <v>69</v>
      </c>
      <c r="W18" s="2" t="n">
        <v>0.99</v>
      </c>
      <c r="X18" s="12" t="s">
        <v>46</v>
      </c>
    </row>
    <row r="19" customFormat="false" ht="16.4" hidden="false" customHeight="false" outlineLevel="0" collapsed="false">
      <c r="A19" s="2" t="n">
        <v>18</v>
      </c>
      <c r="B19" s="2" t="n">
        <v>1</v>
      </c>
      <c r="C19" s="2" t="s">
        <v>70</v>
      </c>
      <c r="D19" s="8" t="n">
        <v>25362</v>
      </c>
      <c r="E19" s="9" t="n">
        <v>25.01</v>
      </c>
      <c r="F19" s="9" t="n">
        <v>23.65</v>
      </c>
      <c r="G19" s="9" t="n">
        <v>26.37</v>
      </c>
      <c r="H19" s="9" t="n">
        <v>31.3</v>
      </c>
      <c r="I19" s="9" t="n">
        <f aca="false">E19-H19</f>
        <v>-6.29</v>
      </c>
      <c r="J19" s="8" t="n">
        <f aca="false">ROUND(D19*E19/100,0)</f>
        <v>6343</v>
      </c>
      <c r="K19" s="9" t="n">
        <v>42.67</v>
      </c>
      <c r="L19" s="9" t="n">
        <v>37.93</v>
      </c>
      <c r="M19" s="9" t="n">
        <v>97.18</v>
      </c>
      <c r="N19" s="9" t="n">
        <v>88.38</v>
      </c>
      <c r="O19" s="9" t="n">
        <v>42.01</v>
      </c>
      <c r="P19" s="2" t="n">
        <f aca="false">RANK(E19,$E$2:$E$350,0)</f>
        <v>75</v>
      </c>
      <c r="Q19" s="2" t="str">
        <f aca="false">IF(E19&gt;=30,"بسیار بالا",IF(E19&gt;=20,"بالا",IF(E19&gt;=13,"متوسط",IF(E19&gt;=8,"پایین","بسیار پایین"))))</f>
        <v>بالا</v>
      </c>
      <c r="R19" s="10" t="n">
        <v>397.4</v>
      </c>
      <c r="S19" s="11" t="n">
        <v>-0.198</v>
      </c>
      <c r="T19" s="8" t="n">
        <v>86</v>
      </c>
      <c r="U19" s="2" t="s">
        <v>45</v>
      </c>
      <c r="V19" s="2" t="s">
        <v>70</v>
      </c>
      <c r="W19" s="2" t="n">
        <v>0.99</v>
      </c>
      <c r="X19" s="12" t="s">
        <v>46</v>
      </c>
    </row>
    <row r="20" customFormat="false" ht="16.4" hidden="false" customHeight="false" outlineLevel="0" collapsed="false">
      <c r="A20" s="2" t="n">
        <v>19</v>
      </c>
      <c r="B20" s="2" t="n">
        <v>1</v>
      </c>
      <c r="C20" s="2" t="s">
        <v>71</v>
      </c>
      <c r="D20" s="8" t="n">
        <v>8226</v>
      </c>
      <c r="E20" s="9" t="n">
        <v>24.66</v>
      </c>
      <c r="F20" s="9" t="n">
        <v>23.24</v>
      </c>
      <c r="G20" s="9" t="n">
        <v>26.08</v>
      </c>
      <c r="H20" s="9" t="n">
        <v>31.3</v>
      </c>
      <c r="I20" s="9" t="n">
        <f aca="false">E20-H20</f>
        <v>-6.64</v>
      </c>
      <c r="J20" s="8" t="n">
        <f aca="false">ROUND(D20*E20/100,0)</f>
        <v>2029</v>
      </c>
      <c r="K20" s="9" t="n">
        <v>42.21</v>
      </c>
      <c r="L20" s="9" t="n">
        <v>37.56</v>
      </c>
      <c r="M20" s="9" t="n">
        <v>97.14</v>
      </c>
      <c r="N20" s="9" t="n">
        <v>88.1</v>
      </c>
      <c r="O20" s="9" t="n">
        <v>41.59</v>
      </c>
      <c r="P20" s="2" t="n">
        <f aca="false">RANK(E20,$E$2:$E$350,0)</f>
        <v>81</v>
      </c>
      <c r="Q20" s="2" t="str">
        <f aca="false">IF(E20&gt;=30,"بسیار بالا",IF(E20&gt;=20,"بالا",IF(E20&gt;=13,"متوسط",IF(E20&gt;=8,"پایین","بسیار پایین"))))</f>
        <v>بالا</v>
      </c>
      <c r="R20" s="10" t="n">
        <v>412.5</v>
      </c>
      <c r="S20" s="11" t="n">
        <v>-0.211</v>
      </c>
      <c r="T20" s="8" t="n">
        <v>50</v>
      </c>
      <c r="U20" s="2" t="s">
        <v>45</v>
      </c>
      <c r="V20" s="2" t="s">
        <v>71</v>
      </c>
      <c r="W20" s="2" t="n">
        <v>0.96</v>
      </c>
      <c r="X20" s="12" t="s">
        <v>46</v>
      </c>
    </row>
    <row r="21" customFormat="false" ht="16.4" hidden="false" customHeight="false" outlineLevel="0" collapsed="false">
      <c r="A21" s="2" t="n">
        <v>20</v>
      </c>
      <c r="B21" s="2" t="n">
        <v>1</v>
      </c>
      <c r="C21" s="2" t="s">
        <v>72</v>
      </c>
      <c r="D21" s="8" t="n">
        <v>11282</v>
      </c>
      <c r="E21" s="9" t="n">
        <v>24.29</v>
      </c>
      <c r="F21" s="9" t="n">
        <v>22.81</v>
      </c>
      <c r="G21" s="9" t="n">
        <v>25.78</v>
      </c>
      <c r="H21" s="9" t="n">
        <v>31.3</v>
      </c>
      <c r="I21" s="9" t="n">
        <f aca="false">E21-H21</f>
        <v>-7.01</v>
      </c>
      <c r="J21" s="8" t="n">
        <f aca="false">ROUND(D21*E21/100,0)</f>
        <v>2740</v>
      </c>
      <c r="K21" s="9" t="n">
        <v>41.72</v>
      </c>
      <c r="L21" s="9" t="n">
        <v>37.18</v>
      </c>
      <c r="M21" s="9" t="n">
        <v>97.1</v>
      </c>
      <c r="N21" s="9" t="n">
        <v>87.8</v>
      </c>
      <c r="O21" s="9" t="n">
        <v>41.15</v>
      </c>
      <c r="P21" s="2" t="n">
        <f aca="false">RANK(E21,$E$2:$E$350,0)</f>
        <v>85</v>
      </c>
      <c r="Q21" s="2" t="str">
        <f aca="false">IF(E21&gt;=30,"بسیار بالا",IF(E21&gt;=20,"بالا",IF(E21&gt;=13,"متوسط",IF(E21&gt;=8,"پایین","بسیار پایین"))))</f>
        <v>بالا</v>
      </c>
      <c r="R21" s="10" t="n">
        <v>423.5</v>
      </c>
      <c r="S21" s="11" t="n">
        <v>-0.225</v>
      </c>
      <c r="T21" s="8" t="n">
        <v>46</v>
      </c>
      <c r="U21" s="2" t="s">
        <v>45</v>
      </c>
      <c r="V21" s="2" t="s">
        <v>72</v>
      </c>
      <c r="W21" s="2" t="n">
        <v>0.96</v>
      </c>
      <c r="X21" s="12" t="s">
        <v>46</v>
      </c>
    </row>
    <row r="22" customFormat="false" ht="16.4" hidden="false" customHeight="false" outlineLevel="0" collapsed="false">
      <c r="A22" s="2" t="n">
        <v>21</v>
      </c>
      <c r="B22" s="2" t="n">
        <v>1</v>
      </c>
      <c r="C22" s="2" t="s">
        <v>73</v>
      </c>
      <c r="D22" s="8" t="n">
        <v>3048</v>
      </c>
      <c r="E22" s="9" t="n">
        <v>24.14</v>
      </c>
      <c r="F22" s="9" t="n">
        <v>22.63</v>
      </c>
      <c r="G22" s="9" t="n">
        <v>25.66</v>
      </c>
      <c r="H22" s="9" t="n">
        <v>31.3</v>
      </c>
      <c r="I22" s="9" t="n">
        <f aca="false">E22-H22</f>
        <v>-7.16</v>
      </c>
      <c r="J22" s="8" t="n">
        <f aca="false">ROUND(D22*E22/100,0)</f>
        <v>736</v>
      </c>
      <c r="K22" s="9" t="n">
        <v>41.52</v>
      </c>
      <c r="L22" s="9" t="n">
        <v>37.02</v>
      </c>
      <c r="M22" s="9" t="n">
        <v>97.08</v>
      </c>
      <c r="N22" s="9" t="n">
        <v>87.67</v>
      </c>
      <c r="O22" s="9" t="n">
        <v>40.97</v>
      </c>
      <c r="P22" s="2" t="n">
        <f aca="false">RANK(E22,$E$2:$E$350,0)</f>
        <v>87</v>
      </c>
      <c r="Q22" s="2" t="str">
        <f aca="false">IF(E22&gt;=30,"بسیار بالا",IF(E22&gt;=20,"بالا",IF(E22&gt;=13,"متوسط",IF(E22&gt;=8,"پایین","بسیار پایین"))))</f>
        <v>بالا</v>
      </c>
      <c r="R22" s="10" t="n">
        <v>428.2</v>
      </c>
      <c r="S22" s="11" t="n">
        <v>-0.231</v>
      </c>
      <c r="T22" s="8" t="n">
        <v>29</v>
      </c>
      <c r="U22" s="2" t="s">
        <v>54</v>
      </c>
      <c r="V22" s="2" t="s">
        <v>74</v>
      </c>
      <c r="W22" s="2" t="n">
        <v>0.95</v>
      </c>
      <c r="X22" s="12" t="s">
        <v>50</v>
      </c>
    </row>
    <row r="23" customFormat="false" ht="16.4" hidden="false" customHeight="false" outlineLevel="0" collapsed="false">
      <c r="A23" s="2" t="n">
        <v>22</v>
      </c>
      <c r="B23" s="2" t="n">
        <v>1</v>
      </c>
      <c r="C23" s="2" t="s">
        <v>75</v>
      </c>
      <c r="D23" s="8" t="n">
        <v>6719</v>
      </c>
      <c r="E23" s="9" t="n">
        <v>23.53</v>
      </c>
      <c r="F23" s="9" t="n">
        <v>21.93</v>
      </c>
      <c r="G23" s="9" t="n">
        <v>25.16</v>
      </c>
      <c r="H23" s="9" t="n">
        <v>31.3</v>
      </c>
      <c r="I23" s="9" t="n">
        <f aca="false">E23-H23</f>
        <v>-7.77</v>
      </c>
      <c r="J23" s="8" t="n">
        <f aca="false">ROUND(D23*E23/100,0)</f>
        <v>1581</v>
      </c>
      <c r="K23" s="9" t="n">
        <v>40.71</v>
      </c>
      <c r="L23" s="9" t="n">
        <v>36.38</v>
      </c>
      <c r="M23" s="9" t="n">
        <v>97.01</v>
      </c>
      <c r="N23" s="9" t="n">
        <v>87.14</v>
      </c>
      <c r="O23" s="9" t="n">
        <v>40.24</v>
      </c>
      <c r="P23" s="2" t="n">
        <f aca="false">RANK(E23,$E$2:$E$350,0)</f>
        <v>89</v>
      </c>
      <c r="Q23" s="2" t="str">
        <f aca="false">IF(E23&gt;=30,"بسیار بالا",IF(E23&gt;=20,"بالا",IF(E23&gt;=13,"متوسط",IF(E23&gt;=8,"پایین","بسیار پایین"))))</f>
        <v>بالا</v>
      </c>
      <c r="R23" s="10" t="n">
        <v>394.8</v>
      </c>
      <c r="S23" s="11" t="n">
        <v>-0.255</v>
      </c>
      <c r="T23" s="8" t="n">
        <v>50</v>
      </c>
      <c r="U23" s="2" t="s">
        <v>45</v>
      </c>
      <c r="V23" s="2" t="s">
        <v>75</v>
      </c>
      <c r="W23" s="2" t="n">
        <v>0.97</v>
      </c>
      <c r="X23" s="12" t="s">
        <v>46</v>
      </c>
    </row>
    <row r="24" customFormat="false" ht="16.4" hidden="false" customHeight="false" outlineLevel="0" collapsed="false">
      <c r="A24" s="2" t="n">
        <v>23</v>
      </c>
      <c r="B24" s="2" t="n">
        <v>1</v>
      </c>
      <c r="C24" s="2" t="s">
        <v>76</v>
      </c>
      <c r="D24" s="8" t="n">
        <v>24137</v>
      </c>
      <c r="E24" s="9" t="n">
        <v>22.6</v>
      </c>
      <c r="F24" s="9" t="n">
        <v>20.86</v>
      </c>
      <c r="G24" s="9" t="n">
        <v>24.39</v>
      </c>
      <c r="H24" s="9" t="n">
        <v>31.3</v>
      </c>
      <c r="I24" s="9" t="n">
        <f aca="false">E24-H24</f>
        <v>-8.7</v>
      </c>
      <c r="J24" s="8" t="n">
        <f aca="false">ROUND(D24*E24/100,0)</f>
        <v>5455</v>
      </c>
      <c r="K24" s="9" t="n">
        <v>39.46</v>
      </c>
      <c r="L24" s="9" t="n">
        <v>35.39</v>
      </c>
      <c r="M24" s="9" t="n">
        <v>96.89</v>
      </c>
      <c r="N24" s="9" t="n">
        <v>86.28</v>
      </c>
      <c r="O24" s="9" t="n">
        <v>39.11</v>
      </c>
      <c r="P24" s="2" t="n">
        <f aca="false">RANK(E24,$E$2:$E$350,0)</f>
        <v>95</v>
      </c>
      <c r="Q24" s="2" t="str">
        <f aca="false">IF(E24&gt;=30,"بسیار بالا",IF(E24&gt;=20,"بالا",IF(E24&gt;=13,"متوسط",IF(E24&gt;=8,"پایین","بسیار پایین"))))</f>
        <v>بالا</v>
      </c>
      <c r="R24" s="10" t="n">
        <v>423.1</v>
      </c>
      <c r="S24" s="11" t="n">
        <v>-0.291</v>
      </c>
      <c r="T24" s="8" t="n">
        <v>80</v>
      </c>
      <c r="U24" s="2" t="s">
        <v>54</v>
      </c>
      <c r="V24" s="2" t="s">
        <v>77</v>
      </c>
      <c r="W24" s="2" t="n">
        <v>0.99</v>
      </c>
      <c r="X24" s="12" t="s">
        <v>46</v>
      </c>
    </row>
    <row r="25" customFormat="false" ht="16.4" hidden="false" customHeight="false" outlineLevel="0" collapsed="false">
      <c r="A25" s="2" t="n">
        <v>24</v>
      </c>
      <c r="B25" s="2" t="n">
        <v>1</v>
      </c>
      <c r="C25" s="2" t="s">
        <v>78</v>
      </c>
      <c r="D25" s="8" t="n">
        <v>15236</v>
      </c>
      <c r="E25" s="9" t="n">
        <v>22.6</v>
      </c>
      <c r="F25" s="9" t="n">
        <v>20.86</v>
      </c>
      <c r="G25" s="9" t="n">
        <v>24.39</v>
      </c>
      <c r="H25" s="9" t="n">
        <v>31.3</v>
      </c>
      <c r="I25" s="9" t="n">
        <f aca="false">E25-H25</f>
        <v>-8.7</v>
      </c>
      <c r="J25" s="8" t="n">
        <f aca="false">ROUND(D25*E25/100,0)</f>
        <v>3443</v>
      </c>
      <c r="K25" s="9" t="n">
        <v>39.45</v>
      </c>
      <c r="L25" s="9" t="n">
        <v>35.39</v>
      </c>
      <c r="M25" s="9" t="n">
        <v>96.89</v>
      </c>
      <c r="N25" s="9" t="n">
        <v>86.28</v>
      </c>
      <c r="O25" s="9" t="n">
        <v>39.1</v>
      </c>
      <c r="P25" s="2" t="n">
        <f aca="false">RANK(E25,$E$2:$E$350,0)</f>
        <v>95</v>
      </c>
      <c r="Q25" s="2" t="str">
        <f aca="false">IF(E25&gt;=30,"بسیار بالا",IF(E25&gt;=20,"بالا",IF(E25&gt;=13,"متوسط",IF(E25&gt;=8,"پایین","بسیار پایین"))))</f>
        <v>بالا</v>
      </c>
      <c r="R25" s="10" t="n">
        <v>376.5</v>
      </c>
      <c r="S25" s="11" t="n">
        <v>-0.291</v>
      </c>
      <c r="T25" s="8" t="n">
        <v>81</v>
      </c>
      <c r="U25" s="2" t="s">
        <v>45</v>
      </c>
      <c r="V25" s="2" t="s">
        <v>78</v>
      </c>
      <c r="W25" s="2" t="n">
        <v>0.99</v>
      </c>
      <c r="X25" s="12" t="s">
        <v>46</v>
      </c>
    </row>
    <row r="26" customFormat="false" ht="16.4" hidden="false" customHeight="false" outlineLevel="0" collapsed="false">
      <c r="A26" s="2" t="n">
        <v>25</v>
      </c>
      <c r="B26" s="2" t="n">
        <v>1</v>
      </c>
      <c r="C26" s="2" t="s">
        <v>79</v>
      </c>
      <c r="D26" s="8" t="n">
        <v>22829</v>
      </c>
      <c r="E26" s="9" t="n">
        <v>22.19</v>
      </c>
      <c r="F26" s="9" t="n">
        <v>20.4</v>
      </c>
      <c r="G26" s="9" t="n">
        <v>24.05</v>
      </c>
      <c r="H26" s="9" t="n">
        <v>31.3</v>
      </c>
      <c r="I26" s="9" t="n">
        <f aca="false">E26-H26</f>
        <v>-9.11</v>
      </c>
      <c r="J26" s="8" t="n">
        <f aca="false">ROUND(D26*E26/100,0)</f>
        <v>5066</v>
      </c>
      <c r="K26" s="9" t="n">
        <v>38.9</v>
      </c>
      <c r="L26" s="9" t="n">
        <v>34.95</v>
      </c>
      <c r="M26" s="9" t="n">
        <v>96.84</v>
      </c>
      <c r="N26" s="9" t="n">
        <v>85.88</v>
      </c>
      <c r="O26" s="9" t="n">
        <v>38.6</v>
      </c>
      <c r="P26" s="2" t="n">
        <f aca="false">RANK(E26,$E$2:$E$350,0)</f>
        <v>97</v>
      </c>
      <c r="Q26" s="2" t="str">
        <f aca="false">IF(E26&gt;=30,"بسیار بالا",IF(E26&gt;=20,"بالا",IF(E26&gt;=13,"متوسط",IF(E26&gt;=8,"پایین","بسیار پایین"))))</f>
        <v>بالا</v>
      </c>
      <c r="R26" s="10" t="n">
        <v>375.2</v>
      </c>
      <c r="S26" s="11" t="n">
        <v>-0.308</v>
      </c>
      <c r="T26" s="8" t="n">
        <v>89</v>
      </c>
      <c r="U26" s="2" t="s">
        <v>45</v>
      </c>
      <c r="V26" s="2" t="s">
        <v>79</v>
      </c>
      <c r="W26" s="2" t="n">
        <v>0.99</v>
      </c>
      <c r="X26" s="12" t="s">
        <v>46</v>
      </c>
    </row>
    <row r="27" customFormat="false" ht="16.4" hidden="false" customHeight="false" outlineLevel="0" collapsed="false">
      <c r="A27" s="2" t="n">
        <v>26</v>
      </c>
      <c r="B27" s="2" t="n">
        <v>1</v>
      </c>
      <c r="C27" s="2" t="s">
        <v>80</v>
      </c>
      <c r="D27" s="8" t="n">
        <v>32186</v>
      </c>
      <c r="E27" s="9" t="n">
        <v>19.91</v>
      </c>
      <c r="F27" s="9" t="n">
        <v>17.82</v>
      </c>
      <c r="G27" s="9" t="n">
        <v>22.13</v>
      </c>
      <c r="H27" s="9" t="n">
        <v>31.3</v>
      </c>
      <c r="I27" s="9" t="n">
        <f aca="false">E27-H27</f>
        <v>-11.39</v>
      </c>
      <c r="J27" s="8" t="n">
        <f aca="false">ROUND(D27*E27/100,0)</f>
        <v>6408</v>
      </c>
      <c r="K27" s="9" t="n">
        <v>35.68</v>
      </c>
      <c r="L27" s="9" t="n">
        <v>32.42</v>
      </c>
      <c r="M27" s="9" t="n">
        <v>96.51</v>
      </c>
      <c r="N27" s="9" t="n">
        <v>83.33</v>
      </c>
      <c r="O27" s="9" t="n">
        <v>35.69</v>
      </c>
      <c r="P27" s="2" t="n">
        <f aca="false">RANK(E27,$E$2:$E$350,0)</f>
        <v>119</v>
      </c>
      <c r="Q27" s="2" t="str">
        <f aca="false">IF(E27&gt;=30,"بسیار بالا",IF(E27&gt;=20,"بالا",IF(E27&gt;=13,"متوسط",IF(E27&gt;=8,"پایین","بسیار پایین"))))</f>
        <v>متوسط</v>
      </c>
      <c r="R27" s="10" t="n">
        <v>343.9</v>
      </c>
      <c r="S27" s="11" t="n">
        <v>-0.404</v>
      </c>
      <c r="T27" s="8" t="n">
        <v>56</v>
      </c>
      <c r="U27" s="2" t="s">
        <v>45</v>
      </c>
      <c r="V27" s="2" t="s">
        <v>80</v>
      </c>
      <c r="W27" s="2" t="n">
        <v>0.99</v>
      </c>
      <c r="X27" s="12" t="s">
        <v>46</v>
      </c>
    </row>
    <row r="28" customFormat="false" ht="16.4" hidden="false" customHeight="false" outlineLevel="0" collapsed="false">
      <c r="A28" s="2" t="n">
        <v>27</v>
      </c>
      <c r="B28" s="2" t="n">
        <v>1</v>
      </c>
      <c r="C28" s="2" t="s">
        <v>81</v>
      </c>
      <c r="D28" s="8" t="n">
        <v>14224</v>
      </c>
      <c r="E28" s="9" t="n">
        <v>14.88</v>
      </c>
      <c r="F28" s="9" t="n">
        <v>12.4</v>
      </c>
      <c r="G28" s="9" t="n">
        <v>17.73</v>
      </c>
      <c r="H28" s="9" t="n">
        <v>31.3</v>
      </c>
      <c r="I28" s="9" t="n">
        <f aca="false">E28-H28</f>
        <v>-16.42</v>
      </c>
      <c r="J28" s="8" t="n">
        <f aca="false">ROUND(D28*E28/100,0)</f>
        <v>2117</v>
      </c>
      <c r="K28" s="9" t="n">
        <v>28.08</v>
      </c>
      <c r="L28" s="9" t="n">
        <v>26.43</v>
      </c>
      <c r="M28" s="9" t="n">
        <v>95.52</v>
      </c>
      <c r="N28" s="9" t="n">
        <v>75.16</v>
      </c>
      <c r="O28" s="9" t="n">
        <v>28.75</v>
      </c>
      <c r="P28" s="2" t="n">
        <f aca="false">RANK(E28,$E$2:$E$350,0)</f>
        <v>187</v>
      </c>
      <c r="Q28" s="2" t="str">
        <f aca="false">IF(E28&gt;=30,"بسیار بالا",IF(E28&gt;=20,"بالا",IF(E28&gt;=13,"متوسط",IF(E28&gt;=8,"پایین","بسیار پایین"))))</f>
        <v>متوسط</v>
      </c>
      <c r="R28" s="10" t="n">
        <v>260</v>
      </c>
      <c r="S28" s="11" t="n">
        <v>-0.651</v>
      </c>
      <c r="T28" s="8" t="n">
        <v>17</v>
      </c>
      <c r="U28" s="2" t="s">
        <v>45</v>
      </c>
      <c r="V28" s="2" t="s">
        <v>82</v>
      </c>
      <c r="W28" s="2" t="n">
        <v>0.75</v>
      </c>
      <c r="X28" s="12" t="s">
        <v>50</v>
      </c>
    </row>
    <row r="29" customFormat="false" ht="16.4" hidden="false" customHeight="false" outlineLevel="0" collapsed="false">
      <c r="A29" s="2" t="n">
        <v>28</v>
      </c>
      <c r="B29" s="2" t="n">
        <v>2</v>
      </c>
      <c r="C29" s="2" t="s">
        <v>83</v>
      </c>
      <c r="D29" s="8" t="n">
        <v>62423</v>
      </c>
      <c r="E29" s="9" t="n">
        <v>46.93</v>
      </c>
      <c r="F29" s="9" t="n">
        <v>43.64</v>
      </c>
      <c r="G29" s="9" t="n">
        <v>50.19</v>
      </c>
      <c r="H29" s="9" t="n">
        <v>31.7</v>
      </c>
      <c r="I29" s="9" t="n">
        <f aca="false">E29-H29</f>
        <v>15.23</v>
      </c>
      <c r="J29" s="8" t="n">
        <f aca="false">ROUND(D29*E29/100,0)</f>
        <v>29295</v>
      </c>
      <c r="K29" s="9" t="n">
        <v>64.83</v>
      </c>
      <c r="L29" s="9" t="n">
        <v>59.16</v>
      </c>
      <c r="M29" s="9" t="n">
        <v>97.49</v>
      </c>
      <c r="N29" s="9" t="n">
        <v>95.82</v>
      </c>
      <c r="O29" s="9" t="n">
        <v>60.19</v>
      </c>
      <c r="P29" s="2" t="n">
        <f aca="false">RANK(E29,$E$2:$E$350,0)</f>
        <v>1</v>
      </c>
      <c r="Q29" s="2" t="str">
        <f aca="false">IF(E29&gt;=30,"بسیار بالا",IF(E29&gt;=20,"بالا",IF(E29&gt;=13,"متوسط",IF(E29&gt;=8,"پایین","بسیار پایین"))))</f>
        <v>بسیار بالا</v>
      </c>
      <c r="R29" s="10" t="n">
        <v>656.2</v>
      </c>
      <c r="S29" s="11" t="n">
        <v>0.471</v>
      </c>
      <c r="T29" s="8" t="n">
        <v>88</v>
      </c>
      <c r="U29" s="2" t="s">
        <v>45</v>
      </c>
      <c r="V29" s="2" t="s">
        <v>84</v>
      </c>
      <c r="W29" s="2" t="n">
        <v>0.97</v>
      </c>
      <c r="X29" s="12" t="s">
        <v>46</v>
      </c>
    </row>
    <row r="30" customFormat="false" ht="16.4" hidden="false" customHeight="false" outlineLevel="0" collapsed="false">
      <c r="A30" s="2" t="n">
        <v>29</v>
      </c>
      <c r="B30" s="2" t="n">
        <v>2</v>
      </c>
      <c r="C30" s="2" t="s">
        <v>85</v>
      </c>
      <c r="D30" s="8" t="n">
        <v>24679</v>
      </c>
      <c r="E30" s="9" t="n">
        <v>42.28</v>
      </c>
      <c r="F30" s="9" t="n">
        <v>40.04</v>
      </c>
      <c r="G30" s="9" t="n">
        <v>44.51</v>
      </c>
      <c r="H30" s="9" t="n">
        <v>31.7</v>
      </c>
      <c r="I30" s="9" t="n">
        <f aca="false">E30-H30</f>
        <v>10.58</v>
      </c>
      <c r="J30" s="8" t="n">
        <f aca="false">ROUND(D30*E30/100,0)</f>
        <v>10434</v>
      </c>
      <c r="K30" s="9" t="n">
        <v>60.44</v>
      </c>
      <c r="L30" s="9" t="n">
        <v>55.38</v>
      </c>
      <c r="M30" s="9" t="n">
        <v>97.13</v>
      </c>
      <c r="N30" s="9" t="n">
        <v>94.6</v>
      </c>
      <c r="O30" s="9" t="n">
        <v>56.04</v>
      </c>
      <c r="P30" s="2" t="n">
        <f aca="false">RANK(E30,$E$2:$E$350,0)</f>
        <v>5</v>
      </c>
      <c r="Q30" s="2" t="str">
        <f aca="false">IF(E30&gt;=30,"بسیار بالا",IF(E30&gt;=20,"بالا",IF(E30&gt;=13,"متوسط",IF(E30&gt;=8,"پایین","بسیار پایین"))))</f>
        <v>بسیار بالا</v>
      </c>
      <c r="R30" s="10" t="n">
        <v>595.7</v>
      </c>
      <c r="S30" s="11" t="n">
        <v>0.339</v>
      </c>
      <c r="T30" s="8" t="n">
        <v>90</v>
      </c>
      <c r="U30" s="2" t="s">
        <v>45</v>
      </c>
      <c r="V30" s="2" t="s">
        <v>85</v>
      </c>
      <c r="W30" s="2" t="n">
        <v>0.98</v>
      </c>
      <c r="X30" s="12" t="s">
        <v>46</v>
      </c>
    </row>
    <row r="31" customFormat="false" ht="16.4" hidden="false" customHeight="false" outlineLevel="0" collapsed="false">
      <c r="A31" s="2" t="n">
        <v>30</v>
      </c>
      <c r="B31" s="2" t="n">
        <v>2</v>
      </c>
      <c r="C31" s="2" t="s">
        <v>86</v>
      </c>
      <c r="D31" s="8" t="n">
        <v>45841</v>
      </c>
      <c r="E31" s="9" t="n">
        <v>38.42</v>
      </c>
      <c r="F31" s="9" t="n">
        <v>37.04</v>
      </c>
      <c r="G31" s="9" t="n">
        <v>39.76</v>
      </c>
      <c r="H31" s="9" t="n">
        <v>31.7</v>
      </c>
      <c r="I31" s="9" t="n">
        <f aca="false">E31-H31</f>
        <v>6.72</v>
      </c>
      <c r="J31" s="8" t="n">
        <f aca="false">ROUND(D31*E31/100,0)</f>
        <v>17612</v>
      </c>
      <c r="K31" s="9" t="n">
        <v>56.55</v>
      </c>
      <c r="L31" s="9" t="n">
        <v>52.1</v>
      </c>
      <c r="M31" s="9" t="n">
        <v>96.78</v>
      </c>
      <c r="N31" s="9" t="n">
        <v>93.3</v>
      </c>
      <c r="O31" s="9" t="n">
        <v>52.43</v>
      </c>
      <c r="P31" s="2" t="n">
        <f aca="false">RANK(E31,$E$2:$E$350,0)</f>
        <v>10</v>
      </c>
      <c r="Q31" s="2" t="str">
        <f aca="false">IF(E31&gt;=30,"بسیار بالا",IF(E31&gt;=20,"بالا",IF(E31&gt;=13,"متوسط",IF(E31&gt;=8,"پایین","بسیار پایین"))))</f>
        <v>بسیار بالا</v>
      </c>
      <c r="R31" s="10" t="n">
        <v>503.6</v>
      </c>
      <c r="S31" s="11" t="n">
        <v>0.226</v>
      </c>
      <c r="T31" s="8" t="n">
        <v>93</v>
      </c>
      <c r="U31" s="2" t="s">
        <v>54</v>
      </c>
      <c r="V31" s="2" t="s">
        <v>87</v>
      </c>
      <c r="W31" s="2" t="n">
        <v>0.99</v>
      </c>
      <c r="X31" s="12" t="s">
        <v>46</v>
      </c>
    </row>
    <row r="32" customFormat="false" ht="16.4" hidden="false" customHeight="false" outlineLevel="0" collapsed="false">
      <c r="A32" s="2" t="n">
        <v>31</v>
      </c>
      <c r="B32" s="2" t="n">
        <v>2</v>
      </c>
      <c r="C32" s="2" t="s">
        <v>87</v>
      </c>
      <c r="D32" s="8" t="n">
        <v>37403</v>
      </c>
      <c r="E32" s="9" t="n">
        <v>38.42</v>
      </c>
      <c r="F32" s="9" t="n">
        <v>37.04</v>
      </c>
      <c r="G32" s="9" t="n">
        <v>39.76</v>
      </c>
      <c r="H32" s="9" t="n">
        <v>31.7</v>
      </c>
      <c r="I32" s="9" t="n">
        <f aca="false">E32-H32</f>
        <v>6.72</v>
      </c>
      <c r="J32" s="8" t="n">
        <f aca="false">ROUND(D32*E32/100,0)</f>
        <v>14370</v>
      </c>
      <c r="K32" s="9" t="n">
        <v>56.55</v>
      </c>
      <c r="L32" s="9" t="n">
        <v>52.1</v>
      </c>
      <c r="M32" s="9" t="n">
        <v>96.78</v>
      </c>
      <c r="N32" s="9" t="n">
        <v>93.3</v>
      </c>
      <c r="O32" s="9" t="n">
        <v>52.43</v>
      </c>
      <c r="P32" s="2" t="n">
        <f aca="false">RANK(E32,$E$2:$E$350,0)</f>
        <v>10</v>
      </c>
      <c r="Q32" s="2" t="str">
        <f aca="false">IF(E32&gt;=30,"بسیار بالا",IF(E32&gt;=20,"بالا",IF(E32&gt;=13,"متوسط",IF(E32&gt;=8,"پایین","بسیار پایین"))))</f>
        <v>بسیار بالا</v>
      </c>
      <c r="R32" s="10" t="n">
        <v>503.6</v>
      </c>
      <c r="S32" s="11" t="n">
        <v>0.226</v>
      </c>
      <c r="T32" s="8" t="n">
        <v>93</v>
      </c>
      <c r="U32" s="2" t="s">
        <v>54</v>
      </c>
      <c r="V32" s="2" t="s">
        <v>87</v>
      </c>
      <c r="W32" s="2" t="n">
        <v>0.99</v>
      </c>
      <c r="X32" s="12" t="s">
        <v>46</v>
      </c>
    </row>
    <row r="33" customFormat="false" ht="16.4" hidden="false" customHeight="false" outlineLevel="0" collapsed="false">
      <c r="A33" s="2" t="n">
        <v>32</v>
      </c>
      <c r="B33" s="2" t="n">
        <v>2</v>
      </c>
      <c r="C33" s="2" t="s">
        <v>88</v>
      </c>
      <c r="D33" s="8" t="n">
        <v>30508</v>
      </c>
      <c r="E33" s="9" t="n">
        <v>36.72</v>
      </c>
      <c r="F33" s="9" t="n">
        <v>35.72</v>
      </c>
      <c r="G33" s="9" t="n">
        <v>37.67</v>
      </c>
      <c r="H33" s="9" t="n">
        <v>31.7</v>
      </c>
      <c r="I33" s="9" t="n">
        <f aca="false">E33-H33</f>
        <v>5.02</v>
      </c>
      <c r="J33" s="8" t="n">
        <f aca="false">ROUND(D33*E33/100,0)</f>
        <v>11203</v>
      </c>
      <c r="K33" s="9" t="n">
        <v>54.75</v>
      </c>
      <c r="L33" s="9" t="n">
        <v>50.6</v>
      </c>
      <c r="M33" s="9" t="n">
        <v>96.61</v>
      </c>
      <c r="N33" s="9" t="n">
        <v>92.62</v>
      </c>
      <c r="O33" s="9" t="n">
        <v>50.79</v>
      </c>
      <c r="P33" s="2" t="n">
        <f aca="false">RANK(E33,$E$2:$E$350,0)</f>
        <v>18</v>
      </c>
      <c r="Q33" s="2" t="str">
        <f aca="false">IF(E33&gt;=30,"بسیار بالا",IF(E33&gt;=20,"بالا",IF(E33&gt;=13,"متوسط",IF(E33&gt;=8,"پایین","بسیار پایین"))))</f>
        <v>بسیار بالا</v>
      </c>
      <c r="R33" s="10" t="n">
        <v>479.8</v>
      </c>
      <c r="S33" s="11" t="n">
        <v>0.175</v>
      </c>
      <c r="T33" s="8" t="n">
        <v>60</v>
      </c>
      <c r="U33" s="2" t="s">
        <v>45</v>
      </c>
      <c r="V33" s="2" t="s">
        <v>89</v>
      </c>
      <c r="W33" s="2" t="n">
        <v>0.99</v>
      </c>
      <c r="X33" s="12" t="s">
        <v>46</v>
      </c>
    </row>
    <row r="34" customFormat="false" ht="16.4" hidden="false" customHeight="false" outlineLevel="0" collapsed="false">
      <c r="A34" s="2" t="n">
        <v>33</v>
      </c>
      <c r="B34" s="2" t="n">
        <v>2</v>
      </c>
      <c r="C34" s="2" t="s">
        <v>90</v>
      </c>
      <c r="D34" s="8" t="n">
        <v>44870</v>
      </c>
      <c r="E34" s="9" t="n">
        <v>35.6</v>
      </c>
      <c r="F34" s="9" t="n">
        <v>34.85</v>
      </c>
      <c r="G34" s="9" t="n">
        <v>36.3</v>
      </c>
      <c r="H34" s="9" t="n">
        <v>31.7</v>
      </c>
      <c r="I34" s="9" t="n">
        <f aca="false">E34-H34</f>
        <v>3.9</v>
      </c>
      <c r="J34" s="8" t="n">
        <f aca="false">ROUND(D34*E34/100,0)</f>
        <v>15974</v>
      </c>
      <c r="K34" s="9" t="n">
        <v>53.55</v>
      </c>
      <c r="L34" s="9" t="n">
        <v>49.61</v>
      </c>
      <c r="M34" s="9" t="n">
        <v>96.49</v>
      </c>
      <c r="N34" s="9" t="n">
        <v>92.13</v>
      </c>
      <c r="O34" s="9" t="n">
        <v>49.69</v>
      </c>
      <c r="P34" s="2" t="n">
        <f aca="false">RANK(E34,$E$2:$E$350,0)</f>
        <v>22</v>
      </c>
      <c r="Q34" s="2" t="str">
        <f aca="false">IF(E34&gt;=30,"بسیار بالا",IF(E34&gt;=20,"بالا",IF(E34&gt;=13,"متوسط",IF(E34&gt;=8,"پایین","بسیار پایین"))))</f>
        <v>بسیار بالا</v>
      </c>
      <c r="R34" s="10" t="n">
        <v>473.2</v>
      </c>
      <c r="S34" s="11" t="n">
        <v>0.141</v>
      </c>
      <c r="T34" s="8" t="n">
        <v>95</v>
      </c>
      <c r="U34" s="2" t="s">
        <v>54</v>
      </c>
      <c r="V34" s="2" t="s">
        <v>91</v>
      </c>
      <c r="W34" s="2" t="n">
        <v>0.99</v>
      </c>
      <c r="X34" s="12" t="s">
        <v>46</v>
      </c>
    </row>
    <row r="35" customFormat="false" ht="16.4" hidden="false" customHeight="false" outlineLevel="0" collapsed="false">
      <c r="A35" s="2" t="n">
        <v>34</v>
      </c>
      <c r="B35" s="2" t="n">
        <v>2</v>
      </c>
      <c r="C35" s="2" t="s">
        <v>92</v>
      </c>
      <c r="D35" s="8" t="n">
        <v>33397</v>
      </c>
      <c r="E35" s="9" t="n">
        <v>33.05</v>
      </c>
      <c r="F35" s="9" t="n">
        <v>32.86</v>
      </c>
      <c r="G35" s="9" t="n">
        <v>33.2</v>
      </c>
      <c r="H35" s="9" t="n">
        <v>31.7</v>
      </c>
      <c r="I35" s="9" t="n">
        <f aca="false">E35-H35</f>
        <v>1.35</v>
      </c>
      <c r="J35" s="8" t="n">
        <f aca="false">ROUND(D35*E35/100,0)</f>
        <v>11038</v>
      </c>
      <c r="K35" s="9" t="n">
        <v>50.74</v>
      </c>
      <c r="L35" s="9" t="n">
        <v>47.29</v>
      </c>
      <c r="M35" s="9" t="n">
        <v>96.19</v>
      </c>
      <c r="N35" s="9" t="n">
        <v>90.88</v>
      </c>
      <c r="O35" s="9" t="n">
        <v>47.14</v>
      </c>
      <c r="P35" s="2" t="n">
        <f aca="false">RANK(E35,$E$2:$E$350,0)</f>
        <v>33</v>
      </c>
      <c r="Q35" s="2" t="str">
        <f aca="false">IF(E35&gt;=30,"بسیار بالا",IF(E35&gt;=20,"بالا",IF(E35&gt;=13,"متوسط",IF(E35&gt;=8,"پایین","بسیار پایین"))))</f>
        <v>بسیار بالا</v>
      </c>
      <c r="R35" s="10" t="n">
        <v>427.3</v>
      </c>
      <c r="S35" s="11" t="n">
        <v>0.062</v>
      </c>
      <c r="T35" s="8" t="n">
        <v>89</v>
      </c>
      <c r="U35" s="2" t="s">
        <v>45</v>
      </c>
      <c r="V35" s="2" t="s">
        <v>92</v>
      </c>
      <c r="W35" s="2" t="n">
        <v>0.99</v>
      </c>
      <c r="X35" s="12" t="s">
        <v>46</v>
      </c>
    </row>
    <row r="36" customFormat="false" ht="16.4" hidden="false" customHeight="false" outlineLevel="0" collapsed="false">
      <c r="A36" s="2" t="n">
        <v>35</v>
      </c>
      <c r="B36" s="2" t="n">
        <v>2</v>
      </c>
      <c r="C36" s="2" t="s">
        <v>93</v>
      </c>
      <c r="D36" s="8" t="n">
        <v>54387</v>
      </c>
      <c r="E36" s="9" t="n">
        <v>31.45</v>
      </c>
      <c r="F36" s="9" t="n">
        <v>31.26</v>
      </c>
      <c r="G36" s="9" t="n">
        <v>31.6</v>
      </c>
      <c r="H36" s="9" t="n">
        <v>31.7</v>
      </c>
      <c r="I36" s="9" t="n">
        <f aca="false">E36-H36</f>
        <v>-0.25</v>
      </c>
      <c r="J36" s="8" t="n">
        <f aca="false">ROUND(D36*E36/100,0)</f>
        <v>17105</v>
      </c>
      <c r="K36" s="9" t="n">
        <v>48.91</v>
      </c>
      <c r="L36" s="9" t="n">
        <v>45.79</v>
      </c>
      <c r="M36" s="9" t="n">
        <v>95.99</v>
      </c>
      <c r="N36" s="9" t="n">
        <v>89.98</v>
      </c>
      <c r="O36" s="9" t="n">
        <v>45.49</v>
      </c>
      <c r="P36" s="2" t="n">
        <f aca="false">RANK(E36,$E$2:$E$350,0)</f>
        <v>38</v>
      </c>
      <c r="Q36" s="2" t="str">
        <f aca="false">IF(E36&gt;=30,"بسیار بالا",IF(E36&gt;=20,"بالا",IF(E36&gt;=13,"متوسط",IF(E36&gt;=8,"پایین","بسیار پایین"))))</f>
        <v>بسیار بالا</v>
      </c>
      <c r="R36" s="10" t="n">
        <v>405.9</v>
      </c>
      <c r="S36" s="11" t="n">
        <v>0.01</v>
      </c>
      <c r="T36" s="8" t="n">
        <v>89</v>
      </c>
      <c r="U36" s="2" t="s">
        <v>54</v>
      </c>
      <c r="V36" s="2" t="s">
        <v>94</v>
      </c>
      <c r="W36" s="2" t="n">
        <v>0.99</v>
      </c>
      <c r="X36" s="12" t="s">
        <v>46</v>
      </c>
    </row>
    <row r="37" customFormat="false" ht="16.4" hidden="false" customHeight="false" outlineLevel="0" collapsed="false">
      <c r="A37" s="2" t="n">
        <v>36</v>
      </c>
      <c r="B37" s="2" t="n">
        <v>2</v>
      </c>
      <c r="C37" s="2" t="s">
        <v>95</v>
      </c>
      <c r="D37" s="8" t="n">
        <v>42043</v>
      </c>
      <c r="E37" s="9" t="n">
        <v>31.45</v>
      </c>
      <c r="F37" s="9" t="n">
        <v>31.26</v>
      </c>
      <c r="G37" s="9" t="n">
        <v>31.6</v>
      </c>
      <c r="H37" s="9" t="n">
        <v>31.7</v>
      </c>
      <c r="I37" s="9" t="n">
        <f aca="false">E37-H37</f>
        <v>-0.25</v>
      </c>
      <c r="J37" s="8" t="n">
        <f aca="false">ROUND(D37*E37/100,0)</f>
        <v>13223</v>
      </c>
      <c r="K37" s="9" t="n">
        <v>48.91</v>
      </c>
      <c r="L37" s="9" t="n">
        <v>45.79</v>
      </c>
      <c r="M37" s="9" t="n">
        <v>95.99</v>
      </c>
      <c r="N37" s="9" t="n">
        <v>89.98</v>
      </c>
      <c r="O37" s="9" t="n">
        <v>45.49</v>
      </c>
      <c r="P37" s="2" t="n">
        <f aca="false">RANK(E37,$E$2:$E$350,0)</f>
        <v>38</v>
      </c>
      <c r="Q37" s="2" t="str">
        <f aca="false">IF(E37&gt;=30,"بسیار بالا",IF(E37&gt;=20,"بالا",IF(E37&gt;=13,"متوسط",IF(E37&gt;=8,"پایین","بسیار پایین"))))</f>
        <v>بسیار بالا</v>
      </c>
      <c r="R37" s="10" t="n">
        <v>405.9</v>
      </c>
      <c r="S37" s="11" t="n">
        <v>0.01</v>
      </c>
      <c r="T37" s="8" t="n">
        <v>89</v>
      </c>
      <c r="U37" s="2" t="s">
        <v>54</v>
      </c>
      <c r="V37" s="2" t="s">
        <v>94</v>
      </c>
      <c r="W37" s="2" t="n">
        <v>0.99</v>
      </c>
      <c r="X37" s="12" t="s">
        <v>46</v>
      </c>
    </row>
    <row r="38" customFormat="false" ht="16.4" hidden="false" customHeight="false" outlineLevel="0" collapsed="false">
      <c r="A38" s="2" t="n">
        <v>37</v>
      </c>
      <c r="B38" s="2" t="n">
        <v>2</v>
      </c>
      <c r="C38" s="2" t="s">
        <v>96</v>
      </c>
      <c r="D38" s="8" t="n">
        <v>33619</v>
      </c>
      <c r="E38" s="9" t="n">
        <v>31.13</v>
      </c>
      <c r="F38" s="9" t="n">
        <v>30.87</v>
      </c>
      <c r="G38" s="9" t="n">
        <v>31.35</v>
      </c>
      <c r="H38" s="9" t="n">
        <v>31.7</v>
      </c>
      <c r="I38" s="9" t="n">
        <f aca="false">E38-H38</f>
        <v>-0.57</v>
      </c>
      <c r="J38" s="8" t="n">
        <f aca="false">ROUND(D38*E38/100,0)</f>
        <v>10466</v>
      </c>
      <c r="K38" s="9" t="n">
        <v>48.53</v>
      </c>
      <c r="L38" s="9" t="n">
        <v>45.49</v>
      </c>
      <c r="M38" s="9" t="n">
        <v>95.94</v>
      </c>
      <c r="N38" s="9" t="n">
        <v>89.78</v>
      </c>
      <c r="O38" s="9" t="n">
        <v>45.15</v>
      </c>
      <c r="P38" s="2" t="n">
        <f aca="false">RANK(E38,$E$2:$E$350,0)</f>
        <v>41</v>
      </c>
      <c r="Q38" s="2" t="str">
        <f aca="false">IF(E38&gt;=30,"بسیار بالا",IF(E38&gt;=20,"بالا",IF(E38&gt;=13,"متوسط",IF(E38&gt;=8,"پایین","بسیار پایین"))))</f>
        <v>بسیار بالا</v>
      </c>
      <c r="R38" s="10"/>
      <c r="S38" s="11" t="n">
        <v>0</v>
      </c>
      <c r="T38" s="8" t="n">
        <v>0</v>
      </c>
      <c r="U38" s="2" t="s">
        <v>64</v>
      </c>
      <c r="V38" s="12" t="s">
        <v>65</v>
      </c>
      <c r="W38" s="2" t="n">
        <v>0</v>
      </c>
      <c r="X38" s="12" t="s">
        <v>66</v>
      </c>
    </row>
    <row r="39" customFormat="false" ht="16.4" hidden="false" customHeight="false" outlineLevel="0" collapsed="false">
      <c r="A39" s="2" t="n">
        <v>38</v>
      </c>
      <c r="B39" s="2" t="n">
        <v>2</v>
      </c>
      <c r="C39" s="2" t="s">
        <v>97</v>
      </c>
      <c r="D39" s="8" t="n">
        <v>29776</v>
      </c>
      <c r="E39" s="9" t="n">
        <v>31.13</v>
      </c>
      <c r="F39" s="9" t="n">
        <v>30.87</v>
      </c>
      <c r="G39" s="9" t="n">
        <v>31.35</v>
      </c>
      <c r="H39" s="9" t="n">
        <v>31.7</v>
      </c>
      <c r="I39" s="9" t="n">
        <f aca="false">E39-H39</f>
        <v>-0.57</v>
      </c>
      <c r="J39" s="8" t="n">
        <f aca="false">ROUND(D39*E39/100,0)</f>
        <v>9269</v>
      </c>
      <c r="K39" s="9" t="n">
        <v>48.53</v>
      </c>
      <c r="L39" s="9" t="n">
        <v>45.49</v>
      </c>
      <c r="M39" s="9" t="n">
        <v>95.94</v>
      </c>
      <c r="N39" s="9" t="n">
        <v>89.78</v>
      </c>
      <c r="O39" s="9" t="n">
        <v>45.15</v>
      </c>
      <c r="P39" s="2" t="n">
        <f aca="false">RANK(E39,$E$2:$E$350,0)</f>
        <v>41</v>
      </c>
      <c r="Q39" s="2" t="str">
        <f aca="false">IF(E39&gt;=30,"بسیار بالا",IF(E39&gt;=20,"بالا",IF(E39&gt;=13,"متوسط",IF(E39&gt;=8,"پایین","بسیار پایین"))))</f>
        <v>بسیار بالا</v>
      </c>
      <c r="R39" s="10"/>
      <c r="S39" s="11" t="n">
        <v>0</v>
      </c>
      <c r="T39" s="8" t="n">
        <v>0</v>
      </c>
      <c r="U39" s="2" t="s">
        <v>64</v>
      </c>
      <c r="V39" s="12" t="s">
        <v>65</v>
      </c>
      <c r="W39" s="2" t="n">
        <v>0</v>
      </c>
      <c r="X39" s="12" t="s">
        <v>66</v>
      </c>
    </row>
    <row r="40" customFormat="false" ht="16.4" hidden="false" customHeight="false" outlineLevel="0" collapsed="false">
      <c r="A40" s="2" t="n">
        <v>39</v>
      </c>
      <c r="B40" s="2" t="n">
        <v>2</v>
      </c>
      <c r="C40" s="2" t="s">
        <v>98</v>
      </c>
      <c r="D40" s="8" t="n">
        <v>17555</v>
      </c>
      <c r="E40" s="9" t="n">
        <v>31.13</v>
      </c>
      <c r="F40" s="9" t="n">
        <v>30.87</v>
      </c>
      <c r="G40" s="9" t="n">
        <v>31.35</v>
      </c>
      <c r="H40" s="9" t="n">
        <v>31.7</v>
      </c>
      <c r="I40" s="9" t="n">
        <f aca="false">E40-H40</f>
        <v>-0.57</v>
      </c>
      <c r="J40" s="8" t="n">
        <f aca="false">ROUND(D40*E40/100,0)</f>
        <v>5465</v>
      </c>
      <c r="K40" s="9" t="n">
        <v>48.53</v>
      </c>
      <c r="L40" s="9" t="n">
        <v>45.49</v>
      </c>
      <c r="M40" s="9" t="n">
        <v>95.94</v>
      </c>
      <c r="N40" s="9" t="n">
        <v>89.78</v>
      </c>
      <c r="O40" s="9" t="n">
        <v>45.15</v>
      </c>
      <c r="P40" s="2" t="n">
        <f aca="false">RANK(E40,$E$2:$E$350,0)</f>
        <v>41</v>
      </c>
      <c r="Q40" s="2" t="str">
        <f aca="false">IF(E40&gt;=30,"بسیار بالا",IF(E40&gt;=20,"بالا",IF(E40&gt;=13,"متوسط",IF(E40&gt;=8,"پایین","بسیار پایین"))))</f>
        <v>بسیار بالا</v>
      </c>
      <c r="R40" s="10"/>
      <c r="S40" s="11" t="n">
        <v>0</v>
      </c>
      <c r="T40" s="8" t="n">
        <v>0</v>
      </c>
      <c r="U40" s="2" t="s">
        <v>64</v>
      </c>
      <c r="V40" s="12" t="s">
        <v>65</v>
      </c>
      <c r="W40" s="2" t="n">
        <v>0</v>
      </c>
      <c r="X40" s="12" t="s">
        <v>66</v>
      </c>
    </row>
    <row r="41" customFormat="false" ht="16.4" hidden="false" customHeight="false" outlineLevel="0" collapsed="false">
      <c r="A41" s="2" t="n">
        <v>40</v>
      </c>
      <c r="B41" s="2" t="n">
        <v>2</v>
      </c>
      <c r="C41" s="2" t="s">
        <v>99</v>
      </c>
      <c r="D41" s="8" t="n">
        <v>25981</v>
      </c>
      <c r="E41" s="9" t="n">
        <v>29.23</v>
      </c>
      <c r="F41" s="9" t="n">
        <v>28.58</v>
      </c>
      <c r="G41" s="9" t="n">
        <v>29.83</v>
      </c>
      <c r="H41" s="9" t="n">
        <v>31.7</v>
      </c>
      <c r="I41" s="9" t="n">
        <f aca="false">E41-H41</f>
        <v>-2.47</v>
      </c>
      <c r="J41" s="8" t="n">
        <f aca="false">ROUND(D41*E41/100,0)</f>
        <v>7594</v>
      </c>
      <c r="K41" s="9" t="n">
        <v>46.28</v>
      </c>
      <c r="L41" s="9" t="n">
        <v>43.65</v>
      </c>
      <c r="M41" s="9" t="n">
        <v>95.68</v>
      </c>
      <c r="N41" s="9" t="n">
        <v>88.54</v>
      </c>
      <c r="O41" s="9" t="n">
        <v>43.13</v>
      </c>
      <c r="P41" s="2" t="n">
        <f aca="false">RANK(E41,$E$2:$E$350,0)</f>
        <v>54</v>
      </c>
      <c r="Q41" s="2" t="str">
        <f aca="false">IF(E41&gt;=30,"بسیار بالا",IF(E41&gt;=20,"بالا",IF(E41&gt;=13,"متوسط",IF(E41&gt;=8,"پایین","بسیار پایین"))))</f>
        <v>بالا</v>
      </c>
      <c r="R41" s="10" t="n">
        <v>379.7</v>
      </c>
      <c r="S41" s="11" t="n">
        <v>-0.063</v>
      </c>
      <c r="T41" s="8" t="n">
        <v>90</v>
      </c>
      <c r="U41" s="2" t="s">
        <v>45</v>
      </c>
      <c r="V41" s="2" t="s">
        <v>99</v>
      </c>
      <c r="W41" s="2" t="n">
        <v>0.99</v>
      </c>
      <c r="X41" s="12" t="s">
        <v>46</v>
      </c>
    </row>
    <row r="42" customFormat="false" ht="16.4" hidden="false" customHeight="false" outlineLevel="0" collapsed="false">
      <c r="A42" s="2" t="n">
        <v>41</v>
      </c>
      <c r="B42" s="2" t="n">
        <v>2</v>
      </c>
      <c r="C42" s="2" t="s">
        <v>100</v>
      </c>
      <c r="D42" s="8" t="n">
        <v>13348</v>
      </c>
      <c r="E42" s="9" t="n">
        <v>26.55</v>
      </c>
      <c r="F42" s="9" t="n">
        <v>25.4</v>
      </c>
      <c r="G42" s="9" t="n">
        <v>27.69</v>
      </c>
      <c r="H42" s="9" t="n">
        <v>31.7</v>
      </c>
      <c r="I42" s="9" t="n">
        <f aca="false">E42-H42</f>
        <v>-5.15</v>
      </c>
      <c r="J42" s="8" t="n">
        <f aca="false">ROUND(D42*E42/100,0)</f>
        <v>3544</v>
      </c>
      <c r="K42" s="9" t="n">
        <v>42.99</v>
      </c>
      <c r="L42" s="9" t="n">
        <v>40.98</v>
      </c>
      <c r="M42" s="9" t="n">
        <v>95.25</v>
      </c>
      <c r="N42" s="9" t="n">
        <v>86.46</v>
      </c>
      <c r="O42" s="9" t="n">
        <v>40.2</v>
      </c>
      <c r="P42" s="2" t="n">
        <f aca="false">RANK(E42,$E$2:$E$350,0)</f>
        <v>66</v>
      </c>
      <c r="Q42" s="2" t="str">
        <f aca="false">IF(E42&gt;=30,"بسیار بالا",IF(E42&gt;=20,"بالا",IF(E42&gt;=13,"متوسط",IF(E42&gt;=8,"پایین","بسیار پایین"))))</f>
        <v>بالا</v>
      </c>
      <c r="R42" s="10" t="n">
        <v>339.3</v>
      </c>
      <c r="S42" s="11" t="n">
        <v>-0.157</v>
      </c>
      <c r="T42" s="8" t="n">
        <v>25</v>
      </c>
      <c r="U42" s="2" t="s">
        <v>54</v>
      </c>
      <c r="V42" s="2" t="s">
        <v>100</v>
      </c>
      <c r="W42" s="2" t="n">
        <v>0.97</v>
      </c>
      <c r="X42" s="12" t="s">
        <v>50</v>
      </c>
    </row>
    <row r="43" customFormat="false" ht="16.4" hidden="false" customHeight="false" outlineLevel="0" collapsed="false">
      <c r="A43" s="2" t="n">
        <v>42</v>
      </c>
      <c r="B43" s="2" t="n">
        <v>2</v>
      </c>
      <c r="C43" s="2" t="s">
        <v>101</v>
      </c>
      <c r="D43" s="8" t="n">
        <v>36305</v>
      </c>
      <c r="E43" s="9" t="n">
        <v>26.18</v>
      </c>
      <c r="F43" s="9" t="n">
        <v>24.97</v>
      </c>
      <c r="G43" s="9" t="n">
        <v>27.39</v>
      </c>
      <c r="H43" s="9" t="n">
        <v>31.7</v>
      </c>
      <c r="I43" s="9" t="n">
        <f aca="false">E43-H43</f>
        <v>-5.52</v>
      </c>
      <c r="J43" s="8" t="n">
        <f aca="false">ROUND(D43*E43/100,0)</f>
        <v>9505</v>
      </c>
      <c r="K43" s="9" t="n">
        <v>42.53</v>
      </c>
      <c r="L43" s="9" t="n">
        <v>40.6</v>
      </c>
      <c r="M43" s="9" t="n">
        <v>95.19</v>
      </c>
      <c r="N43" s="9" t="n">
        <v>86.14</v>
      </c>
      <c r="O43" s="9" t="n">
        <v>39.79</v>
      </c>
      <c r="P43" s="2" t="n">
        <f aca="false">RANK(E43,$E$2:$E$350,0)</f>
        <v>69</v>
      </c>
      <c r="Q43" s="2" t="str">
        <f aca="false">IF(E43&gt;=30,"بسیار بالا",IF(E43&gt;=20,"بالا",IF(E43&gt;=13,"متوسط",IF(E43&gt;=8,"پایین","بسیار پایین"))))</f>
        <v>بالا</v>
      </c>
      <c r="R43" s="10" t="n">
        <v>360.5</v>
      </c>
      <c r="S43" s="11" t="n">
        <v>-0.17</v>
      </c>
      <c r="T43" s="8" t="n">
        <v>93</v>
      </c>
      <c r="U43" s="2" t="s">
        <v>45</v>
      </c>
      <c r="V43" s="2" t="s">
        <v>102</v>
      </c>
      <c r="W43" s="2" t="n">
        <v>0.99</v>
      </c>
      <c r="X43" s="12" t="s">
        <v>46</v>
      </c>
    </row>
    <row r="44" customFormat="false" ht="16.4" hidden="false" customHeight="false" outlineLevel="0" collapsed="false">
      <c r="A44" s="2" t="n">
        <v>43</v>
      </c>
      <c r="B44" s="2" t="n">
        <v>2</v>
      </c>
      <c r="C44" s="2" t="s">
        <v>103</v>
      </c>
      <c r="D44" s="8" t="n">
        <v>17173</v>
      </c>
      <c r="E44" s="9" t="n">
        <v>24.47</v>
      </c>
      <c r="F44" s="9" t="n">
        <v>22.97</v>
      </c>
      <c r="G44" s="9" t="n">
        <v>26</v>
      </c>
      <c r="H44" s="9" t="n">
        <v>31.7</v>
      </c>
      <c r="I44" s="9" t="n">
        <f aca="false">E44-H44</f>
        <v>-7.23</v>
      </c>
      <c r="J44" s="8" t="n">
        <f aca="false">ROUND(D44*E44/100,0)</f>
        <v>4202</v>
      </c>
      <c r="K44" s="9" t="n">
        <v>40.34</v>
      </c>
      <c r="L44" s="9" t="n">
        <v>38.82</v>
      </c>
      <c r="M44" s="9" t="n">
        <v>94.87</v>
      </c>
      <c r="N44" s="9" t="n">
        <v>84.53</v>
      </c>
      <c r="O44" s="9" t="n">
        <v>37.85</v>
      </c>
      <c r="P44" s="2" t="n">
        <f aca="false">RANK(E44,$E$2:$E$350,0)</f>
        <v>83</v>
      </c>
      <c r="Q44" s="2" t="str">
        <f aca="false">IF(E44&gt;=30,"بسیار بالا",IF(E44&gt;=20,"بالا",IF(E44&gt;=13,"متوسط",IF(E44&gt;=8,"پایین","بسیار پایین"))))</f>
        <v>بالا</v>
      </c>
      <c r="R44" s="10" t="n">
        <v>343.6</v>
      </c>
      <c r="S44" s="11" t="n">
        <v>-0.233</v>
      </c>
      <c r="T44" s="8" t="n">
        <v>93</v>
      </c>
      <c r="U44" s="2" t="s">
        <v>45</v>
      </c>
      <c r="V44" s="2" t="s">
        <v>104</v>
      </c>
      <c r="W44" s="2" t="n">
        <v>0.99</v>
      </c>
      <c r="X44" s="12" t="s">
        <v>46</v>
      </c>
    </row>
    <row r="45" customFormat="false" ht="16.4" hidden="false" customHeight="false" outlineLevel="0" collapsed="false">
      <c r="A45" s="2" t="n">
        <v>44</v>
      </c>
      <c r="B45" s="2" t="n">
        <v>2</v>
      </c>
      <c r="C45" s="2" t="s">
        <v>105</v>
      </c>
      <c r="D45" s="8" t="n">
        <v>26267</v>
      </c>
      <c r="E45" s="9" t="n">
        <v>22.89</v>
      </c>
      <c r="F45" s="9" t="n">
        <v>21.15</v>
      </c>
      <c r="G45" s="9" t="n">
        <v>24.7</v>
      </c>
      <c r="H45" s="9" t="n">
        <v>31.7</v>
      </c>
      <c r="I45" s="9" t="n">
        <f aca="false">E45-H45</f>
        <v>-8.81</v>
      </c>
      <c r="J45" s="8" t="n">
        <f aca="false">ROUND(D45*E45/100,0)</f>
        <v>6013</v>
      </c>
      <c r="K45" s="9" t="n">
        <v>38.26</v>
      </c>
      <c r="L45" s="9" t="n">
        <v>37.13</v>
      </c>
      <c r="M45" s="9" t="n">
        <v>94.55</v>
      </c>
      <c r="N45" s="9" t="n">
        <v>82.82</v>
      </c>
      <c r="O45" s="9" t="n">
        <v>36</v>
      </c>
      <c r="P45" s="2" t="n">
        <f aca="false">RANK(E45,$E$2:$E$350,0)</f>
        <v>94</v>
      </c>
      <c r="Q45" s="2" t="str">
        <f aca="false">IF(E45&gt;=30,"بسیار بالا",IF(E45&gt;=20,"بالا",IF(E45&gt;=13,"متوسط",IF(E45&gt;=8,"پایین","بسیار پایین"))))</f>
        <v>بالا</v>
      </c>
      <c r="R45" s="10" t="n">
        <v>307.4</v>
      </c>
      <c r="S45" s="11" t="n">
        <v>-0.295</v>
      </c>
      <c r="T45" s="8" t="n">
        <v>95</v>
      </c>
      <c r="U45" s="2" t="s">
        <v>106</v>
      </c>
      <c r="V45" s="2" t="s">
        <v>107</v>
      </c>
      <c r="W45" s="2" t="n">
        <v>0.99</v>
      </c>
      <c r="X45" s="12" t="s">
        <v>50</v>
      </c>
    </row>
    <row r="46" customFormat="false" ht="16.4" hidden="false" customHeight="false" outlineLevel="0" collapsed="false">
      <c r="A46" s="2" t="n">
        <v>45</v>
      </c>
      <c r="B46" s="2" t="n">
        <v>2</v>
      </c>
      <c r="C46" s="2" t="s">
        <v>108</v>
      </c>
      <c r="D46" s="8" t="n">
        <v>42945</v>
      </c>
      <c r="E46" s="9" t="n">
        <v>21.49</v>
      </c>
      <c r="F46" s="9" t="n">
        <v>19.55</v>
      </c>
      <c r="G46" s="9" t="n">
        <v>23.53</v>
      </c>
      <c r="H46" s="9" t="n">
        <v>31.7</v>
      </c>
      <c r="I46" s="9" t="n">
        <f aca="false">E46-H46</f>
        <v>-10.21</v>
      </c>
      <c r="J46" s="8" t="n">
        <f aca="false">ROUND(D46*E46/100,0)</f>
        <v>9229</v>
      </c>
      <c r="K46" s="9" t="n">
        <v>36.36</v>
      </c>
      <c r="L46" s="9" t="n">
        <v>35.58</v>
      </c>
      <c r="M46" s="9" t="n">
        <v>94.23</v>
      </c>
      <c r="N46" s="9" t="n">
        <v>81.11</v>
      </c>
      <c r="O46" s="9" t="n">
        <v>34.32</v>
      </c>
      <c r="P46" s="2" t="n">
        <f aca="false">RANK(E46,$E$2:$E$350,0)</f>
        <v>103</v>
      </c>
      <c r="Q46" s="2" t="str">
        <f aca="false">IF(E46&gt;=30,"بسیار بالا",IF(E46&gt;=20,"بالا",IF(E46&gt;=13,"متوسط",IF(E46&gt;=8,"پایین","بسیار پایین"))))</f>
        <v>بالا</v>
      </c>
      <c r="R46" s="10" t="n">
        <v>279.5</v>
      </c>
      <c r="S46" s="11" t="n">
        <v>-0.352</v>
      </c>
      <c r="T46" s="8" t="n">
        <v>92</v>
      </c>
      <c r="U46" s="2" t="s">
        <v>54</v>
      </c>
      <c r="V46" s="2" t="s">
        <v>108</v>
      </c>
      <c r="W46" s="2" t="n">
        <v>0.99</v>
      </c>
      <c r="X46" s="12" t="s">
        <v>46</v>
      </c>
    </row>
    <row r="47" customFormat="false" ht="16.4" hidden="false" customHeight="false" outlineLevel="0" collapsed="false">
      <c r="A47" s="2" t="n">
        <v>46</v>
      </c>
      <c r="B47" s="2" t="n">
        <v>2</v>
      </c>
      <c r="C47" s="2" t="s">
        <v>109</v>
      </c>
      <c r="D47" s="8" t="n">
        <v>34358</v>
      </c>
      <c r="E47" s="9" t="n">
        <v>19.44</v>
      </c>
      <c r="F47" s="9" t="n">
        <v>17.26</v>
      </c>
      <c r="G47" s="9" t="n">
        <v>21.79</v>
      </c>
      <c r="H47" s="9" t="n">
        <v>31.7</v>
      </c>
      <c r="I47" s="9" t="n">
        <f aca="false">E47-H47</f>
        <v>-12.26</v>
      </c>
      <c r="J47" s="8" t="n">
        <f aca="false">ROUND(D47*E47/100,0)</f>
        <v>6679</v>
      </c>
      <c r="K47" s="9" t="n">
        <v>33.5</v>
      </c>
      <c r="L47" s="9" t="n">
        <v>33.24</v>
      </c>
      <c r="M47" s="9" t="n">
        <v>93.7</v>
      </c>
      <c r="N47" s="9" t="n">
        <v>78.2</v>
      </c>
      <c r="O47" s="9" t="n">
        <v>31.8</v>
      </c>
      <c r="P47" s="2" t="n">
        <f aca="false">RANK(E47,$E$2:$E$350,0)</f>
        <v>124</v>
      </c>
      <c r="Q47" s="2" t="str">
        <f aca="false">IF(E47&gt;=30,"بسیار بالا",IF(E47&gt;=20,"بالا",IF(E47&gt;=13,"متوسط",IF(E47&gt;=8,"پایین","بسیار پایین"))))</f>
        <v>متوسط</v>
      </c>
      <c r="R47" s="10" t="n">
        <v>291.7</v>
      </c>
      <c r="S47" s="11" t="n">
        <v>-0.44</v>
      </c>
      <c r="T47" s="8" t="n">
        <v>88</v>
      </c>
      <c r="U47" s="2" t="s">
        <v>45</v>
      </c>
      <c r="V47" s="2" t="s">
        <v>109</v>
      </c>
      <c r="W47" s="2" t="n">
        <v>0.98</v>
      </c>
      <c r="X47" s="12" t="s">
        <v>46</v>
      </c>
    </row>
    <row r="48" customFormat="false" ht="16.4" hidden="false" customHeight="false" outlineLevel="0" collapsed="false">
      <c r="A48" s="2" t="n">
        <v>47</v>
      </c>
      <c r="B48" s="2" t="n">
        <v>2</v>
      </c>
      <c r="C48" s="2" t="s">
        <v>110</v>
      </c>
      <c r="D48" s="8" t="n">
        <v>25110</v>
      </c>
      <c r="E48" s="9" t="n">
        <v>18.42</v>
      </c>
      <c r="F48" s="9" t="n">
        <v>16.13</v>
      </c>
      <c r="G48" s="9" t="n">
        <v>20.91</v>
      </c>
      <c r="H48" s="9" t="n">
        <v>31.7</v>
      </c>
      <c r="I48" s="9" t="n">
        <f aca="false">E48-H48</f>
        <v>-13.28</v>
      </c>
      <c r="J48" s="8" t="n">
        <f aca="false">ROUND(D48*E48/100,0)</f>
        <v>4625</v>
      </c>
      <c r="K48" s="9" t="n">
        <v>32.03</v>
      </c>
      <c r="L48" s="9" t="n">
        <v>32.04</v>
      </c>
      <c r="M48" s="9" t="n">
        <v>93.4</v>
      </c>
      <c r="N48" s="9" t="n">
        <v>76.53</v>
      </c>
      <c r="O48" s="9" t="n">
        <v>30.5</v>
      </c>
      <c r="P48" s="2" t="n">
        <f aca="false">RANK(E48,$E$2:$E$350,0)</f>
        <v>135</v>
      </c>
      <c r="Q48" s="2" t="str">
        <f aca="false">IF(E48&gt;=30,"بسیار بالا",IF(E48&gt;=20,"بالا",IF(E48&gt;=13,"متوسط",IF(E48&gt;=8,"پایین","بسیار پایین"))))</f>
        <v>متوسط</v>
      </c>
      <c r="R48" s="10" t="n">
        <v>252.9</v>
      </c>
      <c r="S48" s="11" t="n">
        <v>-0.487</v>
      </c>
      <c r="T48" s="8" t="n">
        <v>87</v>
      </c>
      <c r="U48" s="2" t="s">
        <v>45</v>
      </c>
      <c r="V48" s="2" t="s">
        <v>110</v>
      </c>
      <c r="W48" s="2" t="n">
        <v>0.99</v>
      </c>
      <c r="X48" s="12" t="s">
        <v>46</v>
      </c>
    </row>
    <row r="49" customFormat="false" ht="16.4" hidden="false" customHeight="false" outlineLevel="0" collapsed="false">
      <c r="A49" s="2" t="n">
        <v>48</v>
      </c>
      <c r="B49" s="2" t="n">
        <v>2</v>
      </c>
      <c r="C49" s="2" t="s">
        <v>111</v>
      </c>
      <c r="D49" s="8" t="n">
        <v>13807</v>
      </c>
      <c r="E49" s="9" t="n">
        <v>17.74</v>
      </c>
      <c r="F49" s="9" t="n">
        <v>15.39</v>
      </c>
      <c r="G49" s="9" t="n">
        <v>20.32</v>
      </c>
      <c r="H49" s="9" t="n">
        <v>31.7</v>
      </c>
      <c r="I49" s="9" t="n">
        <f aca="false">E49-H49</f>
        <v>-13.96</v>
      </c>
      <c r="J49" s="8" t="n">
        <f aca="false">ROUND(D49*E49/100,0)</f>
        <v>2449</v>
      </c>
      <c r="K49" s="9" t="n">
        <v>31.04</v>
      </c>
      <c r="L49" s="9" t="n">
        <v>31.22</v>
      </c>
      <c r="M49" s="9" t="n">
        <v>93.19</v>
      </c>
      <c r="N49" s="9" t="n">
        <v>75.33</v>
      </c>
      <c r="O49" s="9" t="n">
        <v>29.62</v>
      </c>
      <c r="P49" s="2" t="n">
        <f aca="false">RANK(E49,$E$2:$E$350,0)</f>
        <v>141</v>
      </c>
      <c r="Q49" s="2" t="str">
        <f aca="false">IF(E49&gt;=30,"بسیار بالا",IF(E49&gt;=20,"بالا",IF(E49&gt;=13,"متوسط",IF(E49&gt;=8,"پایین","بسیار پایین"))))</f>
        <v>متوسط</v>
      </c>
      <c r="R49" s="10" t="n">
        <v>283</v>
      </c>
      <c r="S49" s="11" t="n">
        <v>-0.519</v>
      </c>
      <c r="T49" s="8" t="n">
        <v>5</v>
      </c>
      <c r="U49" s="2" t="s">
        <v>45</v>
      </c>
      <c r="V49" s="2" t="s">
        <v>111</v>
      </c>
      <c r="W49" s="2" t="n">
        <v>0.86</v>
      </c>
      <c r="X49" s="12" t="s">
        <v>112</v>
      </c>
    </row>
    <row r="50" customFormat="false" ht="16.4" hidden="false" customHeight="false" outlineLevel="0" collapsed="false">
      <c r="A50" s="2" t="n">
        <v>49</v>
      </c>
      <c r="B50" s="2" t="n">
        <v>3</v>
      </c>
      <c r="C50" s="2" t="s">
        <v>113</v>
      </c>
      <c r="D50" s="8" t="n">
        <v>32355</v>
      </c>
      <c r="E50" s="9" t="n">
        <v>46.45</v>
      </c>
      <c r="F50" s="9" t="n">
        <v>43.71</v>
      </c>
      <c r="G50" s="9" t="n">
        <v>49.21</v>
      </c>
      <c r="H50" s="9" t="n">
        <v>33.9</v>
      </c>
      <c r="I50" s="9" t="n">
        <f aca="false">E50-H50</f>
        <v>12.55</v>
      </c>
      <c r="J50" s="8" t="n">
        <f aca="false">ROUND(D50*E50/100,0)</f>
        <v>15029</v>
      </c>
      <c r="K50" s="9" t="n">
        <v>65.33</v>
      </c>
      <c r="L50" s="9" t="n">
        <v>58.64</v>
      </c>
      <c r="M50" s="9" t="n">
        <v>98.45</v>
      </c>
      <c r="N50" s="9" t="n">
        <v>94.91</v>
      </c>
      <c r="O50" s="9" t="n">
        <v>60.59</v>
      </c>
      <c r="P50" s="2" t="n">
        <f aca="false">RANK(E50,$E$2:$E$350,0)</f>
        <v>2</v>
      </c>
      <c r="Q50" s="2" t="str">
        <f aca="false">IF(E50&gt;=30,"بسیار بالا",IF(E50&gt;=20,"بالا",IF(E50&gt;=13,"متوسط",IF(E50&gt;=8,"پایین","بسیار پایین"))))</f>
        <v>بسیار بالا</v>
      </c>
      <c r="R50" s="10" t="n">
        <v>678.9</v>
      </c>
      <c r="S50" s="11" t="n">
        <v>0.373</v>
      </c>
      <c r="T50" s="8" t="n">
        <v>92</v>
      </c>
      <c r="U50" s="2" t="s">
        <v>45</v>
      </c>
      <c r="V50" s="2" t="s">
        <v>113</v>
      </c>
      <c r="W50" s="2" t="n">
        <v>0.98</v>
      </c>
      <c r="X50" s="12" t="s">
        <v>46</v>
      </c>
    </row>
    <row r="51" customFormat="false" ht="16.4" hidden="false" customHeight="false" outlineLevel="0" collapsed="false">
      <c r="A51" s="2" t="n">
        <v>50</v>
      </c>
      <c r="B51" s="2" t="n">
        <v>3</v>
      </c>
      <c r="C51" s="2" t="s">
        <v>114</v>
      </c>
      <c r="D51" s="8" t="n">
        <v>17192</v>
      </c>
      <c r="E51" s="9" t="n">
        <v>34.9</v>
      </c>
      <c r="F51" s="9" t="n">
        <v>34.7</v>
      </c>
      <c r="G51" s="9" t="n">
        <v>35.08</v>
      </c>
      <c r="H51" s="9" t="n">
        <v>33.9</v>
      </c>
      <c r="I51" s="9" t="n">
        <f aca="false">E51-H51</f>
        <v>1</v>
      </c>
      <c r="J51" s="8" t="n">
        <f aca="false">ROUND(D51*E51/100,0)</f>
        <v>6000</v>
      </c>
      <c r="K51" s="9" t="n">
        <v>53.81</v>
      </c>
      <c r="L51" s="9" t="n">
        <v>48.83</v>
      </c>
      <c r="M51" s="9" t="n">
        <v>97.81</v>
      </c>
      <c r="N51" s="9" t="n">
        <v>90.36</v>
      </c>
      <c r="O51" s="9" t="n">
        <v>49.85</v>
      </c>
      <c r="P51" s="2" t="n">
        <f aca="false">RANK(E51,$E$2:$E$350,0)</f>
        <v>23</v>
      </c>
      <c r="Q51" s="2" t="str">
        <f aca="false">IF(E51&gt;=30,"بسیار بالا",IF(E51&gt;=20,"بالا",IF(E51&gt;=13,"متوسط",IF(E51&gt;=8,"پایین","بسیار پایین"))))</f>
        <v>بسیار بالا</v>
      </c>
      <c r="R51" s="10" t="n">
        <v>450</v>
      </c>
      <c r="S51" s="11" t="n">
        <v>0.035</v>
      </c>
      <c r="T51" s="8" t="n">
        <v>92</v>
      </c>
      <c r="U51" s="2" t="s">
        <v>45</v>
      </c>
      <c r="V51" s="2" t="s">
        <v>114</v>
      </c>
      <c r="W51" s="2" t="n">
        <v>0.99</v>
      </c>
      <c r="X51" s="12" t="s">
        <v>46</v>
      </c>
    </row>
    <row r="52" customFormat="false" ht="16.4" hidden="false" customHeight="false" outlineLevel="0" collapsed="false">
      <c r="A52" s="2" t="n">
        <v>51</v>
      </c>
      <c r="B52" s="2" t="n">
        <v>3</v>
      </c>
      <c r="C52" s="2" t="s">
        <v>115</v>
      </c>
      <c r="D52" s="8" t="n">
        <v>26745</v>
      </c>
      <c r="E52" s="9" t="n">
        <v>34.79</v>
      </c>
      <c r="F52" s="9" t="n">
        <v>34.62</v>
      </c>
      <c r="G52" s="9" t="n">
        <v>34.94</v>
      </c>
      <c r="H52" s="9" t="n">
        <v>33.9</v>
      </c>
      <c r="I52" s="9" t="n">
        <f aca="false">E52-H52</f>
        <v>0.890000000000001</v>
      </c>
      <c r="J52" s="8" t="n">
        <f aca="false">ROUND(D52*E52/100,0)</f>
        <v>9305</v>
      </c>
      <c r="K52" s="9" t="n">
        <v>53.69</v>
      </c>
      <c r="L52" s="9" t="n">
        <v>48.74</v>
      </c>
      <c r="M52" s="9" t="n">
        <v>97.8</v>
      </c>
      <c r="N52" s="9" t="n">
        <v>90.3</v>
      </c>
      <c r="O52" s="9" t="n">
        <v>49.74</v>
      </c>
      <c r="P52" s="2" t="n">
        <f aca="false">RANK(E52,$E$2:$E$350,0)</f>
        <v>24</v>
      </c>
      <c r="Q52" s="2" t="str">
        <f aca="false">IF(E52&gt;=30,"بسیار بالا",IF(E52&gt;=20,"بالا",IF(E52&gt;=13,"متوسط",IF(E52&gt;=8,"پایین","بسیار پایین"))))</f>
        <v>بسیار بالا</v>
      </c>
      <c r="R52" s="10" t="n">
        <v>464.3</v>
      </c>
      <c r="S52" s="11" t="n">
        <v>0.032</v>
      </c>
      <c r="T52" s="8" t="n">
        <v>93</v>
      </c>
      <c r="U52" s="2" t="s">
        <v>45</v>
      </c>
      <c r="V52" s="2" t="s">
        <v>115</v>
      </c>
      <c r="W52" s="2" t="n">
        <v>0.99</v>
      </c>
      <c r="X52" s="12" t="s">
        <v>46</v>
      </c>
    </row>
    <row r="53" customFormat="false" ht="16.4" hidden="false" customHeight="false" outlineLevel="0" collapsed="false">
      <c r="A53" s="2" t="n">
        <v>52</v>
      </c>
      <c r="B53" s="2" t="n">
        <v>3</v>
      </c>
      <c r="C53" s="2" t="s">
        <v>116</v>
      </c>
      <c r="D53" s="8" t="n">
        <v>19143</v>
      </c>
      <c r="E53" s="9" t="n">
        <v>34.56</v>
      </c>
      <c r="F53" s="9" t="n">
        <v>34.44</v>
      </c>
      <c r="G53" s="9" t="n">
        <v>34.67</v>
      </c>
      <c r="H53" s="9" t="n">
        <v>33.9</v>
      </c>
      <c r="I53" s="9" t="n">
        <f aca="false">E53-H53</f>
        <v>0.660000000000004</v>
      </c>
      <c r="J53" s="8" t="n">
        <f aca="false">ROUND(D53*E53/100,0)</f>
        <v>6616</v>
      </c>
      <c r="K53" s="9" t="n">
        <v>53.44</v>
      </c>
      <c r="L53" s="9" t="n">
        <v>48.53</v>
      </c>
      <c r="M53" s="9" t="n">
        <v>97.78</v>
      </c>
      <c r="N53" s="9" t="n">
        <v>90.18</v>
      </c>
      <c r="O53" s="9" t="n">
        <v>49.52</v>
      </c>
      <c r="P53" s="2" t="n">
        <f aca="false">RANK(E53,$E$2:$E$350,0)</f>
        <v>25</v>
      </c>
      <c r="Q53" s="2" t="str">
        <f aca="false">IF(E53&gt;=30,"بسیار بالا",IF(E53&gt;=20,"بالا",IF(E53&gt;=13,"متوسط",IF(E53&gt;=8,"پایین","بسیار پایین"))))</f>
        <v>بسیار بالا</v>
      </c>
      <c r="R53" s="10" t="n">
        <v>479.5</v>
      </c>
      <c r="S53" s="11" t="n">
        <v>0.025</v>
      </c>
      <c r="T53" s="8" t="n">
        <v>86</v>
      </c>
      <c r="U53" s="2" t="s">
        <v>45</v>
      </c>
      <c r="V53" s="2" t="s">
        <v>116</v>
      </c>
      <c r="W53" s="2" t="n">
        <v>0.99</v>
      </c>
      <c r="X53" s="12" t="s">
        <v>46</v>
      </c>
    </row>
    <row r="54" customFormat="false" ht="16.4" hidden="false" customHeight="false" outlineLevel="0" collapsed="false">
      <c r="A54" s="2" t="n">
        <v>53</v>
      </c>
      <c r="B54" s="2" t="n">
        <v>3</v>
      </c>
      <c r="C54" s="2" t="s">
        <v>117</v>
      </c>
      <c r="D54" s="8" t="n">
        <v>56697</v>
      </c>
      <c r="E54" s="9" t="n">
        <v>34.27</v>
      </c>
      <c r="F54" s="9" t="n">
        <v>34.21</v>
      </c>
      <c r="G54" s="9" t="n">
        <v>34.32</v>
      </c>
      <c r="H54" s="9" t="n">
        <v>33.9</v>
      </c>
      <c r="I54" s="9" t="n">
        <f aca="false">E54-H54</f>
        <v>0.370000000000005</v>
      </c>
      <c r="J54" s="8" t="n">
        <f aca="false">ROUND(D54*E54/100,0)</f>
        <v>19430</v>
      </c>
      <c r="K54" s="9" t="n">
        <v>53.12</v>
      </c>
      <c r="L54" s="9" t="n">
        <v>48.27</v>
      </c>
      <c r="M54" s="9" t="n">
        <v>97.76</v>
      </c>
      <c r="N54" s="9" t="n">
        <v>90.01</v>
      </c>
      <c r="O54" s="9" t="n">
        <v>49.22</v>
      </c>
      <c r="P54" s="2" t="n">
        <f aca="false">RANK(E54,$E$2:$E$350,0)</f>
        <v>26</v>
      </c>
      <c r="Q54" s="2" t="str">
        <f aca="false">IF(E54&gt;=30,"بسیار بالا",IF(E54&gt;=20,"بالا",IF(E54&gt;=13,"متوسط",IF(E54&gt;=8,"پایین","بسیار پایین"))))</f>
        <v>بسیار بالا</v>
      </c>
      <c r="R54" s="10" t="n">
        <v>450</v>
      </c>
      <c r="S54" s="11" t="n">
        <v>0.016</v>
      </c>
      <c r="T54" s="8" t="n">
        <v>91</v>
      </c>
      <c r="U54" s="2" t="s">
        <v>45</v>
      </c>
      <c r="V54" s="2" t="s">
        <v>117</v>
      </c>
      <c r="W54" s="2" t="n">
        <v>0.99</v>
      </c>
      <c r="X54" s="12" t="s">
        <v>46</v>
      </c>
    </row>
    <row r="55" customFormat="false" ht="16.4" hidden="false" customHeight="false" outlineLevel="0" collapsed="false">
      <c r="A55" s="2" t="n">
        <v>54</v>
      </c>
      <c r="B55" s="2" t="n">
        <v>3</v>
      </c>
      <c r="C55" s="2" t="s">
        <v>118</v>
      </c>
      <c r="D55" s="8" t="n">
        <v>18277</v>
      </c>
      <c r="E55" s="9" t="n">
        <v>33.93</v>
      </c>
      <c r="F55" s="9" t="n">
        <v>33.91</v>
      </c>
      <c r="G55" s="9" t="n">
        <v>33.95</v>
      </c>
      <c r="H55" s="9" t="n">
        <v>33.9</v>
      </c>
      <c r="I55" s="9" t="n">
        <f aca="false">E55-H55</f>
        <v>0.0300000000000011</v>
      </c>
      <c r="J55" s="8" t="n">
        <f aca="false">ROUND(D55*E55/100,0)</f>
        <v>6201</v>
      </c>
      <c r="K55" s="9" t="n">
        <v>52.74</v>
      </c>
      <c r="L55" s="9" t="n">
        <v>47.96</v>
      </c>
      <c r="M55" s="9" t="n">
        <v>97.74</v>
      </c>
      <c r="N55" s="9" t="n">
        <v>89.82</v>
      </c>
      <c r="O55" s="9" t="n">
        <v>48.88</v>
      </c>
      <c r="P55" s="2" t="n">
        <f aca="false">RANK(E55,$E$2:$E$350,0)</f>
        <v>28</v>
      </c>
      <c r="Q55" s="2" t="str">
        <f aca="false">IF(E55&gt;=30,"بسیار بالا",IF(E55&gt;=20,"بالا",IF(E55&gt;=13,"متوسط",IF(E55&gt;=8,"پایین","بسیار پایین"))))</f>
        <v>بسیار بالا</v>
      </c>
      <c r="R55" s="10" t="n">
        <v>443</v>
      </c>
      <c r="S55" s="11" t="n">
        <v>0.005</v>
      </c>
      <c r="T55" s="8" t="n">
        <v>93</v>
      </c>
      <c r="U55" s="2" t="s">
        <v>45</v>
      </c>
      <c r="V55" s="2" t="s">
        <v>118</v>
      </c>
      <c r="W55" s="2" t="n">
        <v>0.99</v>
      </c>
      <c r="X55" s="12" t="s">
        <v>46</v>
      </c>
    </row>
    <row r="56" customFormat="false" ht="16.4" hidden="false" customHeight="false" outlineLevel="0" collapsed="false">
      <c r="A56" s="2" t="n">
        <v>55</v>
      </c>
      <c r="B56" s="2" t="n">
        <v>3</v>
      </c>
      <c r="C56" s="2" t="s">
        <v>119</v>
      </c>
      <c r="D56" s="8" t="n">
        <v>24511</v>
      </c>
      <c r="E56" s="9" t="n">
        <v>33.76</v>
      </c>
      <c r="F56" s="9" t="n">
        <v>33.69</v>
      </c>
      <c r="G56" s="9" t="n">
        <v>33.81</v>
      </c>
      <c r="H56" s="9" t="n">
        <v>33.9</v>
      </c>
      <c r="I56" s="9" t="n">
        <f aca="false">E56-H56</f>
        <v>-0.140000000000001</v>
      </c>
      <c r="J56" s="8" t="n">
        <f aca="false">ROUND(D56*E56/100,0)</f>
        <v>8275</v>
      </c>
      <c r="K56" s="9" t="n">
        <v>52.55</v>
      </c>
      <c r="L56" s="9" t="n">
        <v>47.8</v>
      </c>
      <c r="M56" s="9" t="n">
        <v>97.72</v>
      </c>
      <c r="N56" s="9" t="n">
        <v>89.71</v>
      </c>
      <c r="O56" s="9" t="n">
        <v>48.7</v>
      </c>
      <c r="P56" s="2" t="n">
        <f aca="false">RANK(E56,$E$2:$E$350,0)</f>
        <v>29</v>
      </c>
      <c r="Q56" s="2" t="str">
        <f aca="false">IF(E56&gt;=30,"بسیار بالا",IF(E56&gt;=20,"بالا",IF(E56&gt;=13,"متوسط",IF(E56&gt;=8,"پایین","بسیار پایین"))))</f>
        <v>بسیار بالا</v>
      </c>
      <c r="R56" s="10"/>
      <c r="S56" s="11" t="n">
        <v>0</v>
      </c>
      <c r="T56" s="8" t="n">
        <v>0</v>
      </c>
      <c r="U56" s="2" t="s">
        <v>64</v>
      </c>
      <c r="V56" s="12" t="s">
        <v>65</v>
      </c>
      <c r="W56" s="2" t="n">
        <v>0</v>
      </c>
      <c r="X56" s="12" t="s">
        <v>66</v>
      </c>
    </row>
    <row r="57" customFormat="false" ht="16.4" hidden="false" customHeight="false" outlineLevel="0" collapsed="false">
      <c r="A57" s="2" t="n">
        <v>56</v>
      </c>
      <c r="B57" s="2" t="n">
        <v>3</v>
      </c>
      <c r="C57" s="2" t="s">
        <v>120</v>
      </c>
      <c r="D57" s="8" t="n">
        <v>20626</v>
      </c>
      <c r="E57" s="9" t="n">
        <v>33.76</v>
      </c>
      <c r="F57" s="9" t="n">
        <v>33.69</v>
      </c>
      <c r="G57" s="9" t="n">
        <v>33.81</v>
      </c>
      <c r="H57" s="9" t="n">
        <v>33.9</v>
      </c>
      <c r="I57" s="9" t="n">
        <f aca="false">E57-H57</f>
        <v>-0.140000000000001</v>
      </c>
      <c r="J57" s="8" t="n">
        <f aca="false">ROUND(D57*E57/100,0)</f>
        <v>6963</v>
      </c>
      <c r="K57" s="9" t="n">
        <v>52.55</v>
      </c>
      <c r="L57" s="9" t="n">
        <v>47.8</v>
      </c>
      <c r="M57" s="9" t="n">
        <v>97.72</v>
      </c>
      <c r="N57" s="9" t="n">
        <v>89.71</v>
      </c>
      <c r="O57" s="9" t="n">
        <v>48.7</v>
      </c>
      <c r="P57" s="2" t="n">
        <f aca="false">RANK(E57,$E$2:$E$350,0)</f>
        <v>29</v>
      </c>
      <c r="Q57" s="2" t="str">
        <f aca="false">IF(E57&gt;=30,"بسیار بالا",IF(E57&gt;=20,"بالا",IF(E57&gt;=13,"متوسط",IF(E57&gt;=8,"پایین","بسیار پایین"))))</f>
        <v>بسیار بالا</v>
      </c>
      <c r="R57" s="10"/>
      <c r="S57" s="11" t="n">
        <v>0</v>
      </c>
      <c r="T57" s="8" t="n">
        <v>0</v>
      </c>
      <c r="U57" s="2" t="s">
        <v>64</v>
      </c>
      <c r="V57" s="12" t="s">
        <v>65</v>
      </c>
      <c r="W57" s="2" t="n">
        <v>0</v>
      </c>
      <c r="X57" s="12" t="s">
        <v>66</v>
      </c>
    </row>
    <row r="58" customFormat="false" ht="16.4" hidden="false" customHeight="false" outlineLevel="0" collapsed="false">
      <c r="A58" s="2" t="n">
        <v>57</v>
      </c>
      <c r="B58" s="2" t="n">
        <v>3</v>
      </c>
      <c r="C58" s="2" t="s">
        <v>121</v>
      </c>
      <c r="D58" s="8" t="n">
        <v>22963</v>
      </c>
      <c r="E58" s="9" t="n">
        <v>32.9</v>
      </c>
      <c r="F58" s="9" t="n">
        <v>32.66</v>
      </c>
      <c r="G58" s="9" t="n">
        <v>33.13</v>
      </c>
      <c r="H58" s="9" t="n">
        <v>33.9</v>
      </c>
      <c r="I58" s="9" t="n">
        <f aca="false">E58-H58</f>
        <v>-1</v>
      </c>
      <c r="J58" s="8" t="n">
        <f aca="false">ROUND(D58*E58/100,0)</f>
        <v>7555</v>
      </c>
      <c r="K58" s="9" t="n">
        <v>51.59</v>
      </c>
      <c r="L58" s="9" t="n">
        <v>47.01</v>
      </c>
      <c r="M58" s="9" t="n">
        <v>97.66</v>
      </c>
      <c r="N58" s="9" t="n">
        <v>89.19</v>
      </c>
      <c r="O58" s="9" t="n">
        <v>47.83</v>
      </c>
      <c r="P58" s="2" t="n">
        <f aca="false">RANK(E58,$E$2:$E$350,0)</f>
        <v>34</v>
      </c>
      <c r="Q58" s="2" t="str">
        <f aca="false">IF(E58&gt;=30,"بسیار بالا",IF(E58&gt;=20,"بالا",IF(E58&gt;=13,"متوسط",IF(E58&gt;=8,"پایین","بسیار پایین"))))</f>
        <v>بسیار بالا</v>
      </c>
      <c r="R58" s="10" t="n">
        <v>422.2</v>
      </c>
      <c r="S58" s="11" t="n">
        <v>-0.027</v>
      </c>
      <c r="T58" s="8" t="n">
        <v>91</v>
      </c>
      <c r="U58" s="2" t="s">
        <v>45</v>
      </c>
      <c r="V58" s="2" t="s">
        <v>121</v>
      </c>
      <c r="W58" s="2" t="n">
        <v>0.99</v>
      </c>
      <c r="X58" s="12" t="s">
        <v>46</v>
      </c>
    </row>
    <row r="59" customFormat="false" ht="16.4" hidden="false" customHeight="false" outlineLevel="0" collapsed="false">
      <c r="A59" s="2" t="n">
        <v>58</v>
      </c>
      <c r="B59" s="2" t="n">
        <v>3</v>
      </c>
      <c r="C59" s="2" t="s">
        <v>122</v>
      </c>
      <c r="D59" s="8" t="n">
        <v>21009</v>
      </c>
      <c r="E59" s="9" t="n">
        <v>31.31</v>
      </c>
      <c r="F59" s="9" t="n">
        <v>30.75</v>
      </c>
      <c r="G59" s="9" t="n">
        <v>31.88</v>
      </c>
      <c r="H59" s="9" t="n">
        <v>33.9</v>
      </c>
      <c r="I59" s="9" t="n">
        <f aca="false">E59-H59</f>
        <v>-2.59</v>
      </c>
      <c r="J59" s="8" t="n">
        <f aca="false">ROUND(D59*E59/100,0)</f>
        <v>6578</v>
      </c>
      <c r="K59" s="9" t="n">
        <v>49.77</v>
      </c>
      <c r="L59" s="9" t="n">
        <v>45.52</v>
      </c>
      <c r="M59" s="9" t="n">
        <v>97.53</v>
      </c>
      <c r="N59" s="9" t="n">
        <v>88.15</v>
      </c>
      <c r="O59" s="9" t="n">
        <v>46.19</v>
      </c>
      <c r="P59" s="2" t="n">
        <f aca="false">RANK(E59,$E$2:$E$350,0)</f>
        <v>40</v>
      </c>
      <c r="Q59" s="2" t="str">
        <f aca="false">IF(E59&gt;=30,"بسیار بالا",IF(E59&gt;=20,"بالا",IF(E59&gt;=13,"متوسط",IF(E59&gt;=8,"پایین","بسیار پایین"))))</f>
        <v>بسیار بالا</v>
      </c>
      <c r="R59" s="10" t="n">
        <v>500</v>
      </c>
      <c r="S59" s="11" t="n">
        <v>-0.078</v>
      </c>
      <c r="T59" s="8" t="n">
        <v>5</v>
      </c>
      <c r="U59" s="2" t="s">
        <v>45</v>
      </c>
      <c r="V59" s="2" t="s">
        <v>122</v>
      </c>
      <c r="W59" s="2" t="n">
        <v>0.86</v>
      </c>
      <c r="X59" s="12" t="s">
        <v>112</v>
      </c>
    </row>
    <row r="60" customFormat="false" ht="16.4" hidden="false" customHeight="false" outlineLevel="0" collapsed="false">
      <c r="A60" s="2" t="n">
        <v>59</v>
      </c>
      <c r="B60" s="2" t="n">
        <v>3</v>
      </c>
      <c r="C60" s="2" t="s">
        <v>123</v>
      </c>
      <c r="D60" s="8" t="n">
        <v>39828</v>
      </c>
      <c r="E60" s="9" t="n">
        <v>29.59</v>
      </c>
      <c r="F60" s="9" t="n">
        <v>28.69</v>
      </c>
      <c r="G60" s="9" t="n">
        <v>30.51</v>
      </c>
      <c r="H60" s="9" t="n">
        <v>33.9</v>
      </c>
      <c r="I60" s="9" t="n">
        <f aca="false">E60-H60</f>
        <v>-4.31</v>
      </c>
      <c r="J60" s="8" t="n">
        <f aca="false">ROUND(D60*E60/100,0)</f>
        <v>11785</v>
      </c>
      <c r="K60" s="9" t="n">
        <v>47.74</v>
      </c>
      <c r="L60" s="9" t="n">
        <v>43.87</v>
      </c>
      <c r="M60" s="9" t="n">
        <v>97.39</v>
      </c>
      <c r="N60" s="9" t="n">
        <v>86.89</v>
      </c>
      <c r="O60" s="9" t="n">
        <v>44.37</v>
      </c>
      <c r="P60" s="2" t="n">
        <f aca="false">RANK(E60,$E$2:$E$350,0)</f>
        <v>51</v>
      </c>
      <c r="Q60" s="2" t="str">
        <f aca="false">IF(E60&gt;=30,"بسیار بالا",IF(E60&gt;=20,"بالا",IF(E60&gt;=13,"متوسط",IF(E60&gt;=8,"پایین","بسیار پایین"))))</f>
        <v>بالا</v>
      </c>
      <c r="R60" s="10" t="n">
        <v>400</v>
      </c>
      <c r="S60" s="11" t="n">
        <v>-0.135</v>
      </c>
      <c r="T60" s="8" t="n">
        <v>90</v>
      </c>
      <c r="U60" s="2" t="s">
        <v>54</v>
      </c>
      <c r="V60" s="2" t="s">
        <v>124</v>
      </c>
      <c r="W60" s="2" t="n">
        <v>0.99</v>
      </c>
      <c r="X60" s="12" t="s">
        <v>46</v>
      </c>
    </row>
    <row r="61" customFormat="false" ht="16.4" hidden="false" customHeight="false" outlineLevel="0" collapsed="false">
      <c r="A61" s="2" t="n">
        <v>60</v>
      </c>
      <c r="B61" s="2" t="n">
        <v>3</v>
      </c>
      <c r="C61" s="2" t="s">
        <v>125</v>
      </c>
      <c r="D61" s="8" t="n">
        <v>30658</v>
      </c>
      <c r="E61" s="9" t="n">
        <v>26.53</v>
      </c>
      <c r="F61" s="9" t="n">
        <v>25.07</v>
      </c>
      <c r="G61" s="9" t="n">
        <v>28.03</v>
      </c>
      <c r="H61" s="9" t="n">
        <v>33.9</v>
      </c>
      <c r="I61" s="9" t="n">
        <f aca="false">E61-H61</f>
        <v>-7.37</v>
      </c>
      <c r="J61" s="8" t="n">
        <f aca="false">ROUND(D61*E61/100,0)</f>
        <v>8134</v>
      </c>
      <c r="K61" s="9" t="n">
        <v>43.98</v>
      </c>
      <c r="L61" s="9" t="n">
        <v>40.82</v>
      </c>
      <c r="M61" s="9" t="n">
        <v>97.08</v>
      </c>
      <c r="N61" s="9" t="n">
        <v>84.21</v>
      </c>
      <c r="O61" s="9" t="n">
        <v>41</v>
      </c>
      <c r="P61" s="2" t="n">
        <f aca="false">RANK(E61,$E$2:$E$350,0)</f>
        <v>67</v>
      </c>
      <c r="Q61" s="2" t="str">
        <f aca="false">IF(E61&gt;=30,"بسیار بالا",IF(E61&gt;=20,"بالا",IF(E61&gt;=13,"متوسط",IF(E61&gt;=8,"پایین","بسیار پایین"))))</f>
        <v>بالا</v>
      </c>
      <c r="R61" s="10" t="n">
        <v>365.4</v>
      </c>
      <c r="S61" s="11" t="n">
        <v>-0.242</v>
      </c>
      <c r="T61" s="8" t="n">
        <v>172</v>
      </c>
      <c r="U61" s="2" t="s">
        <v>45</v>
      </c>
      <c r="V61" s="2" t="s">
        <v>126</v>
      </c>
      <c r="W61" s="2" t="n">
        <v>1</v>
      </c>
      <c r="X61" s="12" t="s">
        <v>46</v>
      </c>
    </row>
    <row r="62" customFormat="false" ht="16.4" hidden="false" customHeight="false" outlineLevel="0" collapsed="false">
      <c r="A62" s="2" t="n">
        <v>61</v>
      </c>
      <c r="B62" s="2" t="n">
        <v>4</v>
      </c>
      <c r="C62" s="2" t="s">
        <v>127</v>
      </c>
      <c r="D62" s="8" t="n">
        <v>19326</v>
      </c>
      <c r="E62" s="9" t="n">
        <v>38.6</v>
      </c>
      <c r="F62" s="9" t="n">
        <v>33.6</v>
      </c>
      <c r="G62" s="9" t="n">
        <v>43.75</v>
      </c>
      <c r="H62" s="9" t="n">
        <v>17.9</v>
      </c>
      <c r="I62" s="9" t="n">
        <f aca="false">E62-H62</f>
        <v>20.7</v>
      </c>
      <c r="J62" s="8" t="n">
        <f aca="false">ROUND(D62*E62/100,0)</f>
        <v>7460</v>
      </c>
      <c r="K62" s="9" t="n">
        <v>55.72</v>
      </c>
      <c r="L62" s="9" t="n">
        <v>51.35</v>
      </c>
      <c r="M62" s="9" t="n">
        <v>97.9</v>
      </c>
      <c r="N62" s="9" t="n">
        <v>91.73</v>
      </c>
      <c r="O62" s="9" t="n">
        <v>51.07</v>
      </c>
      <c r="P62" s="2" t="n">
        <f aca="false">RANK(E62,$E$2:$E$350,0)</f>
        <v>9</v>
      </c>
      <c r="Q62" s="2" t="str">
        <f aca="false">IF(E62&gt;=30,"بسیار بالا",IF(E62&gt;=20,"بالا",IF(E62&gt;=13,"متوسط",IF(E62&gt;=8,"پایین","بسیار پایین"))))</f>
        <v>بسیار بالا</v>
      </c>
      <c r="R62" s="10" t="n">
        <v>548.1</v>
      </c>
      <c r="S62" s="11" t="n">
        <v>0.783</v>
      </c>
      <c r="T62" s="8" t="n">
        <v>93</v>
      </c>
      <c r="U62" s="2" t="s">
        <v>106</v>
      </c>
      <c r="V62" s="2" t="s">
        <v>128</v>
      </c>
      <c r="W62" s="2" t="n">
        <v>0.99</v>
      </c>
      <c r="X62" s="12" t="s">
        <v>50</v>
      </c>
    </row>
    <row r="63" customFormat="false" ht="16.4" hidden="false" customHeight="false" outlineLevel="0" collapsed="false">
      <c r="A63" s="2" t="n">
        <v>62</v>
      </c>
      <c r="B63" s="2" t="n">
        <v>4</v>
      </c>
      <c r="C63" s="2" t="s">
        <v>129</v>
      </c>
      <c r="D63" s="8" t="n">
        <v>62773</v>
      </c>
      <c r="E63" s="9" t="n">
        <v>26.86</v>
      </c>
      <c r="F63" s="9" t="n">
        <v>24.9</v>
      </c>
      <c r="G63" s="9" t="n">
        <v>28.84</v>
      </c>
      <c r="H63" s="9" t="n">
        <v>17.9</v>
      </c>
      <c r="I63" s="9" t="n">
        <f aca="false">E63-H63</f>
        <v>8.96</v>
      </c>
      <c r="J63" s="8" t="n">
        <f aca="false">ROUND(D63*E63/100,0)</f>
        <v>16861</v>
      </c>
      <c r="K63" s="9" t="n">
        <v>42.38</v>
      </c>
      <c r="L63" s="9" t="n">
        <v>40.43</v>
      </c>
      <c r="M63" s="9" t="n">
        <v>96.91</v>
      </c>
      <c r="N63" s="9" t="n">
        <v>83.74</v>
      </c>
      <c r="O63" s="9" t="n">
        <v>39.08</v>
      </c>
      <c r="P63" s="2" t="n">
        <f aca="false">RANK(E63,$E$2:$E$350,0)</f>
        <v>64</v>
      </c>
      <c r="Q63" s="2" t="str">
        <f aca="false">IF(E63&gt;=30,"بسیار بالا",IF(E63&gt;=20,"بالا",IF(E63&gt;=13,"متوسط",IF(E63&gt;=8,"پایین","بسیار پایین"))))</f>
        <v>بالا</v>
      </c>
      <c r="R63" s="10" t="n">
        <v>372.9</v>
      </c>
      <c r="S63" s="11" t="n">
        <v>0.406</v>
      </c>
      <c r="T63" s="8" t="n">
        <v>86</v>
      </c>
      <c r="U63" s="2" t="s">
        <v>54</v>
      </c>
      <c r="V63" s="2" t="s">
        <v>130</v>
      </c>
      <c r="W63" s="2" t="n">
        <v>0.99</v>
      </c>
      <c r="X63" s="12" t="s">
        <v>46</v>
      </c>
    </row>
    <row r="64" customFormat="false" ht="16.4" hidden="false" customHeight="false" outlineLevel="0" collapsed="false">
      <c r="A64" s="2" t="n">
        <v>63</v>
      </c>
      <c r="B64" s="2" t="n">
        <v>4</v>
      </c>
      <c r="C64" s="2" t="s">
        <v>131</v>
      </c>
      <c r="D64" s="8" t="n">
        <v>29497</v>
      </c>
      <c r="E64" s="9" t="n">
        <v>26.24</v>
      </c>
      <c r="F64" s="9" t="n">
        <v>24.43</v>
      </c>
      <c r="G64" s="9" t="n">
        <v>28.05</v>
      </c>
      <c r="H64" s="9" t="n">
        <v>17.9</v>
      </c>
      <c r="I64" s="9" t="n">
        <f aca="false">E64-H64</f>
        <v>8.34</v>
      </c>
      <c r="J64" s="8" t="n">
        <f aca="false">ROUND(D64*E64/100,0)</f>
        <v>7740</v>
      </c>
      <c r="K64" s="9" t="n">
        <v>41.6</v>
      </c>
      <c r="L64" s="9" t="n">
        <v>39.79</v>
      </c>
      <c r="M64" s="9" t="n">
        <v>96.84</v>
      </c>
      <c r="N64" s="9" t="n">
        <v>83.11</v>
      </c>
      <c r="O64" s="9" t="n">
        <v>38.39</v>
      </c>
      <c r="P64" s="2" t="n">
        <f aca="false">RANK(E64,$E$2:$E$350,0)</f>
        <v>68</v>
      </c>
      <c r="Q64" s="2" t="str">
        <f aca="false">IF(E64&gt;=30,"بسیار بالا",IF(E64&gt;=20,"بالا",IF(E64&gt;=13,"متوسط",IF(E64&gt;=8,"پایین","بسیار پایین"))))</f>
        <v>بالا</v>
      </c>
      <c r="R64" s="10" t="n">
        <v>352.2</v>
      </c>
      <c r="S64" s="11" t="n">
        <v>0.384</v>
      </c>
      <c r="T64" s="8" t="n">
        <v>89</v>
      </c>
      <c r="U64" s="2" t="s">
        <v>54</v>
      </c>
      <c r="V64" s="2" t="s">
        <v>132</v>
      </c>
      <c r="W64" s="2" t="n">
        <v>0.99</v>
      </c>
      <c r="X64" s="12" t="s">
        <v>46</v>
      </c>
    </row>
    <row r="65" customFormat="false" ht="16.4" hidden="false" customHeight="false" outlineLevel="0" collapsed="false">
      <c r="A65" s="2" t="n">
        <v>64</v>
      </c>
      <c r="B65" s="2" t="n">
        <v>4</v>
      </c>
      <c r="C65" s="2" t="s">
        <v>133</v>
      </c>
      <c r="D65" s="8" t="n">
        <v>25723</v>
      </c>
      <c r="E65" s="9" t="n">
        <v>23.04</v>
      </c>
      <c r="F65" s="9" t="n">
        <v>22.02</v>
      </c>
      <c r="G65" s="9" t="n">
        <v>24.03</v>
      </c>
      <c r="H65" s="9" t="n">
        <v>17.9</v>
      </c>
      <c r="I65" s="9" t="n">
        <f aca="false">E65-H65</f>
        <v>5.14</v>
      </c>
      <c r="J65" s="8" t="n">
        <f aca="false">ROUND(D65*E65/100,0)</f>
        <v>5927</v>
      </c>
      <c r="K65" s="9" t="n">
        <v>37.49</v>
      </c>
      <c r="L65" s="9" t="n">
        <v>36.45</v>
      </c>
      <c r="M65" s="9" t="n">
        <v>96.42</v>
      </c>
      <c r="N65" s="9" t="n">
        <v>79.37</v>
      </c>
      <c r="O65" s="9" t="n">
        <v>34.77</v>
      </c>
      <c r="P65" s="2" t="n">
        <f aca="false">RANK(E65,$E$2:$E$350,0)</f>
        <v>92</v>
      </c>
      <c r="Q65" s="2" t="str">
        <f aca="false">IF(E65&gt;=30,"بسیار بالا",IF(E65&gt;=20,"بالا",IF(E65&gt;=13,"متوسط",IF(E65&gt;=8,"پایین","بسیار پایین"))))</f>
        <v>بالا</v>
      </c>
      <c r="R65" s="10" t="n">
        <v>354.1</v>
      </c>
      <c r="S65" s="11" t="n">
        <v>0.263</v>
      </c>
      <c r="T65" s="8" t="n">
        <v>118</v>
      </c>
      <c r="U65" s="2" t="s">
        <v>54</v>
      </c>
      <c r="V65" s="2" t="s">
        <v>134</v>
      </c>
      <c r="W65" s="2" t="n">
        <v>0.99</v>
      </c>
      <c r="X65" s="12" t="s">
        <v>46</v>
      </c>
    </row>
    <row r="66" customFormat="false" ht="16.4" hidden="false" customHeight="false" outlineLevel="0" collapsed="false">
      <c r="A66" s="2" t="n">
        <v>65</v>
      </c>
      <c r="B66" s="2" t="n">
        <v>4</v>
      </c>
      <c r="C66" s="2" t="s">
        <v>135</v>
      </c>
      <c r="D66" s="8" t="n">
        <v>124634</v>
      </c>
      <c r="E66" s="9" t="n">
        <v>20.35</v>
      </c>
      <c r="F66" s="9" t="n">
        <v>19.95</v>
      </c>
      <c r="G66" s="9" t="n">
        <v>20.7</v>
      </c>
      <c r="H66" s="9" t="n">
        <v>17.9</v>
      </c>
      <c r="I66" s="9" t="n">
        <f aca="false">E66-H66</f>
        <v>2.45</v>
      </c>
      <c r="J66" s="8" t="n">
        <f aca="false">ROUND(D66*E66/100,0)</f>
        <v>25363</v>
      </c>
      <c r="K66" s="9" t="n">
        <v>33.86</v>
      </c>
      <c r="L66" s="9" t="n">
        <v>33.49</v>
      </c>
      <c r="M66" s="9" t="n">
        <v>96</v>
      </c>
      <c r="N66" s="9" t="n">
        <v>75.42</v>
      </c>
      <c r="O66" s="9" t="n">
        <v>31.59</v>
      </c>
      <c r="P66" s="2" t="n">
        <f aca="false">RANK(E66,$E$2:$E$350,0)</f>
        <v>114</v>
      </c>
      <c r="Q66" s="2" t="str">
        <f aca="false">IF(E66&gt;=30,"بسیار بالا",IF(E66&gt;=20,"بالا",IF(E66&gt;=13,"متوسط",IF(E66&gt;=8,"پایین","بسیار پایین"))))</f>
        <v>بالا</v>
      </c>
      <c r="R66" s="10" t="n">
        <v>292.9</v>
      </c>
      <c r="S66" s="11" t="n">
        <v>0.152</v>
      </c>
      <c r="T66" s="8" t="n">
        <v>89</v>
      </c>
      <c r="U66" s="2" t="s">
        <v>45</v>
      </c>
      <c r="V66" s="2" t="s">
        <v>135</v>
      </c>
      <c r="W66" s="2" t="n">
        <v>0.99</v>
      </c>
      <c r="X66" s="12" t="s">
        <v>46</v>
      </c>
    </row>
    <row r="67" customFormat="false" ht="16.4" hidden="false" customHeight="false" outlineLevel="0" collapsed="false">
      <c r="A67" s="2" t="n">
        <v>66</v>
      </c>
      <c r="B67" s="2" t="n">
        <v>4</v>
      </c>
      <c r="C67" s="2" t="s">
        <v>136</v>
      </c>
      <c r="D67" s="8" t="n">
        <v>24138</v>
      </c>
      <c r="E67" s="9" t="n">
        <v>20.31</v>
      </c>
      <c r="F67" s="9" t="n">
        <v>19.92</v>
      </c>
      <c r="G67" s="9" t="n">
        <v>20.64</v>
      </c>
      <c r="H67" s="9" t="n">
        <v>17.9</v>
      </c>
      <c r="I67" s="9" t="n">
        <f aca="false">E67-H67</f>
        <v>2.41</v>
      </c>
      <c r="J67" s="8" t="n">
        <f aca="false">ROUND(D67*E67/100,0)</f>
        <v>4902</v>
      </c>
      <c r="K67" s="9" t="n">
        <v>33.8</v>
      </c>
      <c r="L67" s="9" t="n">
        <v>33.44</v>
      </c>
      <c r="M67" s="9" t="n">
        <v>95.99</v>
      </c>
      <c r="N67" s="9" t="n">
        <v>75.34</v>
      </c>
      <c r="O67" s="9" t="n">
        <v>31.53</v>
      </c>
      <c r="P67" s="2" t="n">
        <f aca="false">RANK(E67,$E$2:$E$350,0)</f>
        <v>116</v>
      </c>
      <c r="Q67" s="2" t="str">
        <f aca="false">IF(E67&gt;=30,"بسیار بالا",IF(E67&gt;=20,"بالا",IF(E67&gt;=13,"متوسط",IF(E67&gt;=8,"پایین","بسیار پایین"))))</f>
        <v>بالا</v>
      </c>
      <c r="R67" s="10" t="n">
        <v>280</v>
      </c>
      <c r="S67" s="11" t="n">
        <v>0.15</v>
      </c>
      <c r="T67" s="8" t="n">
        <v>77</v>
      </c>
      <c r="U67" s="2" t="s">
        <v>45</v>
      </c>
      <c r="V67" s="2" t="s">
        <v>137</v>
      </c>
      <c r="W67" s="2" t="n">
        <v>0.99</v>
      </c>
      <c r="X67" s="12" t="s">
        <v>46</v>
      </c>
    </row>
    <row r="68" customFormat="false" ht="16.4" hidden="false" customHeight="false" outlineLevel="0" collapsed="false">
      <c r="A68" s="2" t="n">
        <v>67</v>
      </c>
      <c r="B68" s="2" t="n">
        <v>4</v>
      </c>
      <c r="C68" s="2" t="s">
        <v>138</v>
      </c>
      <c r="D68" s="8" t="n">
        <v>29784</v>
      </c>
      <c r="E68" s="9" t="n">
        <v>19.02</v>
      </c>
      <c r="F68" s="9" t="n">
        <v>18.91</v>
      </c>
      <c r="G68" s="9" t="n">
        <v>19.07</v>
      </c>
      <c r="H68" s="9" t="n">
        <v>17.9</v>
      </c>
      <c r="I68" s="9" t="n">
        <f aca="false">E68-H68</f>
        <v>1.12</v>
      </c>
      <c r="J68" s="8" t="n">
        <f aca="false">ROUND(D68*E68/100,0)</f>
        <v>5665</v>
      </c>
      <c r="K68" s="9" t="n">
        <v>32</v>
      </c>
      <c r="L68" s="9" t="n">
        <v>31.97</v>
      </c>
      <c r="M68" s="9" t="n">
        <v>95.75</v>
      </c>
      <c r="N68" s="9" t="n">
        <v>73.12</v>
      </c>
      <c r="O68" s="9" t="n">
        <v>29.96</v>
      </c>
      <c r="P68" s="2" t="n">
        <f aca="false">RANK(E68,$E$2:$E$350,0)</f>
        <v>130</v>
      </c>
      <c r="Q68" s="2" t="str">
        <f aca="false">IF(E68&gt;=30,"بسیار بالا",IF(E68&gt;=20,"بالا",IF(E68&gt;=13,"متوسط",IF(E68&gt;=8,"پایین","بسیار پایین"))))</f>
        <v>متوسط</v>
      </c>
      <c r="R68" s="10" t="n">
        <v>273.8</v>
      </c>
      <c r="S68" s="11" t="n">
        <v>0.093</v>
      </c>
      <c r="T68" s="8" t="n">
        <v>92</v>
      </c>
      <c r="U68" s="2" t="s">
        <v>54</v>
      </c>
      <c r="V68" s="2" t="s">
        <v>139</v>
      </c>
      <c r="W68" s="2" t="n">
        <v>0.99</v>
      </c>
      <c r="X68" s="12" t="s">
        <v>46</v>
      </c>
    </row>
    <row r="69" customFormat="false" ht="16.4" hidden="false" customHeight="false" outlineLevel="0" collapsed="false">
      <c r="A69" s="2" t="n">
        <v>68</v>
      </c>
      <c r="B69" s="2" t="n">
        <v>4</v>
      </c>
      <c r="C69" s="2" t="s">
        <v>140</v>
      </c>
      <c r="D69" s="8" t="n">
        <v>68003</v>
      </c>
      <c r="E69" s="9" t="n">
        <v>18.47</v>
      </c>
      <c r="F69" s="9" t="n">
        <v>18.4</v>
      </c>
      <c r="G69" s="9" t="n">
        <v>18.48</v>
      </c>
      <c r="H69" s="9" t="n">
        <v>17.9</v>
      </c>
      <c r="I69" s="9" t="n">
        <f aca="false">E69-H69</f>
        <v>0.57</v>
      </c>
      <c r="J69" s="8" t="n">
        <f aca="false">ROUND(D69*E69/100,0)</f>
        <v>12560</v>
      </c>
      <c r="K69" s="9" t="n">
        <v>31.22</v>
      </c>
      <c r="L69" s="9" t="n">
        <v>31.32</v>
      </c>
      <c r="M69" s="9" t="n">
        <v>95.64</v>
      </c>
      <c r="N69" s="9" t="n">
        <v>72.09</v>
      </c>
      <c r="O69" s="9" t="n">
        <v>29.28</v>
      </c>
      <c r="P69" s="2" t="n">
        <f aca="false">RANK(E69,$E$2:$E$350,0)</f>
        <v>134</v>
      </c>
      <c r="Q69" s="2" t="str">
        <f aca="false">IF(E69&gt;=30,"بسیار بالا",IF(E69&gt;=20,"بالا",IF(E69&gt;=13,"متوسط",IF(E69&gt;=8,"پایین","بسیار پایین"))))</f>
        <v>متوسط</v>
      </c>
      <c r="R69" s="10" t="n">
        <v>306.5</v>
      </c>
      <c r="S69" s="11" t="n">
        <v>0.067</v>
      </c>
      <c r="T69" s="8" t="n">
        <v>176</v>
      </c>
      <c r="U69" s="2" t="s">
        <v>54</v>
      </c>
      <c r="V69" s="2" t="s">
        <v>141</v>
      </c>
      <c r="W69" s="2" t="n">
        <v>0.99</v>
      </c>
      <c r="X69" s="12" t="s">
        <v>46</v>
      </c>
    </row>
    <row r="70" customFormat="false" ht="16.4" hidden="false" customHeight="false" outlineLevel="0" collapsed="false">
      <c r="A70" s="2" t="n">
        <v>69</v>
      </c>
      <c r="B70" s="2" t="n">
        <v>4</v>
      </c>
      <c r="C70" s="2" t="s">
        <v>142</v>
      </c>
      <c r="D70" s="8" t="n">
        <v>51698</v>
      </c>
      <c r="E70" s="9" t="n">
        <v>18.17</v>
      </c>
      <c r="F70" s="9" t="n">
        <v>18.04</v>
      </c>
      <c r="G70" s="9" t="n">
        <v>18.24</v>
      </c>
      <c r="H70" s="9" t="n">
        <v>17.9</v>
      </c>
      <c r="I70" s="9" t="n">
        <f aca="false">E70-H70</f>
        <v>0.270000000000003</v>
      </c>
      <c r="J70" s="8" t="n">
        <f aca="false">ROUND(D70*E70/100,0)</f>
        <v>9394</v>
      </c>
      <c r="K70" s="9" t="n">
        <v>30.79</v>
      </c>
      <c r="L70" s="9" t="n">
        <v>30.97</v>
      </c>
      <c r="M70" s="9" t="n">
        <v>95.58</v>
      </c>
      <c r="N70" s="9" t="n">
        <v>71.51</v>
      </c>
      <c r="O70" s="9" t="n">
        <v>28.9</v>
      </c>
      <c r="P70" s="2" t="n">
        <f aca="false">RANK(E70,$E$2:$E$350,0)</f>
        <v>136</v>
      </c>
      <c r="Q70" s="2" t="str">
        <f aca="false">IF(E70&gt;=30,"بسیار بالا",IF(E70&gt;=20,"بالا",IF(E70&gt;=13,"متوسط",IF(E70&gt;=8,"پایین","بسیار پایین"))))</f>
        <v>متوسط</v>
      </c>
      <c r="R70" s="10" t="n">
        <v>255</v>
      </c>
      <c r="S70" s="11" t="n">
        <v>0.053</v>
      </c>
      <c r="T70" s="8" t="n">
        <v>81</v>
      </c>
      <c r="U70" s="2" t="s">
        <v>45</v>
      </c>
      <c r="V70" s="2" t="s">
        <v>142</v>
      </c>
      <c r="W70" s="2" t="n">
        <v>0.98</v>
      </c>
      <c r="X70" s="12" t="s">
        <v>46</v>
      </c>
    </row>
    <row r="71" customFormat="false" ht="16.4" hidden="false" customHeight="false" outlineLevel="0" collapsed="false">
      <c r="A71" s="2" t="n">
        <v>70</v>
      </c>
      <c r="B71" s="2" t="n">
        <v>4</v>
      </c>
      <c r="C71" s="2" t="s">
        <v>143</v>
      </c>
      <c r="D71" s="8" t="n">
        <v>57312</v>
      </c>
      <c r="E71" s="9" t="n">
        <v>17.07</v>
      </c>
      <c r="F71" s="9" t="n">
        <v>16.72</v>
      </c>
      <c r="G71" s="9" t="n">
        <v>17.37</v>
      </c>
      <c r="H71" s="9" t="n">
        <v>17.9</v>
      </c>
      <c r="I71" s="9" t="n">
        <f aca="false">E71-H71</f>
        <v>-0.829999999999998</v>
      </c>
      <c r="J71" s="8" t="n">
        <f aca="false">ROUND(D71*E71/100,0)</f>
        <v>9783</v>
      </c>
      <c r="K71" s="9" t="n">
        <v>29.2</v>
      </c>
      <c r="L71" s="9" t="n">
        <v>29.65</v>
      </c>
      <c r="M71" s="9" t="n">
        <v>95.33</v>
      </c>
      <c r="N71" s="9" t="n">
        <v>69.26</v>
      </c>
      <c r="O71" s="9" t="n">
        <v>27.52</v>
      </c>
      <c r="P71" s="2" t="n">
        <f aca="false">RANK(E71,$E$2:$E$350,0)</f>
        <v>149</v>
      </c>
      <c r="Q71" s="2" t="str">
        <f aca="false">IF(E71&gt;=30,"بسیار بالا",IF(E71&gt;=20,"بالا",IF(E71&gt;=13,"متوسط",IF(E71&gt;=8,"پایین","بسیار پایین"))))</f>
        <v>متوسط</v>
      </c>
      <c r="R71" s="10"/>
      <c r="S71" s="11" t="n">
        <v>0</v>
      </c>
      <c r="T71" s="8" t="n">
        <v>0</v>
      </c>
      <c r="U71" s="2" t="s">
        <v>64</v>
      </c>
      <c r="V71" s="12" t="s">
        <v>65</v>
      </c>
      <c r="W71" s="2" t="n">
        <v>0</v>
      </c>
      <c r="X71" s="12" t="s">
        <v>66</v>
      </c>
    </row>
    <row r="72" customFormat="false" ht="16.4" hidden="false" customHeight="false" outlineLevel="0" collapsed="false">
      <c r="A72" s="2" t="n">
        <v>71</v>
      </c>
      <c r="B72" s="2" t="n">
        <v>4</v>
      </c>
      <c r="C72" s="2" t="s">
        <v>67</v>
      </c>
      <c r="D72" s="8" t="n">
        <v>40336</v>
      </c>
      <c r="E72" s="9" t="n">
        <v>17.07</v>
      </c>
      <c r="F72" s="9" t="n">
        <v>16.72</v>
      </c>
      <c r="G72" s="9" t="n">
        <v>17.37</v>
      </c>
      <c r="H72" s="9" t="n">
        <v>17.9</v>
      </c>
      <c r="I72" s="9" t="n">
        <f aca="false">E72-H72</f>
        <v>-0.829999999999998</v>
      </c>
      <c r="J72" s="8" t="n">
        <f aca="false">ROUND(D72*E72/100,0)</f>
        <v>6885</v>
      </c>
      <c r="K72" s="9" t="n">
        <v>29.2</v>
      </c>
      <c r="L72" s="9" t="n">
        <v>29.65</v>
      </c>
      <c r="M72" s="9" t="n">
        <v>95.33</v>
      </c>
      <c r="N72" s="9" t="n">
        <v>69.26</v>
      </c>
      <c r="O72" s="9" t="n">
        <v>27.52</v>
      </c>
      <c r="P72" s="2" t="n">
        <f aca="false">RANK(E72,$E$2:$E$350,0)</f>
        <v>149</v>
      </c>
      <c r="Q72" s="2" t="str">
        <f aca="false">IF(E72&gt;=30,"بسیار بالا",IF(E72&gt;=20,"بالا",IF(E72&gt;=13,"متوسط",IF(E72&gt;=8,"پایین","بسیار پایین"))))</f>
        <v>متوسط</v>
      </c>
      <c r="R72" s="10"/>
      <c r="S72" s="11" t="n">
        <v>0</v>
      </c>
      <c r="T72" s="8" t="n">
        <v>0</v>
      </c>
      <c r="U72" s="2" t="s">
        <v>64</v>
      </c>
      <c r="V72" s="12" t="s">
        <v>65</v>
      </c>
      <c r="W72" s="2" t="n">
        <v>0</v>
      </c>
      <c r="X72" s="12" t="s">
        <v>66</v>
      </c>
    </row>
    <row r="73" customFormat="false" ht="16.4" hidden="false" customHeight="false" outlineLevel="0" collapsed="false">
      <c r="A73" s="2" t="n">
        <v>72</v>
      </c>
      <c r="B73" s="2" t="n">
        <v>4</v>
      </c>
      <c r="C73" s="2" t="s">
        <v>144</v>
      </c>
      <c r="D73" s="8" t="n">
        <v>30228</v>
      </c>
      <c r="E73" s="9" t="n">
        <v>17.07</v>
      </c>
      <c r="F73" s="9" t="n">
        <v>16.72</v>
      </c>
      <c r="G73" s="9" t="n">
        <v>17.37</v>
      </c>
      <c r="H73" s="9" t="n">
        <v>17.9</v>
      </c>
      <c r="I73" s="9" t="n">
        <f aca="false">E73-H73</f>
        <v>-0.829999999999998</v>
      </c>
      <c r="J73" s="8" t="n">
        <f aca="false">ROUND(D73*E73/100,0)</f>
        <v>5160</v>
      </c>
      <c r="K73" s="9" t="n">
        <v>29.2</v>
      </c>
      <c r="L73" s="9" t="n">
        <v>29.65</v>
      </c>
      <c r="M73" s="9" t="n">
        <v>95.33</v>
      </c>
      <c r="N73" s="9" t="n">
        <v>69.26</v>
      </c>
      <c r="O73" s="9" t="n">
        <v>27.52</v>
      </c>
      <c r="P73" s="2" t="n">
        <f aca="false">RANK(E73,$E$2:$E$350,0)</f>
        <v>149</v>
      </c>
      <c r="Q73" s="2" t="str">
        <f aca="false">IF(E73&gt;=30,"بسیار بالا",IF(E73&gt;=20,"بالا",IF(E73&gt;=13,"متوسط",IF(E73&gt;=8,"پایین","بسیار پایین"))))</f>
        <v>متوسط</v>
      </c>
      <c r="R73" s="10"/>
      <c r="S73" s="11" t="n">
        <v>0</v>
      </c>
      <c r="T73" s="8" t="n">
        <v>0</v>
      </c>
      <c r="U73" s="2" t="s">
        <v>64</v>
      </c>
      <c r="V73" s="12" t="s">
        <v>65</v>
      </c>
      <c r="W73" s="2" t="n">
        <v>0</v>
      </c>
      <c r="X73" s="12" t="s">
        <v>66</v>
      </c>
    </row>
    <row r="74" customFormat="false" ht="16.4" hidden="false" customHeight="false" outlineLevel="0" collapsed="false">
      <c r="A74" s="2" t="n">
        <v>73</v>
      </c>
      <c r="B74" s="2" t="n">
        <v>4</v>
      </c>
      <c r="C74" s="2" t="s">
        <v>145</v>
      </c>
      <c r="D74" s="8" t="n">
        <v>21603</v>
      </c>
      <c r="E74" s="9" t="n">
        <v>17.07</v>
      </c>
      <c r="F74" s="9" t="n">
        <v>16.72</v>
      </c>
      <c r="G74" s="9" t="n">
        <v>17.37</v>
      </c>
      <c r="H74" s="9" t="n">
        <v>17.9</v>
      </c>
      <c r="I74" s="9" t="n">
        <f aca="false">E74-H74</f>
        <v>-0.829999999999998</v>
      </c>
      <c r="J74" s="8" t="n">
        <f aca="false">ROUND(D74*E74/100,0)</f>
        <v>3688</v>
      </c>
      <c r="K74" s="9" t="n">
        <v>29.2</v>
      </c>
      <c r="L74" s="9" t="n">
        <v>29.65</v>
      </c>
      <c r="M74" s="9" t="n">
        <v>95.33</v>
      </c>
      <c r="N74" s="9" t="n">
        <v>69.26</v>
      </c>
      <c r="O74" s="9" t="n">
        <v>27.52</v>
      </c>
      <c r="P74" s="2" t="n">
        <f aca="false">RANK(E74,$E$2:$E$350,0)</f>
        <v>149</v>
      </c>
      <c r="Q74" s="2" t="str">
        <f aca="false">IF(E74&gt;=30,"بسیار بالا",IF(E74&gt;=20,"بالا",IF(E74&gt;=13,"متوسط",IF(E74&gt;=8,"پایین","بسیار پایین"))))</f>
        <v>متوسط</v>
      </c>
      <c r="R74" s="10"/>
      <c r="S74" s="11" t="n">
        <v>0</v>
      </c>
      <c r="T74" s="8" t="n">
        <v>0</v>
      </c>
      <c r="U74" s="2" t="s">
        <v>64</v>
      </c>
      <c r="V74" s="12" t="s">
        <v>65</v>
      </c>
      <c r="W74" s="2" t="n">
        <v>0</v>
      </c>
      <c r="X74" s="12" t="s">
        <v>66</v>
      </c>
    </row>
    <row r="75" customFormat="false" ht="16.4" hidden="false" customHeight="false" outlineLevel="0" collapsed="false">
      <c r="A75" s="2" t="n">
        <v>74</v>
      </c>
      <c r="B75" s="2" t="n">
        <v>4</v>
      </c>
      <c r="C75" s="2" t="s">
        <v>146</v>
      </c>
      <c r="D75" s="8" t="n">
        <v>46880</v>
      </c>
      <c r="E75" s="9" t="n">
        <v>16.65</v>
      </c>
      <c r="F75" s="9" t="n">
        <v>16.23</v>
      </c>
      <c r="G75" s="9" t="n">
        <v>17.04</v>
      </c>
      <c r="H75" s="9" t="n">
        <v>17.9</v>
      </c>
      <c r="I75" s="9" t="n">
        <f aca="false">E75-H75</f>
        <v>-1.25</v>
      </c>
      <c r="J75" s="8" t="n">
        <f aca="false">ROUND(D75*E75/100,0)</f>
        <v>7806</v>
      </c>
      <c r="K75" s="9" t="n">
        <v>28.59</v>
      </c>
      <c r="L75" s="9" t="n">
        <v>29.15</v>
      </c>
      <c r="M75" s="9" t="n">
        <v>95.24</v>
      </c>
      <c r="N75" s="9" t="n">
        <v>68.35</v>
      </c>
      <c r="O75" s="9" t="n">
        <v>26.98</v>
      </c>
      <c r="P75" s="2" t="n">
        <f aca="false">RANK(E75,$E$2:$E$350,0)</f>
        <v>159</v>
      </c>
      <c r="Q75" s="2" t="str">
        <f aca="false">IF(E75&gt;=30,"بسیار بالا",IF(E75&gt;=20,"بالا",IF(E75&gt;=13,"متوسط",IF(E75&gt;=8,"پایین","بسیار پایین"))))</f>
        <v>متوسط</v>
      </c>
      <c r="R75" s="10" t="n">
        <v>233.8</v>
      </c>
      <c r="S75" s="11" t="n">
        <v>-0.021</v>
      </c>
      <c r="T75" s="8" t="n">
        <v>87</v>
      </c>
      <c r="U75" s="2" t="s">
        <v>45</v>
      </c>
      <c r="V75" s="2" t="s">
        <v>146</v>
      </c>
      <c r="W75" s="2" t="n">
        <v>0.99</v>
      </c>
      <c r="X75" s="12" t="s">
        <v>46</v>
      </c>
    </row>
    <row r="76" customFormat="false" ht="16.4" hidden="false" customHeight="false" outlineLevel="0" collapsed="false">
      <c r="A76" s="2" t="n">
        <v>75</v>
      </c>
      <c r="B76" s="2" t="n">
        <v>4</v>
      </c>
      <c r="C76" s="2" t="s">
        <v>147</v>
      </c>
      <c r="D76" s="8" t="n">
        <v>32569</v>
      </c>
      <c r="E76" s="9" t="n">
        <v>16.15</v>
      </c>
      <c r="F76" s="9" t="n">
        <v>15.63</v>
      </c>
      <c r="G76" s="9" t="n">
        <v>16.63</v>
      </c>
      <c r="H76" s="9" t="n">
        <v>17.9</v>
      </c>
      <c r="I76" s="9" t="n">
        <f aca="false">E76-H76</f>
        <v>-1.75</v>
      </c>
      <c r="J76" s="8" t="n">
        <f aca="false">ROUND(D76*E76/100,0)</f>
        <v>5260</v>
      </c>
      <c r="K76" s="9" t="n">
        <v>27.85</v>
      </c>
      <c r="L76" s="9" t="n">
        <v>28.52</v>
      </c>
      <c r="M76" s="9" t="n">
        <v>95.11</v>
      </c>
      <c r="N76" s="9" t="n">
        <v>67.2</v>
      </c>
      <c r="O76" s="9" t="n">
        <v>26.33</v>
      </c>
      <c r="P76" s="2" t="n">
        <f aca="false">RANK(E76,$E$2:$E$350,0)</f>
        <v>165</v>
      </c>
      <c r="Q76" s="2" t="str">
        <f aca="false">IF(E76&gt;=30,"بسیار بالا",IF(E76&gt;=20,"بالا",IF(E76&gt;=13,"متوسط",IF(E76&gt;=8,"پایین","بسیار پایین"))))</f>
        <v>متوسط</v>
      </c>
      <c r="R76" s="10" t="n">
        <v>230</v>
      </c>
      <c r="S76" s="11" t="n">
        <v>-0.047</v>
      </c>
      <c r="T76" s="8" t="n">
        <v>85</v>
      </c>
      <c r="U76" s="2" t="s">
        <v>45</v>
      </c>
      <c r="V76" s="2" t="s">
        <v>148</v>
      </c>
      <c r="W76" s="2" t="n">
        <v>0.99</v>
      </c>
      <c r="X76" s="12" t="s">
        <v>46</v>
      </c>
    </row>
    <row r="77" customFormat="false" ht="16.4" hidden="false" customHeight="false" outlineLevel="0" collapsed="false">
      <c r="A77" s="2" t="n">
        <v>76</v>
      </c>
      <c r="B77" s="2" t="n">
        <v>4</v>
      </c>
      <c r="C77" s="2" t="s">
        <v>149</v>
      </c>
      <c r="D77" s="8" t="n">
        <v>49864</v>
      </c>
      <c r="E77" s="9" t="n">
        <v>14.72</v>
      </c>
      <c r="F77" s="9" t="n">
        <v>13.96</v>
      </c>
      <c r="G77" s="9" t="n">
        <v>15.47</v>
      </c>
      <c r="H77" s="9" t="n">
        <v>17.9</v>
      </c>
      <c r="I77" s="9" t="n">
        <f aca="false">E77-H77</f>
        <v>-3.18</v>
      </c>
      <c r="J77" s="8" t="n">
        <f aca="false">ROUND(D77*E77/100,0)</f>
        <v>7340</v>
      </c>
      <c r="K77" s="9" t="n">
        <v>25.7</v>
      </c>
      <c r="L77" s="9" t="n">
        <v>26.73</v>
      </c>
      <c r="M77" s="9" t="n">
        <v>94.72</v>
      </c>
      <c r="N77" s="9" t="n">
        <v>63.67</v>
      </c>
      <c r="O77" s="9" t="n">
        <v>24.45</v>
      </c>
      <c r="P77" s="2" t="n">
        <f aca="false">RANK(E77,$E$2:$E$350,0)</f>
        <v>188</v>
      </c>
      <c r="Q77" s="2" t="str">
        <f aca="false">IF(E77&gt;=30,"بسیار بالا",IF(E77&gt;=20,"بالا",IF(E77&gt;=13,"متوسط",IF(E77&gt;=8,"پایین","بسیار پایین"))))</f>
        <v>متوسط</v>
      </c>
      <c r="R77" s="10" t="n">
        <v>213.3</v>
      </c>
      <c r="S77" s="11" t="n">
        <v>-0.123</v>
      </c>
      <c r="T77" s="8" t="n">
        <v>86</v>
      </c>
      <c r="U77" s="2" t="s">
        <v>45</v>
      </c>
      <c r="V77" s="2" t="s">
        <v>149</v>
      </c>
      <c r="W77" s="2" t="n">
        <v>0.99</v>
      </c>
      <c r="X77" s="12" t="s">
        <v>46</v>
      </c>
    </row>
    <row r="78" customFormat="false" ht="16.4" hidden="false" customHeight="false" outlineLevel="0" collapsed="false">
      <c r="A78" s="2" t="n">
        <v>77</v>
      </c>
      <c r="B78" s="2" t="n">
        <v>4</v>
      </c>
      <c r="C78" s="2" t="s">
        <v>150</v>
      </c>
      <c r="D78" s="8" t="n">
        <v>21787</v>
      </c>
      <c r="E78" s="9" t="n">
        <v>14.67</v>
      </c>
      <c r="F78" s="9" t="n">
        <v>13.9</v>
      </c>
      <c r="G78" s="9" t="n">
        <v>15.43</v>
      </c>
      <c r="H78" s="9" t="n">
        <v>17.9</v>
      </c>
      <c r="I78" s="9" t="n">
        <f aca="false">E78-H78</f>
        <v>-3.23</v>
      </c>
      <c r="J78" s="8" t="n">
        <f aca="false">ROUND(D78*E78/100,0)</f>
        <v>3196</v>
      </c>
      <c r="K78" s="9" t="n">
        <v>25.62</v>
      </c>
      <c r="L78" s="9" t="n">
        <v>26.66</v>
      </c>
      <c r="M78" s="9" t="n">
        <v>94.7</v>
      </c>
      <c r="N78" s="9" t="n">
        <v>63.53</v>
      </c>
      <c r="O78" s="9" t="n">
        <v>24.38</v>
      </c>
      <c r="P78" s="2" t="n">
        <f aca="false">RANK(E78,$E$2:$E$350,0)</f>
        <v>190</v>
      </c>
      <c r="Q78" s="2" t="str">
        <f aca="false">IF(E78&gt;=30,"بسیار بالا",IF(E78&gt;=20,"بالا",IF(E78&gt;=13,"متوسط",IF(E78&gt;=8,"پایین","بسیار پایین"))))</f>
        <v>متوسط</v>
      </c>
      <c r="R78" s="10" t="n">
        <v>219.7</v>
      </c>
      <c r="S78" s="11" t="n">
        <v>-0.126</v>
      </c>
      <c r="T78" s="8" t="n">
        <v>90</v>
      </c>
      <c r="U78" s="2" t="s">
        <v>54</v>
      </c>
      <c r="V78" s="2" t="s">
        <v>151</v>
      </c>
      <c r="W78" s="2" t="n">
        <v>0.99</v>
      </c>
      <c r="X78" s="12" t="s">
        <v>46</v>
      </c>
    </row>
    <row r="79" customFormat="false" ht="16.4" hidden="false" customHeight="false" outlineLevel="0" collapsed="false">
      <c r="A79" s="2" t="n">
        <v>78</v>
      </c>
      <c r="B79" s="2" t="n">
        <v>4</v>
      </c>
      <c r="C79" s="2" t="s">
        <v>152</v>
      </c>
      <c r="D79" s="8" t="n">
        <v>66818</v>
      </c>
      <c r="E79" s="9" t="n">
        <v>13.74</v>
      </c>
      <c r="F79" s="9" t="n">
        <v>12.82</v>
      </c>
      <c r="G79" s="9" t="n">
        <v>14.66</v>
      </c>
      <c r="H79" s="9" t="n">
        <v>17.9</v>
      </c>
      <c r="I79" s="9" t="n">
        <f aca="false">E79-H79</f>
        <v>-4.16</v>
      </c>
      <c r="J79" s="8" t="n">
        <f aca="false">ROUND(D79*E79/100,0)</f>
        <v>9181</v>
      </c>
      <c r="K79" s="9" t="n">
        <v>24.19</v>
      </c>
      <c r="L79" s="9" t="n">
        <v>25.45</v>
      </c>
      <c r="M79" s="9" t="n">
        <v>94.41</v>
      </c>
      <c r="N79" s="9" t="n">
        <v>60.96</v>
      </c>
      <c r="O79" s="9" t="n">
        <v>23.12</v>
      </c>
      <c r="P79" s="2" t="n">
        <f aca="false">RANK(E79,$E$2:$E$350,0)</f>
        <v>205</v>
      </c>
      <c r="Q79" s="2" t="str">
        <f aca="false">IF(E79&gt;=30,"بسیار بالا",IF(E79&gt;=20,"بالا",IF(E79&gt;=13,"متوسط",IF(E79&gt;=8,"پایین","بسیار پایین"))))</f>
        <v>متوسط</v>
      </c>
      <c r="R79" s="10" t="n">
        <v>211.1</v>
      </c>
      <c r="S79" s="11" t="n">
        <v>-0.18</v>
      </c>
      <c r="T79" s="8" t="n">
        <v>85</v>
      </c>
      <c r="U79" s="2" t="s">
        <v>45</v>
      </c>
      <c r="V79" s="2" t="s">
        <v>152</v>
      </c>
      <c r="W79" s="2" t="n">
        <v>0.99</v>
      </c>
      <c r="X79" s="12" t="s">
        <v>46</v>
      </c>
    </row>
    <row r="80" customFormat="false" ht="16.4" hidden="false" customHeight="false" outlineLevel="0" collapsed="false">
      <c r="A80" s="2" t="n">
        <v>79</v>
      </c>
      <c r="B80" s="2" t="n">
        <v>4</v>
      </c>
      <c r="C80" s="2" t="s">
        <v>153</v>
      </c>
      <c r="D80" s="8" t="n">
        <v>58768</v>
      </c>
      <c r="E80" s="9" t="n">
        <v>9.78</v>
      </c>
      <c r="F80" s="9" t="n">
        <v>8.44</v>
      </c>
      <c r="G80" s="9" t="n">
        <v>11.26</v>
      </c>
      <c r="H80" s="9" t="n">
        <v>17.9</v>
      </c>
      <c r="I80" s="9" t="n">
        <f aca="false">E80-H80</f>
        <v>-8.12</v>
      </c>
      <c r="J80" s="8" t="n">
        <f aca="false">ROUND(D80*E80/100,0)</f>
        <v>5748</v>
      </c>
      <c r="K80" s="9" t="n">
        <v>17.85</v>
      </c>
      <c r="L80" s="9" t="n">
        <v>19.92</v>
      </c>
      <c r="M80" s="9" t="n">
        <v>92.71</v>
      </c>
      <c r="N80" s="9" t="n">
        <v>47.41</v>
      </c>
      <c r="O80" s="9" t="n">
        <v>17.51</v>
      </c>
      <c r="P80" s="2" t="n">
        <f aca="false">RANK(E80,$E$2:$E$350,0)</f>
        <v>253</v>
      </c>
      <c r="Q80" s="2" t="str">
        <f aca="false">IF(E80&gt;=30,"بسیار بالا",IF(E80&gt;=20,"بالا",IF(E80&gt;=13,"متوسط",IF(E80&gt;=8,"پایین","بسیار پایین"))))</f>
        <v>پایین</v>
      </c>
      <c r="R80" s="10" t="n">
        <v>170</v>
      </c>
      <c r="S80" s="11" t="n">
        <v>-0.45</v>
      </c>
      <c r="T80" s="8" t="n">
        <v>79</v>
      </c>
      <c r="U80" s="2" t="s">
        <v>54</v>
      </c>
      <c r="V80" s="2" t="s">
        <v>154</v>
      </c>
      <c r="W80" s="2" t="n">
        <v>0.98</v>
      </c>
      <c r="X80" s="12" t="s">
        <v>46</v>
      </c>
    </row>
    <row r="81" customFormat="false" ht="16.4" hidden="false" customHeight="false" outlineLevel="0" collapsed="false">
      <c r="A81" s="2" t="n">
        <v>80</v>
      </c>
      <c r="B81" s="2" t="n">
        <v>4</v>
      </c>
      <c r="C81" s="2" t="s">
        <v>155</v>
      </c>
      <c r="D81" s="8" t="n">
        <v>44857</v>
      </c>
      <c r="E81" s="9" t="n">
        <v>5.23</v>
      </c>
      <c r="F81" s="9" t="n">
        <v>3.91</v>
      </c>
      <c r="G81" s="9" t="n">
        <v>6.94</v>
      </c>
      <c r="H81" s="9" t="n">
        <v>17.9</v>
      </c>
      <c r="I81" s="9" t="n">
        <f aca="false">E81-H81</f>
        <v>-12.67</v>
      </c>
      <c r="J81" s="8" t="n">
        <f aca="false">ROUND(D81*E81/100,0)</f>
        <v>2346</v>
      </c>
      <c r="K81" s="9" t="n">
        <v>9.97</v>
      </c>
      <c r="L81" s="9" t="n">
        <v>12.5</v>
      </c>
      <c r="M81" s="9" t="n">
        <v>88.53</v>
      </c>
      <c r="N81" s="9" t="n">
        <v>25.59</v>
      </c>
      <c r="O81" s="9" t="n">
        <v>10.33</v>
      </c>
      <c r="P81" s="2" t="n">
        <f aca="false">RANK(E81,$E$2:$E$350,0)</f>
        <v>328</v>
      </c>
      <c r="Q81" s="2" t="str">
        <f aca="false">IF(E81&gt;=30,"بسیار بالا",IF(E81&gt;=20,"بالا",IF(E81&gt;=13,"متوسط",IF(E81&gt;=8,"پایین","بسیار پایین"))))</f>
        <v>بسیار پایین</v>
      </c>
      <c r="R81" s="10" t="n">
        <v>95.2</v>
      </c>
      <c r="S81" s="11" t="n">
        <v>-0.923</v>
      </c>
      <c r="T81" s="8" t="n">
        <v>65</v>
      </c>
      <c r="U81" s="2" t="s">
        <v>45</v>
      </c>
      <c r="V81" s="2" t="s">
        <v>156</v>
      </c>
      <c r="W81" s="2" t="n">
        <v>0.98</v>
      </c>
      <c r="X81" s="12" t="s">
        <v>46</v>
      </c>
    </row>
    <row r="82" customFormat="false" ht="16.4" hidden="false" customHeight="false" outlineLevel="0" collapsed="false">
      <c r="A82" s="2" t="n">
        <v>81</v>
      </c>
      <c r="B82" s="2" t="n">
        <v>5</v>
      </c>
      <c r="C82" s="2" t="s">
        <v>157</v>
      </c>
      <c r="D82" s="8" t="n">
        <v>35408</v>
      </c>
      <c r="E82" s="9" t="n">
        <v>31.6</v>
      </c>
      <c r="F82" s="9" t="n">
        <v>30.39</v>
      </c>
      <c r="G82" s="9" t="n">
        <v>32.83</v>
      </c>
      <c r="H82" s="9" t="n">
        <v>26</v>
      </c>
      <c r="I82" s="9" t="n">
        <f aca="false">E82-H82</f>
        <v>5.6</v>
      </c>
      <c r="J82" s="8" t="n">
        <f aca="false">ROUND(D82*E82/100,0)</f>
        <v>11189</v>
      </c>
      <c r="K82" s="9" t="n">
        <v>48.71</v>
      </c>
      <c r="L82" s="9" t="n">
        <v>44.89</v>
      </c>
      <c r="M82" s="9" t="n">
        <v>97.82</v>
      </c>
      <c r="N82" s="9" t="n">
        <v>84.59</v>
      </c>
      <c r="O82" s="9" t="n">
        <v>46.2</v>
      </c>
      <c r="P82" s="2" t="n">
        <f aca="false">RANK(E82,$E$2:$E$350,0)</f>
        <v>36</v>
      </c>
      <c r="Q82" s="2" t="str">
        <f aca="false">IF(E82&gt;=30,"بسیار بالا",IF(E82&gt;=20,"بالا",IF(E82&gt;=13,"متوسط",IF(E82&gt;=8,"پایین","بسیار پایین"))))</f>
        <v>بسیار بالا</v>
      </c>
      <c r="R82" s="10" t="n">
        <v>379.7</v>
      </c>
      <c r="S82" s="11" t="n">
        <v>0.199</v>
      </c>
      <c r="T82" s="8" t="n">
        <v>90</v>
      </c>
      <c r="U82" s="2" t="s">
        <v>54</v>
      </c>
      <c r="V82" s="2" t="s">
        <v>99</v>
      </c>
      <c r="W82" s="2" t="n">
        <v>0.99</v>
      </c>
      <c r="X82" s="12" t="s">
        <v>46</v>
      </c>
    </row>
    <row r="83" customFormat="false" ht="16.4" hidden="false" customHeight="false" outlineLevel="0" collapsed="false">
      <c r="A83" s="2" t="n">
        <v>82</v>
      </c>
      <c r="B83" s="2" t="n">
        <v>5</v>
      </c>
      <c r="C83" s="2" t="s">
        <v>158</v>
      </c>
      <c r="D83" s="8" t="n">
        <v>29387</v>
      </c>
      <c r="E83" s="9" t="n">
        <v>31.6</v>
      </c>
      <c r="F83" s="9" t="n">
        <v>30.39</v>
      </c>
      <c r="G83" s="9" t="n">
        <v>32.83</v>
      </c>
      <c r="H83" s="9" t="n">
        <v>26</v>
      </c>
      <c r="I83" s="9" t="n">
        <f aca="false">E83-H83</f>
        <v>5.6</v>
      </c>
      <c r="J83" s="8" t="n">
        <f aca="false">ROUND(D83*E83/100,0)</f>
        <v>9286</v>
      </c>
      <c r="K83" s="9" t="n">
        <v>48.71</v>
      </c>
      <c r="L83" s="9" t="n">
        <v>44.89</v>
      </c>
      <c r="M83" s="9" t="n">
        <v>97.82</v>
      </c>
      <c r="N83" s="9" t="n">
        <v>84.59</v>
      </c>
      <c r="O83" s="9" t="n">
        <v>46.2</v>
      </c>
      <c r="P83" s="2" t="n">
        <f aca="false">RANK(E83,$E$2:$E$350,0)</f>
        <v>36</v>
      </c>
      <c r="Q83" s="2" t="str">
        <f aca="false">IF(E83&gt;=30,"بسیار بالا",IF(E83&gt;=20,"بالا",IF(E83&gt;=13,"متوسط",IF(E83&gt;=8,"پایین","بسیار پایین"))))</f>
        <v>بسیار بالا</v>
      </c>
      <c r="R83" s="10" t="n">
        <v>379.7</v>
      </c>
      <c r="S83" s="11" t="n">
        <v>0.199</v>
      </c>
      <c r="T83" s="8" t="n">
        <v>90</v>
      </c>
      <c r="U83" s="2" t="s">
        <v>54</v>
      </c>
      <c r="V83" s="2" t="s">
        <v>99</v>
      </c>
      <c r="W83" s="2" t="n">
        <v>0.99</v>
      </c>
      <c r="X83" s="12" t="s">
        <v>46</v>
      </c>
    </row>
    <row r="84" customFormat="false" ht="16.4" hidden="false" customHeight="false" outlineLevel="0" collapsed="false">
      <c r="A84" s="2" t="n">
        <v>83</v>
      </c>
      <c r="B84" s="2" t="n">
        <v>5</v>
      </c>
      <c r="C84" s="2" t="s">
        <v>159</v>
      </c>
      <c r="D84" s="8" t="n">
        <v>28191</v>
      </c>
      <c r="E84" s="9" t="n">
        <v>30.98</v>
      </c>
      <c r="F84" s="9" t="n">
        <v>29.91</v>
      </c>
      <c r="G84" s="9" t="n">
        <v>32.05</v>
      </c>
      <c r="H84" s="9" t="n">
        <v>26</v>
      </c>
      <c r="I84" s="9" t="n">
        <f aca="false">E84-H84</f>
        <v>4.98</v>
      </c>
      <c r="J84" s="8" t="n">
        <f aca="false">ROUND(D84*E84/100,0)</f>
        <v>8734</v>
      </c>
      <c r="K84" s="9" t="n">
        <v>47.98</v>
      </c>
      <c r="L84" s="9" t="n">
        <v>44.3</v>
      </c>
      <c r="M84" s="9" t="n">
        <v>97.77</v>
      </c>
      <c r="N84" s="9" t="n">
        <v>84.04</v>
      </c>
      <c r="O84" s="9" t="n">
        <v>45.54</v>
      </c>
      <c r="P84" s="2" t="n">
        <f aca="false">RANK(E84,$E$2:$E$350,0)</f>
        <v>44</v>
      </c>
      <c r="Q84" s="2" t="str">
        <f aca="false">IF(E84&gt;=30,"بسیار بالا",IF(E84&gt;=20,"بالا",IF(E84&gt;=13,"متوسط",IF(E84&gt;=8,"پایین","بسیار پایین"))))</f>
        <v>بسیار بالا</v>
      </c>
      <c r="R84" s="10" t="n">
        <v>363</v>
      </c>
      <c r="S84" s="11" t="n">
        <v>0.178</v>
      </c>
      <c r="T84" s="8" t="n">
        <v>91</v>
      </c>
      <c r="U84" s="2" t="s">
        <v>45</v>
      </c>
      <c r="V84" s="2" t="s">
        <v>159</v>
      </c>
      <c r="W84" s="2" t="n">
        <v>0.99</v>
      </c>
      <c r="X84" s="12" t="s">
        <v>46</v>
      </c>
    </row>
    <row r="85" customFormat="false" ht="16.4" hidden="false" customHeight="false" outlineLevel="0" collapsed="false">
      <c r="A85" s="2" t="n">
        <v>84</v>
      </c>
      <c r="B85" s="2" t="n">
        <v>5</v>
      </c>
      <c r="C85" s="2" t="s">
        <v>131</v>
      </c>
      <c r="D85" s="8" t="n">
        <v>34036</v>
      </c>
      <c r="E85" s="9" t="n">
        <v>30.44</v>
      </c>
      <c r="F85" s="9" t="n">
        <v>29.49</v>
      </c>
      <c r="G85" s="9" t="n">
        <v>31.39</v>
      </c>
      <c r="H85" s="9" t="n">
        <v>26</v>
      </c>
      <c r="I85" s="9" t="n">
        <f aca="false">E85-H85</f>
        <v>4.44</v>
      </c>
      <c r="J85" s="8" t="n">
        <f aca="false">ROUND(D85*E85/100,0)</f>
        <v>10361</v>
      </c>
      <c r="K85" s="9" t="n">
        <v>47.35</v>
      </c>
      <c r="L85" s="9" t="n">
        <v>43.79</v>
      </c>
      <c r="M85" s="9" t="n">
        <v>97.73</v>
      </c>
      <c r="N85" s="9" t="n">
        <v>83.55</v>
      </c>
      <c r="O85" s="9" t="n">
        <v>44.97</v>
      </c>
      <c r="P85" s="2" t="n">
        <f aca="false">RANK(E85,$E$2:$E$350,0)</f>
        <v>49</v>
      </c>
      <c r="Q85" s="2" t="str">
        <f aca="false">IF(E85&gt;=30,"بسیار بالا",IF(E85&gt;=20,"بالا",IF(E85&gt;=13,"متوسط",IF(E85&gt;=8,"پایین","بسیار پایین"))))</f>
        <v>بسیار بالا</v>
      </c>
      <c r="R85" s="10" t="n">
        <v>370.3</v>
      </c>
      <c r="S85" s="11" t="n">
        <v>0.16</v>
      </c>
      <c r="T85" s="8" t="n">
        <v>90</v>
      </c>
      <c r="U85" s="2" t="s">
        <v>54</v>
      </c>
      <c r="V85" s="2" t="s">
        <v>131</v>
      </c>
      <c r="W85" s="2" t="n">
        <v>0.99</v>
      </c>
      <c r="X85" s="12" t="s">
        <v>46</v>
      </c>
    </row>
    <row r="86" customFormat="false" ht="16.4" hidden="false" customHeight="false" outlineLevel="0" collapsed="false">
      <c r="A86" s="2" t="n">
        <v>85</v>
      </c>
      <c r="B86" s="2" t="n">
        <v>5</v>
      </c>
      <c r="C86" s="2" t="s">
        <v>76</v>
      </c>
      <c r="D86" s="8" t="n">
        <v>14997</v>
      </c>
      <c r="E86" s="9" t="n">
        <v>29.39</v>
      </c>
      <c r="F86" s="9" t="n">
        <v>28.68</v>
      </c>
      <c r="G86" s="9" t="n">
        <v>30.1</v>
      </c>
      <c r="H86" s="9" t="n">
        <v>26</v>
      </c>
      <c r="I86" s="9" t="n">
        <f aca="false">E86-H86</f>
        <v>3.39</v>
      </c>
      <c r="J86" s="8" t="n">
        <f aca="false">ROUND(D86*E86/100,0)</f>
        <v>4408</v>
      </c>
      <c r="K86" s="9" t="n">
        <v>46.1</v>
      </c>
      <c r="L86" s="9" t="n">
        <v>42.78</v>
      </c>
      <c r="M86" s="9" t="n">
        <v>97.65</v>
      </c>
      <c r="N86" s="9" t="n">
        <v>82.54</v>
      </c>
      <c r="O86" s="9" t="n">
        <v>43.85</v>
      </c>
      <c r="P86" s="2" t="n">
        <f aca="false">RANK(E86,$E$2:$E$350,0)</f>
        <v>53</v>
      </c>
      <c r="Q86" s="2" t="str">
        <f aca="false">IF(E86&gt;=30,"بسیار بالا",IF(E86&gt;=20,"بالا",IF(E86&gt;=13,"متوسط",IF(E86&gt;=8,"پایین","بسیار پایین"))))</f>
        <v>بالا</v>
      </c>
      <c r="R86" s="10" t="n">
        <v>356.8</v>
      </c>
      <c r="S86" s="11" t="n">
        <v>0.125</v>
      </c>
      <c r="T86" s="8" t="n">
        <v>89</v>
      </c>
      <c r="U86" s="2" t="s">
        <v>54</v>
      </c>
      <c r="V86" s="2" t="s">
        <v>76</v>
      </c>
      <c r="W86" s="2" t="n">
        <v>0.99</v>
      </c>
      <c r="X86" s="12" t="s">
        <v>46</v>
      </c>
    </row>
    <row r="87" customFormat="false" ht="16.4" hidden="false" customHeight="false" outlineLevel="0" collapsed="false">
      <c r="A87" s="2" t="n">
        <v>86</v>
      </c>
      <c r="B87" s="2" t="n">
        <v>5</v>
      </c>
      <c r="C87" s="2" t="s">
        <v>160</v>
      </c>
      <c r="D87" s="8" t="n">
        <v>29223</v>
      </c>
      <c r="E87" s="9" t="n">
        <v>28.63</v>
      </c>
      <c r="F87" s="9" t="n">
        <v>28.09</v>
      </c>
      <c r="G87" s="9" t="n">
        <v>29.17</v>
      </c>
      <c r="H87" s="9" t="n">
        <v>26</v>
      </c>
      <c r="I87" s="9" t="n">
        <f aca="false">E87-H87</f>
        <v>2.63</v>
      </c>
      <c r="J87" s="8" t="n">
        <f aca="false">ROUND(D87*E87/100,0)</f>
        <v>8367</v>
      </c>
      <c r="K87" s="9" t="n">
        <v>45.19</v>
      </c>
      <c r="L87" s="9" t="n">
        <v>42.04</v>
      </c>
      <c r="M87" s="9" t="n">
        <v>97.59</v>
      </c>
      <c r="N87" s="9" t="n">
        <v>81.77</v>
      </c>
      <c r="O87" s="9" t="n">
        <v>43.04</v>
      </c>
      <c r="P87" s="2" t="n">
        <f aca="false">RANK(E87,$E$2:$E$350,0)</f>
        <v>58</v>
      </c>
      <c r="Q87" s="2" t="str">
        <f aca="false">IF(E87&gt;=30,"بسیار بالا",IF(E87&gt;=20,"بالا",IF(E87&gt;=13,"متوسط",IF(E87&gt;=8,"پایین","بسیار پایین"))))</f>
        <v>بالا</v>
      </c>
      <c r="R87" s="10" t="n">
        <v>333.1</v>
      </c>
      <c r="S87" s="11" t="n">
        <v>0.099</v>
      </c>
      <c r="T87" s="8" t="n">
        <v>86</v>
      </c>
      <c r="U87" s="2" t="s">
        <v>45</v>
      </c>
      <c r="V87" s="2" t="s">
        <v>160</v>
      </c>
      <c r="W87" s="2" t="n">
        <v>0.99</v>
      </c>
      <c r="X87" s="12" t="s">
        <v>46</v>
      </c>
    </row>
    <row r="88" customFormat="false" ht="16.4" hidden="false" customHeight="false" outlineLevel="0" collapsed="false">
      <c r="A88" s="2" t="n">
        <v>87</v>
      </c>
      <c r="B88" s="2" t="n">
        <v>5</v>
      </c>
      <c r="C88" s="2" t="s">
        <v>161</v>
      </c>
      <c r="D88" s="8" t="n">
        <v>28758</v>
      </c>
      <c r="E88" s="9" t="n">
        <v>28.63</v>
      </c>
      <c r="F88" s="9" t="n">
        <v>28.09</v>
      </c>
      <c r="G88" s="9" t="n">
        <v>29.17</v>
      </c>
      <c r="H88" s="9" t="n">
        <v>26</v>
      </c>
      <c r="I88" s="9" t="n">
        <f aca="false">E88-H88</f>
        <v>2.63</v>
      </c>
      <c r="J88" s="8" t="n">
        <f aca="false">ROUND(D88*E88/100,0)</f>
        <v>8233</v>
      </c>
      <c r="K88" s="9" t="n">
        <v>45.19</v>
      </c>
      <c r="L88" s="9" t="n">
        <v>42.04</v>
      </c>
      <c r="M88" s="9" t="n">
        <v>97.59</v>
      </c>
      <c r="N88" s="9" t="n">
        <v>81.77</v>
      </c>
      <c r="O88" s="9" t="n">
        <v>43.04</v>
      </c>
      <c r="P88" s="2" t="n">
        <f aca="false">RANK(E88,$E$2:$E$350,0)</f>
        <v>58</v>
      </c>
      <c r="Q88" s="2" t="str">
        <f aca="false">IF(E88&gt;=30,"بسیار بالا",IF(E88&gt;=20,"بالا",IF(E88&gt;=13,"متوسط",IF(E88&gt;=8,"پایین","بسیار پایین"))))</f>
        <v>بالا</v>
      </c>
      <c r="R88" s="10" t="n">
        <v>333.1</v>
      </c>
      <c r="S88" s="11" t="n">
        <v>0.099</v>
      </c>
      <c r="T88" s="8" t="n">
        <v>86</v>
      </c>
      <c r="U88" s="2" t="s">
        <v>106</v>
      </c>
      <c r="V88" s="2" t="s">
        <v>160</v>
      </c>
      <c r="W88" s="2" t="n">
        <v>0.99</v>
      </c>
      <c r="X88" s="12" t="s">
        <v>50</v>
      </c>
    </row>
    <row r="89" customFormat="false" ht="16.4" hidden="false" customHeight="false" outlineLevel="0" collapsed="false">
      <c r="A89" s="2" t="n">
        <v>88</v>
      </c>
      <c r="B89" s="2" t="n">
        <v>5</v>
      </c>
      <c r="C89" s="2" t="s">
        <v>162</v>
      </c>
      <c r="D89" s="8" t="n">
        <v>40641</v>
      </c>
      <c r="E89" s="9" t="n">
        <v>28.1</v>
      </c>
      <c r="F89" s="9" t="n">
        <v>27.67</v>
      </c>
      <c r="G89" s="9" t="n">
        <v>28.51</v>
      </c>
      <c r="H89" s="9" t="n">
        <v>26</v>
      </c>
      <c r="I89" s="9" t="n">
        <f aca="false">E89-H89</f>
        <v>2.1</v>
      </c>
      <c r="J89" s="8" t="n">
        <f aca="false">ROUND(D89*E89/100,0)</f>
        <v>11420</v>
      </c>
      <c r="K89" s="9" t="n">
        <v>44.54</v>
      </c>
      <c r="L89" s="9" t="n">
        <v>41.51</v>
      </c>
      <c r="M89" s="9" t="n">
        <v>97.54</v>
      </c>
      <c r="N89" s="9" t="n">
        <v>81.2</v>
      </c>
      <c r="O89" s="9" t="n">
        <v>42.45</v>
      </c>
      <c r="P89" s="2" t="n">
        <f aca="false">RANK(E89,$E$2:$E$350,0)</f>
        <v>60</v>
      </c>
      <c r="Q89" s="2" t="str">
        <f aca="false">IF(E89&gt;=30,"بسیار بالا",IF(E89&gt;=20,"بالا",IF(E89&gt;=13,"متوسط",IF(E89&gt;=8,"پایین","بسیار پایین"))))</f>
        <v>بالا</v>
      </c>
      <c r="R89" s="10" t="n">
        <v>340</v>
      </c>
      <c r="S89" s="11" t="n">
        <v>0.081</v>
      </c>
      <c r="T89" s="8" t="n">
        <v>35</v>
      </c>
      <c r="U89" s="2" t="s">
        <v>45</v>
      </c>
      <c r="V89" s="2" t="s">
        <v>162</v>
      </c>
      <c r="W89" s="2" t="n">
        <v>0.97</v>
      </c>
      <c r="X89" s="12" t="s">
        <v>46</v>
      </c>
    </row>
    <row r="90" customFormat="false" ht="16.4" hidden="false" customHeight="false" outlineLevel="0" collapsed="false">
      <c r="A90" s="2" t="n">
        <v>89</v>
      </c>
      <c r="B90" s="2" t="n">
        <v>5</v>
      </c>
      <c r="C90" s="2" t="s">
        <v>163</v>
      </c>
      <c r="D90" s="8" t="n">
        <v>38758</v>
      </c>
      <c r="E90" s="9" t="n">
        <v>27.28</v>
      </c>
      <c r="F90" s="9" t="n">
        <v>27.03</v>
      </c>
      <c r="G90" s="9" t="n">
        <v>27.51</v>
      </c>
      <c r="H90" s="9" t="n">
        <v>26</v>
      </c>
      <c r="I90" s="9" t="n">
        <f aca="false">E90-H90</f>
        <v>1.28</v>
      </c>
      <c r="J90" s="8" t="n">
        <f aca="false">ROUND(D90*E90/100,0)</f>
        <v>10573</v>
      </c>
      <c r="K90" s="9" t="n">
        <v>43.54</v>
      </c>
      <c r="L90" s="9" t="n">
        <v>40.7</v>
      </c>
      <c r="M90" s="9" t="n">
        <v>97.47</v>
      </c>
      <c r="N90" s="9" t="n">
        <v>80.3</v>
      </c>
      <c r="O90" s="9" t="n">
        <v>41.55</v>
      </c>
      <c r="P90" s="2" t="n">
        <f aca="false">RANK(E90,$E$2:$E$350,0)</f>
        <v>61</v>
      </c>
      <c r="Q90" s="2" t="str">
        <f aca="false">IF(E90&gt;=30,"بسیار بالا",IF(E90&gt;=20,"بالا",IF(E90&gt;=13,"متوسط",IF(E90&gt;=8,"پایین","بسیار پایین"))))</f>
        <v>بالا</v>
      </c>
      <c r="R90" s="10" t="n">
        <v>326.4</v>
      </c>
      <c r="S90" s="11" t="n">
        <v>0.052</v>
      </c>
      <c r="T90" s="8" t="n">
        <v>90</v>
      </c>
      <c r="U90" s="2" t="s">
        <v>45</v>
      </c>
      <c r="V90" s="2" t="s">
        <v>164</v>
      </c>
      <c r="W90" s="2" t="n">
        <v>1</v>
      </c>
      <c r="X90" s="12" t="s">
        <v>46</v>
      </c>
    </row>
    <row r="91" customFormat="false" ht="16.4" hidden="false" customHeight="false" outlineLevel="0" collapsed="false">
      <c r="A91" s="2" t="n">
        <v>90</v>
      </c>
      <c r="B91" s="2" t="n">
        <v>5</v>
      </c>
      <c r="C91" s="2" t="s">
        <v>165</v>
      </c>
      <c r="D91" s="8" t="n">
        <v>71891</v>
      </c>
      <c r="E91" s="9" t="n">
        <v>27.04</v>
      </c>
      <c r="F91" s="9" t="n">
        <v>26.84</v>
      </c>
      <c r="G91" s="9" t="n">
        <v>27.21</v>
      </c>
      <c r="H91" s="9" t="n">
        <v>26</v>
      </c>
      <c r="I91" s="9" t="n">
        <f aca="false">E91-H91</f>
        <v>1.04</v>
      </c>
      <c r="J91" s="8" t="n">
        <f aca="false">ROUND(D91*E91/100,0)</f>
        <v>19439</v>
      </c>
      <c r="K91" s="9" t="n">
        <v>43.23</v>
      </c>
      <c r="L91" s="9" t="n">
        <v>40.46</v>
      </c>
      <c r="M91" s="9" t="n">
        <v>97.44</v>
      </c>
      <c r="N91" s="9" t="n">
        <v>80.01</v>
      </c>
      <c r="O91" s="9" t="n">
        <v>41.28</v>
      </c>
      <c r="P91" s="2" t="n">
        <f aca="false">RANK(E91,$E$2:$E$350,0)</f>
        <v>62</v>
      </c>
      <c r="Q91" s="2" t="str">
        <f aca="false">IF(E91&gt;=30,"بسیار بالا",IF(E91&gt;=20,"بالا",IF(E91&gt;=13,"متوسط",IF(E91&gt;=8,"پایین","بسیار پایین"))))</f>
        <v>بالا</v>
      </c>
      <c r="R91" s="10" t="n">
        <v>326.8</v>
      </c>
      <c r="S91" s="11" t="n">
        <v>0.044</v>
      </c>
      <c r="T91" s="8" t="n">
        <v>92</v>
      </c>
      <c r="U91" s="2" t="s">
        <v>45</v>
      </c>
      <c r="V91" s="2" t="s">
        <v>166</v>
      </c>
      <c r="W91" s="2" t="n">
        <v>1</v>
      </c>
      <c r="X91" s="12" t="s">
        <v>46</v>
      </c>
    </row>
    <row r="92" customFormat="false" ht="16.4" hidden="false" customHeight="false" outlineLevel="0" collapsed="false">
      <c r="A92" s="2" t="n">
        <v>91</v>
      </c>
      <c r="B92" s="2" t="n">
        <v>5</v>
      </c>
      <c r="C92" s="2" t="s">
        <v>167</v>
      </c>
      <c r="D92" s="8" t="n">
        <v>66323</v>
      </c>
      <c r="E92" s="9" t="n">
        <v>27.01</v>
      </c>
      <c r="F92" s="9" t="n">
        <v>26.82</v>
      </c>
      <c r="G92" s="9" t="n">
        <v>27.18</v>
      </c>
      <c r="H92" s="9" t="n">
        <v>26</v>
      </c>
      <c r="I92" s="9" t="n">
        <f aca="false">E92-H92</f>
        <v>1.01</v>
      </c>
      <c r="J92" s="8" t="n">
        <f aca="false">ROUND(D92*E92/100,0)</f>
        <v>17914</v>
      </c>
      <c r="K92" s="9" t="n">
        <v>43.2</v>
      </c>
      <c r="L92" s="9" t="n">
        <v>40.43</v>
      </c>
      <c r="M92" s="9" t="n">
        <v>97.44</v>
      </c>
      <c r="N92" s="9" t="n">
        <v>79.98</v>
      </c>
      <c r="O92" s="9" t="n">
        <v>41.25</v>
      </c>
      <c r="P92" s="2" t="n">
        <f aca="false">RANK(E92,$E$2:$E$350,0)</f>
        <v>63</v>
      </c>
      <c r="Q92" s="2" t="str">
        <f aca="false">IF(E92&gt;=30,"بسیار بالا",IF(E92&gt;=20,"بالا",IF(E92&gt;=13,"متوسط",IF(E92&gt;=8,"پایین","بسیار پایین"))))</f>
        <v>بالا</v>
      </c>
      <c r="R92" s="10" t="n">
        <v>327.5</v>
      </c>
      <c r="S92" s="11" t="n">
        <v>0.043</v>
      </c>
      <c r="T92" s="8" t="n">
        <v>86</v>
      </c>
      <c r="U92" s="2" t="s">
        <v>54</v>
      </c>
      <c r="V92" s="2" t="s">
        <v>167</v>
      </c>
      <c r="W92" s="2" t="n">
        <v>0.99</v>
      </c>
      <c r="X92" s="12" t="s">
        <v>46</v>
      </c>
    </row>
    <row r="93" customFormat="false" ht="16.4" hidden="false" customHeight="false" outlineLevel="0" collapsed="false">
      <c r="A93" s="2" t="n">
        <v>92</v>
      </c>
      <c r="B93" s="2" t="n">
        <v>5</v>
      </c>
      <c r="C93" s="2" t="s">
        <v>168</v>
      </c>
      <c r="D93" s="8" t="n">
        <v>25328</v>
      </c>
      <c r="E93" s="9" t="n">
        <v>25.89</v>
      </c>
      <c r="F93" s="9" t="n">
        <v>25.82</v>
      </c>
      <c r="G93" s="9" t="n">
        <v>25.94</v>
      </c>
      <c r="H93" s="9" t="n">
        <v>26</v>
      </c>
      <c r="I93" s="9" t="n">
        <f aca="false">E93-H93</f>
        <v>-0.109999999999999</v>
      </c>
      <c r="J93" s="8" t="n">
        <f aca="false">ROUND(D93*E93/100,0)</f>
        <v>6557</v>
      </c>
      <c r="K93" s="9" t="n">
        <v>41.79</v>
      </c>
      <c r="L93" s="9" t="n">
        <v>39.29</v>
      </c>
      <c r="M93" s="9" t="n">
        <v>97.33</v>
      </c>
      <c r="N93" s="9" t="n">
        <v>78.63</v>
      </c>
      <c r="O93" s="9" t="n">
        <v>39.98</v>
      </c>
      <c r="P93" s="2" t="n">
        <f aca="false">RANK(E93,$E$2:$E$350,0)</f>
        <v>70</v>
      </c>
      <c r="Q93" s="2" t="str">
        <f aca="false">IF(E93&gt;=30,"بسیار بالا",IF(E93&gt;=20,"بالا",IF(E93&gt;=13,"متوسط",IF(E93&gt;=8,"پایین","بسیار پایین"))))</f>
        <v>بالا</v>
      </c>
      <c r="R93" s="10" t="n">
        <v>324.7</v>
      </c>
      <c r="S93" s="11" t="n">
        <v>0.002</v>
      </c>
      <c r="T93" s="8" t="n">
        <v>90</v>
      </c>
      <c r="U93" s="2" t="s">
        <v>54</v>
      </c>
      <c r="V93" s="2" t="s">
        <v>168</v>
      </c>
      <c r="W93" s="2" t="n">
        <v>0.99</v>
      </c>
      <c r="X93" s="12" t="s">
        <v>46</v>
      </c>
    </row>
    <row r="94" customFormat="false" ht="16.4" hidden="false" customHeight="false" outlineLevel="0" collapsed="false">
      <c r="A94" s="2" t="n">
        <v>93</v>
      </c>
      <c r="B94" s="2" t="n">
        <v>5</v>
      </c>
      <c r="C94" s="2" t="s">
        <v>67</v>
      </c>
      <c r="D94" s="8" t="n">
        <v>9705</v>
      </c>
      <c r="E94" s="9" t="n">
        <v>25.82</v>
      </c>
      <c r="F94" s="9" t="n">
        <v>25.74</v>
      </c>
      <c r="G94" s="9" t="n">
        <v>25.89</v>
      </c>
      <c r="H94" s="9" t="n">
        <v>26</v>
      </c>
      <c r="I94" s="9" t="n">
        <f aca="false">E94-H94</f>
        <v>-0.18</v>
      </c>
      <c r="J94" s="8" t="n">
        <f aca="false">ROUND(D94*E94/100,0)</f>
        <v>2506</v>
      </c>
      <c r="K94" s="9" t="n">
        <v>41.7</v>
      </c>
      <c r="L94" s="9" t="n">
        <v>39.22</v>
      </c>
      <c r="M94" s="9" t="n">
        <v>97.33</v>
      </c>
      <c r="N94" s="9" t="n">
        <v>78.55</v>
      </c>
      <c r="O94" s="9" t="n">
        <v>39.91</v>
      </c>
      <c r="P94" s="2" t="n">
        <f aca="false">RANK(E94,$E$2:$E$350,0)</f>
        <v>72</v>
      </c>
      <c r="Q94" s="2" t="str">
        <f aca="false">IF(E94&gt;=30,"بسیار بالا",IF(E94&gt;=20,"بالا",IF(E94&gt;=13,"متوسط",IF(E94&gt;=8,"پایین","بسیار پایین"))))</f>
        <v>بالا</v>
      </c>
      <c r="R94" s="10" t="n">
        <v>316.2</v>
      </c>
      <c r="S94" s="11" t="n">
        <v>0</v>
      </c>
      <c r="T94" s="8" t="n">
        <v>91</v>
      </c>
      <c r="U94" s="2" t="s">
        <v>54</v>
      </c>
      <c r="V94" s="2" t="s">
        <v>169</v>
      </c>
      <c r="W94" s="2" t="n">
        <v>0.99</v>
      </c>
      <c r="X94" s="12" t="s">
        <v>46</v>
      </c>
    </row>
    <row r="95" customFormat="false" ht="16.4" hidden="false" customHeight="false" outlineLevel="0" collapsed="false">
      <c r="A95" s="2" t="n">
        <v>94</v>
      </c>
      <c r="B95" s="2" t="n">
        <v>5</v>
      </c>
      <c r="C95" s="2" t="s">
        <v>170</v>
      </c>
      <c r="D95" s="8" t="n">
        <v>51011</v>
      </c>
      <c r="E95" s="9" t="n">
        <v>25.49</v>
      </c>
      <c r="F95" s="9" t="n">
        <v>25.33</v>
      </c>
      <c r="G95" s="9" t="n">
        <v>25.62</v>
      </c>
      <c r="H95" s="9" t="n">
        <v>26</v>
      </c>
      <c r="I95" s="9" t="n">
        <f aca="false">E95-H95</f>
        <v>-0.510000000000002</v>
      </c>
      <c r="J95" s="8" t="n">
        <f aca="false">ROUND(D95*E95/100,0)</f>
        <v>13003</v>
      </c>
      <c r="K95" s="9" t="n">
        <v>41.28</v>
      </c>
      <c r="L95" s="9" t="n">
        <v>38.88</v>
      </c>
      <c r="M95" s="9" t="n">
        <v>97.29</v>
      </c>
      <c r="N95" s="9" t="n">
        <v>78.12</v>
      </c>
      <c r="O95" s="9" t="n">
        <v>39.53</v>
      </c>
      <c r="P95" s="2" t="n">
        <f aca="false">RANK(E95,$E$2:$E$350,0)</f>
        <v>73</v>
      </c>
      <c r="Q95" s="2" t="str">
        <f aca="false">IF(E95&gt;=30,"بسیار بالا",IF(E95&gt;=20,"بالا",IF(E95&gt;=13,"متوسط",IF(E95&gt;=8,"پایین","بسیار پایین"))))</f>
        <v>بالا</v>
      </c>
      <c r="R95" s="10" t="n">
        <v>318.2</v>
      </c>
      <c r="S95" s="11" t="n">
        <v>-0.012</v>
      </c>
      <c r="T95" s="8" t="n">
        <v>93</v>
      </c>
      <c r="U95" s="2" t="s">
        <v>45</v>
      </c>
      <c r="V95" s="2" t="s">
        <v>171</v>
      </c>
      <c r="W95" s="2" t="n">
        <v>0.99</v>
      </c>
      <c r="X95" s="12" t="s">
        <v>46</v>
      </c>
    </row>
    <row r="96" customFormat="false" ht="16.4" hidden="false" customHeight="false" outlineLevel="0" collapsed="false">
      <c r="A96" s="2" t="n">
        <v>95</v>
      </c>
      <c r="B96" s="2" t="n">
        <v>5</v>
      </c>
      <c r="C96" s="2" t="s">
        <v>172</v>
      </c>
      <c r="D96" s="8" t="n">
        <v>64263</v>
      </c>
      <c r="E96" s="9" t="n">
        <v>25.39</v>
      </c>
      <c r="F96" s="9" t="n">
        <v>25.22</v>
      </c>
      <c r="G96" s="9" t="n">
        <v>25.55</v>
      </c>
      <c r="H96" s="9" t="n">
        <v>26</v>
      </c>
      <c r="I96" s="9" t="n">
        <f aca="false">E96-H96</f>
        <v>-0.609999999999999</v>
      </c>
      <c r="J96" s="8" t="n">
        <f aca="false">ROUND(D96*E96/100,0)</f>
        <v>16316</v>
      </c>
      <c r="K96" s="9" t="n">
        <v>41.16</v>
      </c>
      <c r="L96" s="9" t="n">
        <v>38.78</v>
      </c>
      <c r="M96" s="9" t="n">
        <v>97.28</v>
      </c>
      <c r="N96" s="9" t="n">
        <v>78</v>
      </c>
      <c r="O96" s="9" t="n">
        <v>39.42</v>
      </c>
      <c r="P96" s="2" t="n">
        <f aca="false">RANK(E96,$E$2:$E$350,0)</f>
        <v>74</v>
      </c>
      <c r="Q96" s="2" t="str">
        <f aca="false">IF(E96&gt;=30,"بسیار بالا",IF(E96&gt;=20,"بالا",IF(E96&gt;=13,"متوسط",IF(E96&gt;=8,"پایین","بسیار پایین"))))</f>
        <v>بالا</v>
      </c>
      <c r="R96" s="10" t="n">
        <v>307.7</v>
      </c>
      <c r="S96" s="11" t="n">
        <v>-0.016</v>
      </c>
      <c r="T96" s="8" t="n">
        <v>88</v>
      </c>
      <c r="U96" s="2" t="s">
        <v>45</v>
      </c>
      <c r="V96" s="2" t="s">
        <v>172</v>
      </c>
      <c r="W96" s="2" t="n">
        <v>1</v>
      </c>
      <c r="X96" s="12" t="s">
        <v>46</v>
      </c>
    </row>
    <row r="97" customFormat="false" ht="16.4" hidden="false" customHeight="false" outlineLevel="0" collapsed="false">
      <c r="A97" s="2" t="n">
        <v>96</v>
      </c>
      <c r="B97" s="2" t="n">
        <v>5</v>
      </c>
      <c r="C97" s="2" t="s">
        <v>173</v>
      </c>
      <c r="D97" s="8" t="n">
        <v>26312</v>
      </c>
      <c r="E97" s="9" t="n">
        <v>24.8</v>
      </c>
      <c r="F97" s="9" t="n">
        <v>24.5</v>
      </c>
      <c r="G97" s="9" t="n">
        <v>25.08</v>
      </c>
      <c r="H97" s="9" t="n">
        <v>26</v>
      </c>
      <c r="I97" s="9" t="n">
        <f aca="false">E97-H97</f>
        <v>-1.2</v>
      </c>
      <c r="J97" s="8" t="n">
        <f aca="false">ROUND(D97*E97/100,0)</f>
        <v>6525</v>
      </c>
      <c r="K97" s="9" t="n">
        <v>40.4</v>
      </c>
      <c r="L97" s="9" t="n">
        <v>38.17</v>
      </c>
      <c r="M97" s="9" t="n">
        <v>97.22</v>
      </c>
      <c r="N97" s="9" t="n">
        <v>77.22</v>
      </c>
      <c r="O97" s="9" t="n">
        <v>38.74</v>
      </c>
      <c r="P97" s="2" t="n">
        <f aca="false">RANK(E97,$E$2:$E$350,0)</f>
        <v>76</v>
      </c>
      <c r="Q97" s="2" t="str">
        <f aca="false">IF(E97&gt;=30,"بسیار بالا",IF(E97&gt;=20,"بالا",IF(E97&gt;=13,"متوسط",IF(E97&gt;=8,"پایین","بسیار پایین"))))</f>
        <v>بالا</v>
      </c>
      <c r="R97" s="10" t="n">
        <v>306.5</v>
      </c>
      <c r="S97" s="11" t="n">
        <v>-0.038</v>
      </c>
      <c r="T97" s="8" t="n">
        <v>87</v>
      </c>
      <c r="U97" s="2" t="s">
        <v>54</v>
      </c>
      <c r="V97" s="2" t="s">
        <v>173</v>
      </c>
      <c r="W97" s="2" t="n">
        <v>0.99</v>
      </c>
      <c r="X97" s="12" t="s">
        <v>46</v>
      </c>
    </row>
    <row r="98" customFormat="false" ht="16.4" hidden="false" customHeight="false" outlineLevel="0" collapsed="false">
      <c r="A98" s="2" t="n">
        <v>97</v>
      </c>
      <c r="B98" s="2" t="n">
        <v>5</v>
      </c>
      <c r="C98" s="2" t="s">
        <v>174</v>
      </c>
      <c r="D98" s="8" t="n">
        <v>24536</v>
      </c>
      <c r="E98" s="9" t="n">
        <v>24.79</v>
      </c>
      <c r="F98" s="9" t="n">
        <v>24.5</v>
      </c>
      <c r="G98" s="9" t="n">
        <v>25.08</v>
      </c>
      <c r="H98" s="9" t="n">
        <v>26</v>
      </c>
      <c r="I98" s="9" t="n">
        <f aca="false">E98-H98</f>
        <v>-1.21</v>
      </c>
      <c r="J98" s="8" t="n">
        <f aca="false">ROUND(D98*E98/100,0)</f>
        <v>6082</v>
      </c>
      <c r="K98" s="9" t="n">
        <v>40.39</v>
      </c>
      <c r="L98" s="9" t="n">
        <v>38.16</v>
      </c>
      <c r="M98" s="9" t="n">
        <v>97.22</v>
      </c>
      <c r="N98" s="9" t="n">
        <v>77.21</v>
      </c>
      <c r="O98" s="9" t="n">
        <v>38.74</v>
      </c>
      <c r="P98" s="2" t="n">
        <f aca="false">RANK(E98,$E$2:$E$350,0)</f>
        <v>77</v>
      </c>
      <c r="Q98" s="2" t="str">
        <f aca="false">IF(E98&gt;=30,"بسیار بالا",IF(E98&gt;=20,"بالا",IF(E98&gt;=13,"متوسط",IF(E98&gt;=8,"پایین","بسیار پایین"))))</f>
        <v>بالا</v>
      </c>
      <c r="R98" s="10" t="n">
        <v>314</v>
      </c>
      <c r="S98" s="11" t="n">
        <v>-0.038</v>
      </c>
      <c r="T98" s="8" t="n">
        <v>90</v>
      </c>
      <c r="U98" s="2" t="s">
        <v>45</v>
      </c>
      <c r="V98" s="2" t="s">
        <v>174</v>
      </c>
      <c r="W98" s="2" t="n">
        <v>0.99</v>
      </c>
      <c r="X98" s="12" t="s">
        <v>46</v>
      </c>
    </row>
    <row r="99" customFormat="false" ht="16.4" hidden="false" customHeight="false" outlineLevel="0" collapsed="false">
      <c r="A99" s="2" t="n">
        <v>98</v>
      </c>
      <c r="B99" s="2" t="n">
        <v>5</v>
      </c>
      <c r="C99" s="2" t="s">
        <v>175</v>
      </c>
      <c r="D99" s="8" t="n">
        <v>32889</v>
      </c>
      <c r="E99" s="9" t="n">
        <v>24.78</v>
      </c>
      <c r="F99" s="9" t="n">
        <v>24.48</v>
      </c>
      <c r="G99" s="9" t="n">
        <v>25.06</v>
      </c>
      <c r="H99" s="9" t="n">
        <v>26</v>
      </c>
      <c r="I99" s="9" t="n">
        <f aca="false">E99-H99</f>
        <v>-1.22</v>
      </c>
      <c r="J99" s="8" t="n">
        <f aca="false">ROUND(D99*E99/100,0)</f>
        <v>8150</v>
      </c>
      <c r="K99" s="9" t="n">
        <v>40.37</v>
      </c>
      <c r="L99" s="9" t="n">
        <v>38.15</v>
      </c>
      <c r="M99" s="9" t="n">
        <v>97.22</v>
      </c>
      <c r="N99" s="9" t="n">
        <v>77.19</v>
      </c>
      <c r="O99" s="9" t="n">
        <v>38.72</v>
      </c>
      <c r="P99" s="2" t="n">
        <f aca="false">RANK(E99,$E$2:$E$350,0)</f>
        <v>78</v>
      </c>
      <c r="Q99" s="2" t="str">
        <f aca="false">IF(E99&gt;=30,"بسیار بالا",IF(E99&gt;=20,"بالا",IF(E99&gt;=13,"متوسط",IF(E99&gt;=8,"پایین","بسیار پایین"))))</f>
        <v>بالا</v>
      </c>
      <c r="R99" s="10" t="n">
        <v>304.3</v>
      </c>
      <c r="S99" s="11" t="n">
        <v>-0.039</v>
      </c>
      <c r="T99" s="8" t="n">
        <v>92</v>
      </c>
      <c r="U99" s="2" t="s">
        <v>45</v>
      </c>
      <c r="V99" s="2" t="s">
        <v>175</v>
      </c>
      <c r="W99" s="2" t="n">
        <v>0.99</v>
      </c>
      <c r="X99" s="12" t="s">
        <v>46</v>
      </c>
    </row>
    <row r="100" customFormat="false" ht="16.4" hidden="false" customHeight="false" outlineLevel="0" collapsed="false">
      <c r="A100" s="2" t="n">
        <v>99</v>
      </c>
      <c r="B100" s="2" t="n">
        <v>5</v>
      </c>
      <c r="C100" s="2" t="s">
        <v>176</v>
      </c>
      <c r="D100" s="8" t="n">
        <v>30557</v>
      </c>
      <c r="E100" s="9" t="n">
        <v>23.7</v>
      </c>
      <c r="F100" s="9" t="n">
        <v>23.19</v>
      </c>
      <c r="G100" s="9" t="n">
        <v>24.2</v>
      </c>
      <c r="H100" s="9" t="n">
        <v>26</v>
      </c>
      <c r="I100" s="9" t="n">
        <f aca="false">E100-H100</f>
        <v>-2.3</v>
      </c>
      <c r="J100" s="8" t="n">
        <f aca="false">ROUND(D100*E100/100,0)</f>
        <v>7242</v>
      </c>
      <c r="K100" s="9" t="n">
        <v>38.97</v>
      </c>
      <c r="L100" s="9" t="n">
        <v>37.01</v>
      </c>
      <c r="M100" s="9" t="n">
        <v>97.1</v>
      </c>
      <c r="N100" s="9" t="n">
        <v>75.68</v>
      </c>
      <c r="O100" s="9" t="n">
        <v>37.46</v>
      </c>
      <c r="P100" s="2" t="n">
        <f aca="false">RANK(E100,$E$2:$E$350,0)</f>
        <v>88</v>
      </c>
      <c r="Q100" s="2" t="str">
        <f aca="false">IF(E100&gt;=30,"بسیار بالا",IF(E100&gt;=20,"بالا",IF(E100&gt;=13,"متوسط",IF(E100&gt;=8,"پایین","بسیار پایین"))))</f>
        <v>بالا</v>
      </c>
      <c r="R100" s="10" t="n">
        <v>291</v>
      </c>
      <c r="S100" s="11" t="n">
        <v>-0.08</v>
      </c>
      <c r="T100" s="8" t="n">
        <v>90</v>
      </c>
      <c r="U100" s="2" t="s">
        <v>45</v>
      </c>
      <c r="V100" s="2" t="s">
        <v>176</v>
      </c>
      <c r="W100" s="2" t="n">
        <v>0.99</v>
      </c>
      <c r="X100" s="12" t="s">
        <v>46</v>
      </c>
    </row>
    <row r="101" customFormat="false" ht="16.4" hidden="false" customHeight="false" outlineLevel="0" collapsed="false">
      <c r="A101" s="2" t="n">
        <v>100</v>
      </c>
      <c r="B101" s="2" t="n">
        <v>5</v>
      </c>
      <c r="C101" s="2" t="s">
        <v>177</v>
      </c>
      <c r="D101" s="8" t="n">
        <v>26232</v>
      </c>
      <c r="E101" s="9" t="n">
        <v>23.31</v>
      </c>
      <c r="F101" s="9" t="n">
        <v>22.73</v>
      </c>
      <c r="G101" s="9" t="n">
        <v>23.9</v>
      </c>
      <c r="H101" s="9" t="n">
        <v>26</v>
      </c>
      <c r="I101" s="9" t="n">
        <f aca="false">E101-H101</f>
        <v>-2.69</v>
      </c>
      <c r="J101" s="8" t="n">
        <f aca="false">ROUND(D101*E101/100,0)</f>
        <v>6115</v>
      </c>
      <c r="K101" s="9" t="n">
        <v>38.46</v>
      </c>
      <c r="L101" s="9" t="n">
        <v>36.6</v>
      </c>
      <c r="M101" s="9" t="n">
        <v>97.05</v>
      </c>
      <c r="N101" s="9" t="n">
        <v>75.11</v>
      </c>
      <c r="O101" s="9" t="n">
        <v>37.01</v>
      </c>
      <c r="P101" s="2" t="n">
        <f aca="false">RANK(E101,$E$2:$E$350,0)</f>
        <v>90</v>
      </c>
      <c r="Q101" s="2" t="str">
        <f aca="false">IF(E101&gt;=30,"بسیار بالا",IF(E101&gt;=20,"بالا",IF(E101&gt;=13,"متوسط",IF(E101&gt;=8,"پایین","بسیار پایین"))))</f>
        <v>بالا</v>
      </c>
      <c r="R101" s="10" t="n">
        <v>275.3</v>
      </c>
      <c r="S101" s="11" t="n">
        <v>-0.095</v>
      </c>
      <c r="T101" s="8" t="n">
        <v>90</v>
      </c>
      <c r="U101" s="2" t="s">
        <v>45</v>
      </c>
      <c r="V101" s="2" t="s">
        <v>177</v>
      </c>
      <c r="W101" s="2" t="n">
        <v>0.99</v>
      </c>
      <c r="X101" s="12" t="s">
        <v>46</v>
      </c>
    </row>
    <row r="102" customFormat="false" ht="16.4" hidden="false" customHeight="false" outlineLevel="0" collapsed="false">
      <c r="A102" s="2" t="n">
        <v>101</v>
      </c>
      <c r="B102" s="2" t="n">
        <v>5</v>
      </c>
      <c r="C102" s="2" t="s">
        <v>178</v>
      </c>
      <c r="D102" s="8" t="n">
        <v>43465</v>
      </c>
      <c r="E102" s="9" t="n">
        <v>22.97</v>
      </c>
      <c r="F102" s="9" t="n">
        <v>22.32</v>
      </c>
      <c r="G102" s="9" t="n">
        <v>23.62</v>
      </c>
      <c r="H102" s="9" t="n">
        <v>26</v>
      </c>
      <c r="I102" s="9" t="n">
        <f aca="false">E102-H102</f>
        <v>-3.03</v>
      </c>
      <c r="J102" s="8" t="n">
        <f aca="false">ROUND(D102*E102/100,0)</f>
        <v>9984</v>
      </c>
      <c r="K102" s="9" t="n">
        <v>38</v>
      </c>
      <c r="L102" s="9" t="n">
        <v>36.24</v>
      </c>
      <c r="M102" s="9" t="n">
        <v>97.01</v>
      </c>
      <c r="N102" s="9" t="n">
        <v>74.6</v>
      </c>
      <c r="O102" s="9" t="n">
        <v>36.6</v>
      </c>
      <c r="P102" s="2" t="n">
        <f aca="false">RANK(E102,$E$2:$E$350,0)</f>
        <v>93</v>
      </c>
      <c r="Q102" s="2" t="str">
        <f aca="false">IF(E102&gt;=30,"بسیار بالا",IF(E102&gt;=20,"بالا",IF(E102&gt;=13,"متوسط",IF(E102&gt;=8,"پایین","بسیار پایین"))))</f>
        <v>بالا</v>
      </c>
      <c r="R102" s="10" t="n">
        <v>271.1</v>
      </c>
      <c r="S102" s="11" t="n">
        <v>-0.109</v>
      </c>
      <c r="T102" s="8" t="n">
        <v>91</v>
      </c>
      <c r="U102" s="2" t="s">
        <v>45</v>
      </c>
      <c r="V102" s="2" t="s">
        <v>178</v>
      </c>
      <c r="W102" s="2" t="n">
        <v>0.99</v>
      </c>
      <c r="X102" s="12" t="s">
        <v>46</v>
      </c>
    </row>
    <row r="103" customFormat="false" ht="16.4" hidden="false" customHeight="false" outlineLevel="0" collapsed="false">
      <c r="A103" s="2" t="n">
        <v>102</v>
      </c>
      <c r="B103" s="2" t="n">
        <v>5</v>
      </c>
      <c r="C103" s="2" t="s">
        <v>179</v>
      </c>
      <c r="D103" s="8" t="n">
        <v>18037</v>
      </c>
      <c r="E103" s="9" t="n">
        <v>22.07</v>
      </c>
      <c r="F103" s="9" t="n">
        <v>21.26</v>
      </c>
      <c r="G103" s="9" t="n">
        <v>22.9</v>
      </c>
      <c r="H103" s="9" t="n">
        <v>26</v>
      </c>
      <c r="I103" s="9" t="n">
        <f aca="false">E103-H103</f>
        <v>-3.93</v>
      </c>
      <c r="J103" s="8" t="n">
        <f aca="false">ROUND(D103*E103/100,0)</f>
        <v>3981</v>
      </c>
      <c r="K103" s="9" t="n">
        <v>36.8</v>
      </c>
      <c r="L103" s="9" t="n">
        <v>35.27</v>
      </c>
      <c r="M103" s="9" t="n">
        <v>96.9</v>
      </c>
      <c r="N103" s="9" t="n">
        <v>73.18</v>
      </c>
      <c r="O103" s="9" t="n">
        <v>35.53</v>
      </c>
      <c r="P103" s="2" t="n">
        <f aca="false">RANK(E103,$E$2:$E$350,0)</f>
        <v>99</v>
      </c>
      <c r="Q103" s="2" t="str">
        <f aca="false">IF(E103&gt;=30,"بسیار بالا",IF(E103&gt;=20,"بالا",IF(E103&gt;=13,"متوسط",IF(E103&gt;=8,"پایین","بسیار پایین"))))</f>
        <v>بالا</v>
      </c>
      <c r="R103" s="10" t="n">
        <v>256</v>
      </c>
      <c r="S103" s="11" t="n">
        <v>-0.145</v>
      </c>
      <c r="T103" s="8" t="n">
        <v>2</v>
      </c>
      <c r="U103" s="2" t="s">
        <v>45</v>
      </c>
      <c r="V103" s="2" t="s">
        <v>180</v>
      </c>
      <c r="W103" s="2" t="n">
        <v>0.71</v>
      </c>
      <c r="X103" s="12" t="s">
        <v>112</v>
      </c>
    </row>
    <row r="104" customFormat="false" ht="16.4" hidden="false" customHeight="false" outlineLevel="0" collapsed="false">
      <c r="A104" s="2" t="n">
        <v>103</v>
      </c>
      <c r="B104" s="2" t="n">
        <v>5</v>
      </c>
      <c r="C104" s="2" t="s">
        <v>181</v>
      </c>
      <c r="D104" s="8" t="n">
        <v>15899</v>
      </c>
      <c r="E104" s="9" t="n">
        <v>21.19</v>
      </c>
      <c r="F104" s="9" t="n">
        <v>20.22</v>
      </c>
      <c r="G104" s="9" t="n">
        <v>22.19</v>
      </c>
      <c r="H104" s="9" t="n">
        <v>26</v>
      </c>
      <c r="I104" s="9" t="n">
        <f aca="false">E104-H104</f>
        <v>-4.81</v>
      </c>
      <c r="J104" s="8" t="n">
        <f aca="false">ROUND(D104*E104/100,0)</f>
        <v>3369</v>
      </c>
      <c r="K104" s="9" t="n">
        <v>35.6</v>
      </c>
      <c r="L104" s="9" t="n">
        <v>34.3</v>
      </c>
      <c r="M104" s="9" t="n">
        <v>96.78</v>
      </c>
      <c r="N104" s="9" t="n">
        <v>71.7</v>
      </c>
      <c r="O104" s="9" t="n">
        <v>34.46</v>
      </c>
      <c r="P104" s="2" t="n">
        <f aca="false">RANK(E104,$E$2:$E$350,0)</f>
        <v>106</v>
      </c>
      <c r="Q104" s="2" t="str">
        <f aca="false">IF(E104&gt;=30,"بسیار بالا",IF(E104&gt;=20,"بالا",IF(E104&gt;=13,"متوسط",IF(E104&gt;=8,"پایین","بسیار پایین"))))</f>
        <v>بالا</v>
      </c>
      <c r="R104" s="10" t="n">
        <v>266.5</v>
      </c>
      <c r="S104" s="11" t="n">
        <v>-0.181</v>
      </c>
      <c r="T104" s="8" t="n">
        <v>86</v>
      </c>
      <c r="U104" s="2" t="s">
        <v>45</v>
      </c>
      <c r="V104" s="2" t="s">
        <v>182</v>
      </c>
      <c r="W104" s="2" t="n">
        <v>0.99</v>
      </c>
      <c r="X104" s="12" t="s">
        <v>46</v>
      </c>
    </row>
    <row r="105" customFormat="false" ht="16.4" hidden="false" customHeight="false" outlineLevel="0" collapsed="false">
      <c r="A105" s="2" t="n">
        <v>104</v>
      </c>
      <c r="B105" s="2" t="n">
        <v>5</v>
      </c>
      <c r="C105" s="2" t="s">
        <v>183</v>
      </c>
      <c r="D105" s="8" t="n">
        <v>11201</v>
      </c>
      <c r="E105" s="9" t="n">
        <v>20.7</v>
      </c>
      <c r="F105" s="9" t="n">
        <v>19.65</v>
      </c>
      <c r="G105" s="9" t="n">
        <v>21.79</v>
      </c>
      <c r="H105" s="9" t="n">
        <v>26</v>
      </c>
      <c r="I105" s="9" t="n">
        <f aca="false">E105-H105</f>
        <v>-5.3</v>
      </c>
      <c r="J105" s="8" t="n">
        <f aca="false">ROUND(D105*E105/100,0)</f>
        <v>2319</v>
      </c>
      <c r="K105" s="9" t="n">
        <v>34.93</v>
      </c>
      <c r="L105" s="9" t="n">
        <v>33.75</v>
      </c>
      <c r="M105" s="9" t="n">
        <v>96.71</v>
      </c>
      <c r="N105" s="9" t="n">
        <v>70.83</v>
      </c>
      <c r="O105" s="9" t="n">
        <v>33.85</v>
      </c>
      <c r="P105" s="2" t="n">
        <f aca="false">RANK(E105,$E$2:$E$350,0)</f>
        <v>108</v>
      </c>
      <c r="Q105" s="2" t="str">
        <f aca="false">IF(E105&gt;=30,"بسیار بالا",IF(E105&gt;=20,"بالا",IF(E105&gt;=13,"متوسط",IF(E105&gt;=8,"پایین","بسیار پایین"))))</f>
        <v>بالا</v>
      </c>
      <c r="R105" s="10" t="n">
        <v>251.9</v>
      </c>
      <c r="S105" s="11" t="n">
        <v>-0.202</v>
      </c>
      <c r="T105" s="8" t="n">
        <v>88</v>
      </c>
      <c r="U105" s="2" t="s">
        <v>45</v>
      </c>
      <c r="V105" s="2" t="s">
        <v>183</v>
      </c>
      <c r="W105" s="2" t="n">
        <v>0.99</v>
      </c>
      <c r="X105" s="12" t="s">
        <v>46</v>
      </c>
    </row>
    <row r="106" customFormat="false" ht="16.4" hidden="false" customHeight="false" outlineLevel="0" collapsed="false">
      <c r="A106" s="2" t="n">
        <v>105</v>
      </c>
      <c r="B106" s="2" t="n">
        <v>5</v>
      </c>
      <c r="C106" s="2" t="s">
        <v>184</v>
      </c>
      <c r="D106" s="8" t="n">
        <v>3333</v>
      </c>
      <c r="E106" s="9" t="n">
        <v>20.61</v>
      </c>
      <c r="F106" s="9" t="n">
        <v>19.54</v>
      </c>
      <c r="G106" s="9" t="n">
        <v>21.71</v>
      </c>
      <c r="H106" s="9" t="n">
        <v>26</v>
      </c>
      <c r="I106" s="9" t="n">
        <f aca="false">E106-H106</f>
        <v>-5.39</v>
      </c>
      <c r="J106" s="8" t="n">
        <f aca="false">ROUND(D106*E106/100,0)</f>
        <v>687</v>
      </c>
      <c r="K106" s="9" t="n">
        <v>34.8</v>
      </c>
      <c r="L106" s="9" t="n">
        <v>33.65</v>
      </c>
      <c r="M106" s="9" t="n">
        <v>96.7</v>
      </c>
      <c r="N106" s="9" t="n">
        <v>70.67</v>
      </c>
      <c r="O106" s="9" t="n">
        <v>33.74</v>
      </c>
      <c r="P106" s="2" t="n">
        <f aca="false">RANK(E106,$E$2:$E$350,0)</f>
        <v>110</v>
      </c>
      <c r="Q106" s="2" t="str">
        <f aca="false">IF(E106&gt;=30,"بسیار بالا",IF(E106&gt;=20,"بالا",IF(E106&gt;=13,"متوسط",IF(E106&gt;=8,"پایین","بسیار پایین"))))</f>
        <v>بالا</v>
      </c>
      <c r="R106" s="10" t="n">
        <v>234.9</v>
      </c>
      <c r="S106" s="11" t="n">
        <v>-0.206</v>
      </c>
      <c r="T106" s="8" t="n">
        <v>23</v>
      </c>
      <c r="U106" s="2" t="s">
        <v>45</v>
      </c>
      <c r="V106" s="2" t="s">
        <v>185</v>
      </c>
      <c r="W106" s="2" t="n">
        <v>0.95</v>
      </c>
      <c r="X106" s="12" t="s">
        <v>50</v>
      </c>
    </row>
    <row r="107" customFormat="false" ht="16.4" hidden="false" customHeight="false" outlineLevel="0" collapsed="false">
      <c r="A107" s="2" t="n">
        <v>106</v>
      </c>
      <c r="B107" s="2" t="n">
        <v>5</v>
      </c>
      <c r="C107" s="2" t="s">
        <v>186</v>
      </c>
      <c r="D107" s="8" t="n">
        <v>23743</v>
      </c>
      <c r="E107" s="9" t="n">
        <v>18.72</v>
      </c>
      <c r="F107" s="9" t="n">
        <v>17.36</v>
      </c>
      <c r="G107" s="9" t="n">
        <v>20.15</v>
      </c>
      <c r="H107" s="9" t="n">
        <v>26</v>
      </c>
      <c r="I107" s="9" t="n">
        <f aca="false">E107-H107</f>
        <v>-7.28</v>
      </c>
      <c r="J107" s="8" t="n">
        <f aca="false">ROUND(D107*E107/100,0)</f>
        <v>4445</v>
      </c>
      <c r="K107" s="9" t="n">
        <v>32.14</v>
      </c>
      <c r="L107" s="9" t="n">
        <v>31.49</v>
      </c>
      <c r="M107" s="9" t="n">
        <v>96.41</v>
      </c>
      <c r="N107" s="9" t="n">
        <v>67.01</v>
      </c>
      <c r="O107" s="9" t="n">
        <v>31.36</v>
      </c>
      <c r="P107" s="2" t="n">
        <f aca="false">RANK(E107,$E$2:$E$350,0)</f>
        <v>132</v>
      </c>
      <c r="Q107" s="2" t="str">
        <f aca="false">IF(E107&gt;=30,"بسیار بالا",IF(E107&gt;=20,"بالا",IF(E107&gt;=13,"متوسط",IF(E107&gt;=8,"پایین","بسیار پایین"))))</f>
        <v>متوسط</v>
      </c>
      <c r="R107" s="10" t="n">
        <v>247.2</v>
      </c>
      <c r="S107" s="11" t="n">
        <v>-0.29</v>
      </c>
      <c r="T107" s="8" t="n">
        <v>91</v>
      </c>
      <c r="U107" s="2" t="s">
        <v>45</v>
      </c>
      <c r="V107" s="2" t="s">
        <v>187</v>
      </c>
      <c r="W107" s="2" t="n">
        <v>0.98</v>
      </c>
      <c r="X107" s="12" t="s">
        <v>46</v>
      </c>
    </row>
    <row r="108" customFormat="false" ht="16.4" hidden="false" customHeight="false" outlineLevel="0" collapsed="false">
      <c r="A108" s="2" t="n">
        <v>107</v>
      </c>
      <c r="B108" s="2" t="n">
        <v>5</v>
      </c>
      <c r="C108" s="2" t="s">
        <v>188</v>
      </c>
      <c r="D108" s="8" t="n">
        <v>4427</v>
      </c>
      <c r="E108" s="9" t="n">
        <v>16.67</v>
      </c>
      <c r="F108" s="9" t="n">
        <v>15.03</v>
      </c>
      <c r="G108" s="9" t="n">
        <v>18.42</v>
      </c>
      <c r="H108" s="9" t="n">
        <v>26</v>
      </c>
      <c r="I108" s="9" t="n">
        <f aca="false">E108-H108</f>
        <v>-9.33</v>
      </c>
      <c r="J108" s="8" t="n">
        <f aca="false">ROUND(D108*E108/100,0)</f>
        <v>738</v>
      </c>
      <c r="K108" s="9" t="n">
        <v>29.14</v>
      </c>
      <c r="L108" s="9" t="n">
        <v>29.04</v>
      </c>
      <c r="M108" s="9" t="n">
        <v>96.02</v>
      </c>
      <c r="N108" s="9" t="n">
        <v>62.4</v>
      </c>
      <c r="O108" s="9" t="n">
        <v>28.67</v>
      </c>
      <c r="P108" s="2" t="n">
        <f aca="false">RANK(E108,$E$2:$E$350,0)</f>
        <v>158</v>
      </c>
      <c r="Q108" s="2" t="str">
        <f aca="false">IF(E108&gt;=30,"بسیار بالا",IF(E108&gt;=20,"بالا",IF(E108&gt;=13,"متوسط",IF(E108&gt;=8,"پایین","بسیار پایین"))))</f>
        <v>متوسط</v>
      </c>
      <c r="R108" s="10" t="n">
        <v>244.6</v>
      </c>
      <c r="S108" s="11" t="n">
        <v>-0.389</v>
      </c>
      <c r="T108" s="8" t="n">
        <v>83</v>
      </c>
      <c r="U108" s="2" t="s">
        <v>45</v>
      </c>
      <c r="V108" s="2" t="s">
        <v>189</v>
      </c>
      <c r="W108" s="2" t="n">
        <v>0.96</v>
      </c>
      <c r="X108" s="12" t="s">
        <v>46</v>
      </c>
    </row>
    <row r="109" customFormat="false" ht="16.4" hidden="false" customHeight="false" outlineLevel="0" collapsed="false">
      <c r="A109" s="2" t="n">
        <v>108</v>
      </c>
      <c r="B109" s="2" t="n">
        <v>5</v>
      </c>
      <c r="C109" s="2" t="s">
        <v>190</v>
      </c>
      <c r="D109" s="8" t="n">
        <v>18116</v>
      </c>
      <c r="E109" s="9" t="n">
        <v>16.4</v>
      </c>
      <c r="F109" s="9" t="n">
        <v>14.74</v>
      </c>
      <c r="G109" s="9" t="n">
        <v>18.2</v>
      </c>
      <c r="H109" s="9" t="n">
        <v>26</v>
      </c>
      <c r="I109" s="9" t="n">
        <f aca="false">E109-H109</f>
        <v>-9.6</v>
      </c>
      <c r="J109" s="8" t="n">
        <f aca="false">ROUND(D109*E109/100,0)</f>
        <v>2971</v>
      </c>
      <c r="K109" s="9" t="n">
        <v>28.75</v>
      </c>
      <c r="L109" s="9" t="n">
        <v>28.71</v>
      </c>
      <c r="M109" s="9" t="n">
        <v>95.97</v>
      </c>
      <c r="N109" s="9" t="n">
        <v>61.76</v>
      </c>
      <c r="O109" s="9" t="n">
        <v>28.32</v>
      </c>
      <c r="P109" s="2" t="n">
        <f aca="false">RANK(E109,$E$2:$E$350,0)</f>
        <v>160</v>
      </c>
      <c r="Q109" s="2" t="str">
        <f aca="false">IF(E109&gt;=30,"بسیار بالا",IF(E109&gt;=20,"بالا",IF(E109&gt;=13,"متوسط",IF(E109&gt;=8,"پایین","بسیار پایین"))))</f>
        <v>متوسط</v>
      </c>
      <c r="R109" s="10" t="n">
        <v>214.8</v>
      </c>
      <c r="S109" s="11" t="n">
        <v>-0.402</v>
      </c>
      <c r="T109" s="8" t="n">
        <v>70</v>
      </c>
      <c r="U109" s="2" t="s">
        <v>45</v>
      </c>
      <c r="V109" s="2" t="s">
        <v>190</v>
      </c>
      <c r="W109" s="2" t="n">
        <v>0.98</v>
      </c>
      <c r="X109" s="12" t="s">
        <v>46</v>
      </c>
    </row>
    <row r="110" customFormat="false" ht="16.4" hidden="false" customHeight="false" outlineLevel="0" collapsed="false">
      <c r="A110" s="2" t="n">
        <v>109</v>
      </c>
      <c r="B110" s="2" t="n">
        <v>5</v>
      </c>
      <c r="C110" s="2" t="s">
        <v>191</v>
      </c>
      <c r="D110" s="8" t="n">
        <v>6545</v>
      </c>
      <c r="E110" s="9" t="n">
        <v>14.04</v>
      </c>
      <c r="F110" s="9" t="n">
        <v>12.16</v>
      </c>
      <c r="G110" s="9" t="n">
        <v>16.15</v>
      </c>
      <c r="H110" s="9" t="n">
        <v>26</v>
      </c>
      <c r="I110" s="9" t="n">
        <f aca="false">E110-H110</f>
        <v>-11.96</v>
      </c>
      <c r="J110" s="8" t="n">
        <f aca="false">ROUND(D110*E110/100,0)</f>
        <v>919</v>
      </c>
      <c r="K110" s="9" t="n">
        <v>25.15</v>
      </c>
      <c r="L110" s="9" t="n">
        <v>25.73</v>
      </c>
      <c r="M110" s="9" t="n">
        <v>95.41</v>
      </c>
      <c r="N110" s="9" t="n">
        <v>55.43</v>
      </c>
      <c r="O110" s="9" t="n">
        <v>25.08</v>
      </c>
      <c r="P110" s="2" t="n">
        <f aca="false">RANK(E110,$E$2:$E$350,0)</f>
        <v>200</v>
      </c>
      <c r="Q110" s="2" t="str">
        <f aca="false">IF(E110&gt;=30,"بسیار بالا",IF(E110&gt;=20,"بالا",IF(E110&gt;=13,"متوسط",IF(E110&gt;=8,"پایین","بسیار پایین"))))</f>
        <v>متوسط</v>
      </c>
      <c r="R110" s="10" t="n">
        <v>165.1</v>
      </c>
      <c r="S110" s="11" t="n">
        <v>-0.531</v>
      </c>
      <c r="T110" s="8" t="n">
        <v>12</v>
      </c>
      <c r="U110" s="2" t="s">
        <v>45</v>
      </c>
      <c r="V110" s="2" t="s">
        <v>191</v>
      </c>
      <c r="W110" s="2" t="n">
        <v>0.84</v>
      </c>
      <c r="X110" s="12" t="s">
        <v>50</v>
      </c>
    </row>
    <row r="111" customFormat="false" ht="16.4" hidden="false" customHeight="false" outlineLevel="0" collapsed="false">
      <c r="A111" s="2" t="n">
        <v>110</v>
      </c>
      <c r="B111" s="2" t="n">
        <v>6</v>
      </c>
      <c r="C111" s="2" t="s">
        <v>192</v>
      </c>
      <c r="D111" s="8" t="n">
        <v>40985</v>
      </c>
      <c r="E111" s="9" t="n">
        <v>37.28</v>
      </c>
      <c r="F111" s="9" t="n">
        <v>35.65</v>
      </c>
      <c r="G111" s="9" t="n">
        <v>38.87</v>
      </c>
      <c r="H111" s="9" t="n">
        <v>29.5</v>
      </c>
      <c r="I111" s="9" t="n">
        <f aca="false">E111-H111</f>
        <v>7.78</v>
      </c>
      <c r="J111" s="8" t="n">
        <f aca="false">ROUND(D111*E111/100,0)</f>
        <v>15279</v>
      </c>
      <c r="K111" s="9" t="n">
        <v>61.23</v>
      </c>
      <c r="L111" s="9" t="n">
        <v>54.85</v>
      </c>
      <c r="M111" s="9" t="n">
        <v>97.94</v>
      </c>
      <c r="N111" s="9" t="n">
        <v>94.09</v>
      </c>
      <c r="O111" s="9" t="n">
        <v>57.72</v>
      </c>
      <c r="P111" s="2" t="n">
        <f aca="false">RANK(E111,$E$2:$E$350,0)</f>
        <v>15</v>
      </c>
      <c r="Q111" s="2" t="str">
        <f aca="false">IF(E111&gt;=30,"بسیار بالا",IF(E111&gt;=20,"بالا",IF(E111&gt;=13,"متوسط",IF(E111&gt;=8,"پایین","بسیار پایین"))))</f>
        <v>بسیار بالا</v>
      </c>
      <c r="R111" s="10" t="n">
        <v>450</v>
      </c>
      <c r="S111" s="11" t="n">
        <v>0.265</v>
      </c>
      <c r="T111" s="8" t="n">
        <v>90</v>
      </c>
      <c r="U111" s="2" t="s">
        <v>45</v>
      </c>
      <c r="V111" s="2" t="s">
        <v>193</v>
      </c>
      <c r="W111" s="2" t="n">
        <v>0.99</v>
      </c>
      <c r="X111" s="12" t="s">
        <v>46</v>
      </c>
    </row>
    <row r="112" customFormat="false" ht="16.4" hidden="false" customHeight="false" outlineLevel="0" collapsed="false">
      <c r="A112" s="2" t="n">
        <v>111</v>
      </c>
      <c r="B112" s="2" t="n">
        <v>6</v>
      </c>
      <c r="C112" s="2" t="s">
        <v>194</v>
      </c>
      <c r="D112" s="8" t="n">
        <v>9779</v>
      </c>
      <c r="E112" s="9" t="n">
        <v>37.19</v>
      </c>
      <c r="F112" s="9" t="n">
        <v>35.59</v>
      </c>
      <c r="G112" s="9" t="n">
        <v>38.77</v>
      </c>
      <c r="H112" s="9" t="n">
        <v>29.5</v>
      </c>
      <c r="I112" s="9" t="n">
        <f aca="false">E112-H112</f>
        <v>7.69</v>
      </c>
      <c r="J112" s="8" t="n">
        <f aca="false">ROUND(D112*E112/100,0)</f>
        <v>3637</v>
      </c>
      <c r="K112" s="9" t="n">
        <v>61.15</v>
      </c>
      <c r="L112" s="9" t="n">
        <v>54.78</v>
      </c>
      <c r="M112" s="9" t="n">
        <v>97.93</v>
      </c>
      <c r="N112" s="9" t="n">
        <v>94.06</v>
      </c>
      <c r="O112" s="9" t="n">
        <v>57.64</v>
      </c>
      <c r="P112" s="2" t="n">
        <f aca="false">RANK(E112,$E$2:$E$350,0)</f>
        <v>16</v>
      </c>
      <c r="Q112" s="2" t="str">
        <f aca="false">IF(E112&gt;=30,"بسیار بالا",IF(E112&gt;=20,"بالا",IF(E112&gt;=13,"متوسط",IF(E112&gt;=8,"پایین","بسیار پایین"))))</f>
        <v>بسیار بالا</v>
      </c>
      <c r="R112" s="10" t="n">
        <v>453.1</v>
      </c>
      <c r="S112" s="11" t="n">
        <v>0.262</v>
      </c>
      <c r="T112" s="8" t="n">
        <v>90</v>
      </c>
      <c r="U112" s="2" t="s">
        <v>45</v>
      </c>
      <c r="V112" s="2" t="s">
        <v>195</v>
      </c>
      <c r="W112" s="2" t="n">
        <v>0.99</v>
      </c>
      <c r="X112" s="12" t="s">
        <v>46</v>
      </c>
    </row>
    <row r="113" customFormat="false" ht="16.4" hidden="false" customHeight="false" outlineLevel="0" collapsed="false">
      <c r="A113" s="2" t="n">
        <v>112</v>
      </c>
      <c r="B113" s="2" t="n">
        <v>6</v>
      </c>
      <c r="C113" s="2" t="s">
        <v>196</v>
      </c>
      <c r="D113" s="8" t="n">
        <v>31012</v>
      </c>
      <c r="E113" s="9" t="n">
        <v>35.66</v>
      </c>
      <c r="F113" s="9" t="n">
        <v>34.4</v>
      </c>
      <c r="G113" s="9" t="n">
        <v>36.87</v>
      </c>
      <c r="H113" s="9" t="n">
        <v>29.5</v>
      </c>
      <c r="I113" s="9" t="n">
        <f aca="false">E113-H113</f>
        <v>6.16</v>
      </c>
      <c r="J113" s="8" t="n">
        <f aca="false">ROUND(D113*E113/100,0)</f>
        <v>11059</v>
      </c>
      <c r="K113" s="9" t="n">
        <v>59.56</v>
      </c>
      <c r="L113" s="9" t="n">
        <v>53.42</v>
      </c>
      <c r="M113" s="9" t="n">
        <v>97.83</v>
      </c>
      <c r="N113" s="9" t="n">
        <v>93.51</v>
      </c>
      <c r="O113" s="9" t="n">
        <v>56.17</v>
      </c>
      <c r="P113" s="2" t="n">
        <f aca="false">RANK(E113,$E$2:$E$350,0)</f>
        <v>21</v>
      </c>
      <c r="Q113" s="2" t="str">
        <f aca="false">IF(E113&gt;=30,"بسیار بالا",IF(E113&gt;=20,"بالا",IF(E113&gt;=13,"متوسط",IF(E113&gt;=8,"پایین","بسیار پایین"))))</f>
        <v>بسیار بالا</v>
      </c>
      <c r="R113" s="10" t="n">
        <v>434.7</v>
      </c>
      <c r="S113" s="11" t="n">
        <v>0.216</v>
      </c>
      <c r="T113" s="8" t="n">
        <v>94</v>
      </c>
      <c r="U113" s="2" t="s">
        <v>45</v>
      </c>
      <c r="V113" s="2" t="s">
        <v>196</v>
      </c>
      <c r="W113" s="2" t="n">
        <v>0.99</v>
      </c>
      <c r="X113" s="12" t="s">
        <v>46</v>
      </c>
    </row>
    <row r="114" customFormat="false" ht="16.4" hidden="false" customHeight="false" outlineLevel="0" collapsed="false">
      <c r="A114" s="2" t="n">
        <v>113</v>
      </c>
      <c r="B114" s="2" t="n">
        <v>6</v>
      </c>
      <c r="C114" s="2" t="s">
        <v>197</v>
      </c>
      <c r="D114" s="8" t="n">
        <v>10218</v>
      </c>
      <c r="E114" s="9" t="n">
        <v>34.07</v>
      </c>
      <c r="F114" s="9" t="n">
        <v>33.17</v>
      </c>
      <c r="G114" s="9" t="n">
        <v>34.93</v>
      </c>
      <c r="H114" s="9" t="n">
        <v>29.5</v>
      </c>
      <c r="I114" s="9" t="n">
        <f aca="false">E114-H114</f>
        <v>4.57</v>
      </c>
      <c r="J114" s="8" t="n">
        <f aca="false">ROUND(D114*E114/100,0)</f>
        <v>3481</v>
      </c>
      <c r="K114" s="9" t="n">
        <v>57.87</v>
      </c>
      <c r="L114" s="9" t="n">
        <v>51.99</v>
      </c>
      <c r="M114" s="9" t="n">
        <v>97.72</v>
      </c>
      <c r="N114" s="9" t="n">
        <v>92.88</v>
      </c>
      <c r="O114" s="9" t="n">
        <v>54.61</v>
      </c>
      <c r="P114" s="2" t="n">
        <f aca="false">RANK(E114,$E$2:$E$350,0)</f>
        <v>27</v>
      </c>
      <c r="Q114" s="2" t="str">
        <f aca="false">IF(E114&gt;=30,"بسیار بالا",IF(E114&gt;=20,"بالا",IF(E114&gt;=13,"متوسط",IF(E114&gt;=8,"پایین","بسیار پایین"))))</f>
        <v>بسیار بالا</v>
      </c>
      <c r="R114" s="10" t="n">
        <v>420</v>
      </c>
      <c r="S114" s="11" t="n">
        <v>0.167</v>
      </c>
      <c r="T114" s="8" t="n">
        <v>71</v>
      </c>
      <c r="U114" s="2" t="s">
        <v>45</v>
      </c>
      <c r="V114" s="2" t="s">
        <v>197</v>
      </c>
      <c r="W114" s="2" t="n">
        <v>0.98</v>
      </c>
      <c r="X114" s="12" t="s">
        <v>46</v>
      </c>
    </row>
    <row r="115" customFormat="false" ht="16.4" hidden="false" customHeight="false" outlineLevel="0" collapsed="false">
      <c r="A115" s="2" t="n">
        <v>114</v>
      </c>
      <c r="B115" s="2" t="n">
        <v>6</v>
      </c>
      <c r="C115" s="2" t="s">
        <v>198</v>
      </c>
      <c r="D115" s="8" t="n">
        <v>16697</v>
      </c>
      <c r="E115" s="9" t="n">
        <v>33.47</v>
      </c>
      <c r="F115" s="9" t="n">
        <v>32.7</v>
      </c>
      <c r="G115" s="9" t="n">
        <v>34.19</v>
      </c>
      <c r="H115" s="9" t="n">
        <v>29.5</v>
      </c>
      <c r="I115" s="9" t="n">
        <f aca="false">E115-H115</f>
        <v>3.97</v>
      </c>
      <c r="J115" s="8" t="n">
        <f aca="false">ROUND(D115*E115/100,0)</f>
        <v>5588</v>
      </c>
      <c r="K115" s="9" t="n">
        <v>57.21</v>
      </c>
      <c r="L115" s="9" t="n">
        <v>51.44</v>
      </c>
      <c r="M115" s="9" t="n">
        <v>97.68</v>
      </c>
      <c r="N115" s="9" t="n">
        <v>92.62</v>
      </c>
      <c r="O115" s="9" t="n">
        <v>54</v>
      </c>
      <c r="P115" s="2" t="n">
        <f aca="false">RANK(E115,$E$2:$E$350,0)</f>
        <v>31</v>
      </c>
      <c r="Q115" s="2" t="str">
        <f aca="false">IF(E115&gt;=30,"بسیار بالا",IF(E115&gt;=20,"بالا",IF(E115&gt;=13,"متوسط",IF(E115&gt;=8,"پایین","بسیار پایین"))))</f>
        <v>بسیار بالا</v>
      </c>
      <c r="R115" s="10" t="n">
        <v>415.3</v>
      </c>
      <c r="S115" s="11" t="n">
        <v>0.148</v>
      </c>
      <c r="T115" s="8" t="n">
        <v>90</v>
      </c>
      <c r="U115" s="2" t="s">
        <v>45</v>
      </c>
      <c r="V115" s="2" t="s">
        <v>198</v>
      </c>
      <c r="W115" s="2" t="n">
        <v>0.99</v>
      </c>
      <c r="X115" s="12" t="s">
        <v>46</v>
      </c>
    </row>
    <row r="116" customFormat="false" ht="16.4" hidden="false" customHeight="false" outlineLevel="0" collapsed="false">
      <c r="A116" s="2" t="n">
        <v>115</v>
      </c>
      <c r="B116" s="2" t="n">
        <v>6</v>
      </c>
      <c r="C116" s="2" t="s">
        <v>199</v>
      </c>
      <c r="D116" s="8" t="n">
        <v>13634</v>
      </c>
      <c r="E116" s="9" t="n">
        <v>30.28</v>
      </c>
      <c r="F116" s="9" t="n">
        <v>30.21</v>
      </c>
      <c r="G116" s="9" t="n">
        <v>30.3</v>
      </c>
      <c r="H116" s="9" t="n">
        <v>29.5</v>
      </c>
      <c r="I116" s="9" t="n">
        <f aca="false">E116-H116</f>
        <v>0.780000000000001</v>
      </c>
      <c r="J116" s="8" t="n">
        <f aca="false">ROUND(D116*E116/100,0)</f>
        <v>4128</v>
      </c>
      <c r="K116" s="9" t="n">
        <v>53.59</v>
      </c>
      <c r="L116" s="9" t="n">
        <v>48.42</v>
      </c>
      <c r="M116" s="9" t="n">
        <v>97.42</v>
      </c>
      <c r="N116" s="9" t="n">
        <v>91.06</v>
      </c>
      <c r="O116" s="9" t="n">
        <v>50.69</v>
      </c>
      <c r="P116" s="2" t="n">
        <f aca="false">RANK(E116,$E$2:$E$350,0)</f>
        <v>50</v>
      </c>
      <c r="Q116" s="2" t="str">
        <f aca="false">IF(E116&gt;=30,"بسیار بالا",IF(E116&gt;=20,"بالا",IF(E116&gt;=13,"متوسط",IF(E116&gt;=8,"پایین","بسیار پایین"))))</f>
        <v>بسیار بالا</v>
      </c>
      <c r="R116" s="10" t="n">
        <v>371.1</v>
      </c>
      <c r="S116" s="11" t="n">
        <v>0.045</v>
      </c>
      <c r="T116" s="8" t="n">
        <v>92</v>
      </c>
      <c r="U116" s="2" t="s">
        <v>45</v>
      </c>
      <c r="V116" s="2" t="s">
        <v>199</v>
      </c>
      <c r="W116" s="2" t="n">
        <v>0.99</v>
      </c>
      <c r="X116" s="12" t="s">
        <v>46</v>
      </c>
    </row>
    <row r="117" customFormat="false" ht="16.4" hidden="false" customHeight="false" outlineLevel="0" collapsed="false">
      <c r="A117" s="2" t="n">
        <v>116</v>
      </c>
      <c r="B117" s="2" t="n">
        <v>6</v>
      </c>
      <c r="C117" s="2" t="s">
        <v>200</v>
      </c>
      <c r="D117" s="8" t="n">
        <v>10938</v>
      </c>
      <c r="E117" s="9" t="n">
        <v>28.94</v>
      </c>
      <c r="F117" s="9" t="n">
        <v>28.68</v>
      </c>
      <c r="G117" s="9" t="n">
        <v>29.15</v>
      </c>
      <c r="H117" s="9" t="n">
        <v>29.5</v>
      </c>
      <c r="I117" s="9" t="n">
        <f aca="false">E117-H117</f>
        <v>-0.559999999999999</v>
      </c>
      <c r="J117" s="8" t="n">
        <f aca="false">ROUND(D117*E117/100,0)</f>
        <v>3165</v>
      </c>
      <c r="K117" s="9" t="n">
        <v>51.99</v>
      </c>
      <c r="L117" s="9" t="n">
        <v>47.1</v>
      </c>
      <c r="M117" s="9" t="n">
        <v>97.29</v>
      </c>
      <c r="N117" s="9" t="n">
        <v>90.28</v>
      </c>
      <c r="O117" s="9" t="n">
        <v>49.23</v>
      </c>
      <c r="P117" s="2" t="n">
        <f aca="false">RANK(E117,$E$2:$E$350,0)</f>
        <v>55</v>
      </c>
      <c r="Q117" s="2" t="str">
        <f aca="false">IF(E117&gt;=30,"بسیار بالا",IF(E117&gt;=20,"بالا",IF(E117&gt;=13,"متوسط",IF(E117&gt;=8,"پایین","بسیار پایین"))))</f>
        <v>بالا</v>
      </c>
      <c r="R117" s="10"/>
      <c r="S117" s="11" t="n">
        <v>0</v>
      </c>
      <c r="T117" s="8" t="n">
        <v>0</v>
      </c>
      <c r="U117" s="2" t="s">
        <v>64</v>
      </c>
      <c r="V117" s="12" t="s">
        <v>65</v>
      </c>
      <c r="W117" s="2" t="n">
        <v>0</v>
      </c>
      <c r="X117" s="12" t="s">
        <v>66</v>
      </c>
    </row>
    <row r="118" customFormat="false" ht="16.4" hidden="false" customHeight="false" outlineLevel="0" collapsed="false">
      <c r="A118" s="2" t="n">
        <v>117</v>
      </c>
      <c r="B118" s="2" t="n">
        <v>6</v>
      </c>
      <c r="C118" s="2" t="s">
        <v>201</v>
      </c>
      <c r="D118" s="8" t="n">
        <v>8875</v>
      </c>
      <c r="E118" s="9" t="n">
        <v>28.94</v>
      </c>
      <c r="F118" s="9" t="n">
        <v>28.68</v>
      </c>
      <c r="G118" s="9" t="n">
        <v>29.15</v>
      </c>
      <c r="H118" s="9" t="n">
        <v>29.5</v>
      </c>
      <c r="I118" s="9" t="n">
        <f aca="false">E118-H118</f>
        <v>-0.559999999999999</v>
      </c>
      <c r="J118" s="8" t="n">
        <f aca="false">ROUND(D118*E118/100,0)</f>
        <v>2568</v>
      </c>
      <c r="K118" s="9" t="n">
        <v>51.99</v>
      </c>
      <c r="L118" s="9" t="n">
        <v>47.1</v>
      </c>
      <c r="M118" s="9" t="n">
        <v>97.29</v>
      </c>
      <c r="N118" s="9" t="n">
        <v>90.28</v>
      </c>
      <c r="O118" s="9" t="n">
        <v>49.23</v>
      </c>
      <c r="P118" s="2" t="n">
        <f aca="false">RANK(E118,$E$2:$E$350,0)</f>
        <v>55</v>
      </c>
      <c r="Q118" s="2" t="str">
        <f aca="false">IF(E118&gt;=30,"بسیار بالا",IF(E118&gt;=20,"بالا",IF(E118&gt;=13,"متوسط",IF(E118&gt;=8,"پایین","بسیار پایین"))))</f>
        <v>بالا</v>
      </c>
      <c r="R118" s="10"/>
      <c r="S118" s="11" t="n">
        <v>0</v>
      </c>
      <c r="T118" s="8" t="n">
        <v>0</v>
      </c>
      <c r="U118" s="2" t="s">
        <v>64</v>
      </c>
      <c r="V118" s="12" t="s">
        <v>65</v>
      </c>
      <c r="W118" s="2" t="n">
        <v>0</v>
      </c>
      <c r="X118" s="12" t="s">
        <v>66</v>
      </c>
    </row>
    <row r="119" customFormat="false" ht="16.4" hidden="false" customHeight="false" outlineLevel="0" collapsed="false">
      <c r="A119" s="2" t="n">
        <v>118</v>
      </c>
      <c r="B119" s="2" t="n">
        <v>6</v>
      </c>
      <c r="C119" s="2" t="s">
        <v>202</v>
      </c>
      <c r="D119" s="8" t="n">
        <v>32856</v>
      </c>
      <c r="E119" s="9" t="n">
        <v>28.78</v>
      </c>
      <c r="F119" s="9" t="n">
        <v>28.48</v>
      </c>
      <c r="G119" s="9" t="n">
        <v>29.02</v>
      </c>
      <c r="H119" s="9" t="n">
        <v>29.5</v>
      </c>
      <c r="I119" s="9" t="n">
        <f aca="false">E119-H119</f>
        <v>-0.719999999999999</v>
      </c>
      <c r="J119" s="8" t="n">
        <f aca="false">ROUND(D119*E119/100,0)</f>
        <v>9456</v>
      </c>
      <c r="K119" s="9" t="n">
        <v>51.79</v>
      </c>
      <c r="L119" s="9" t="n">
        <v>46.93</v>
      </c>
      <c r="M119" s="9" t="n">
        <v>97.28</v>
      </c>
      <c r="N119" s="9" t="n">
        <v>90.18</v>
      </c>
      <c r="O119" s="9" t="n">
        <v>49.04</v>
      </c>
      <c r="P119" s="2" t="n">
        <f aca="false">RANK(E119,$E$2:$E$350,0)</f>
        <v>57</v>
      </c>
      <c r="Q119" s="2" t="str">
        <f aca="false">IF(E119&gt;=30,"بسیار بالا",IF(E119&gt;=20,"بالا",IF(E119&gt;=13,"متوسط",IF(E119&gt;=8,"پایین","بسیار پایین"))))</f>
        <v>بالا</v>
      </c>
      <c r="R119" s="10" t="n">
        <v>354.7</v>
      </c>
      <c r="S119" s="11" t="n">
        <v>-0.006</v>
      </c>
      <c r="T119" s="8" t="n">
        <v>90</v>
      </c>
      <c r="U119" s="2" t="s">
        <v>45</v>
      </c>
      <c r="V119" s="2" t="s">
        <v>202</v>
      </c>
      <c r="W119" s="2" t="n">
        <v>0.99</v>
      </c>
      <c r="X119" s="12" t="s">
        <v>46</v>
      </c>
    </row>
    <row r="120" customFormat="false" ht="16.4" hidden="false" customHeight="false" outlineLevel="0" collapsed="false">
      <c r="A120" s="2" t="n">
        <v>119</v>
      </c>
      <c r="B120" s="2" t="n">
        <v>6</v>
      </c>
      <c r="C120" s="2" t="s">
        <v>203</v>
      </c>
      <c r="D120" s="8" t="n">
        <v>14567</v>
      </c>
      <c r="E120" s="9" t="n">
        <v>24.77</v>
      </c>
      <c r="F120" s="9" t="n">
        <v>23.7</v>
      </c>
      <c r="G120" s="9" t="n">
        <v>25.82</v>
      </c>
      <c r="H120" s="9" t="n">
        <v>29.5</v>
      </c>
      <c r="I120" s="9" t="n">
        <f aca="false">E120-H120</f>
        <v>-4.73</v>
      </c>
      <c r="J120" s="8" t="n">
        <f aca="false">ROUND(D120*E120/100,0)</f>
        <v>3608</v>
      </c>
      <c r="K120" s="9" t="n">
        <v>46.68</v>
      </c>
      <c r="L120" s="9" t="n">
        <v>42.77</v>
      </c>
      <c r="M120" s="9" t="n">
        <v>96.85</v>
      </c>
      <c r="N120" s="9" t="n">
        <v>87.27</v>
      </c>
      <c r="O120" s="9" t="n">
        <v>44.43</v>
      </c>
      <c r="P120" s="2" t="n">
        <f aca="false">RANK(E120,$E$2:$E$350,0)</f>
        <v>79</v>
      </c>
      <c r="Q120" s="2" t="str">
        <f aca="false">IF(E120&gt;=30,"بسیار بالا",IF(E120&gt;=20,"بالا",IF(E120&gt;=13,"متوسط",IF(E120&gt;=8,"پایین","بسیار پایین"))))</f>
        <v>بالا</v>
      </c>
      <c r="R120" s="10" t="n">
        <v>326.7</v>
      </c>
      <c r="S120" s="11" t="n">
        <v>-0.149</v>
      </c>
      <c r="T120" s="8" t="n">
        <v>86</v>
      </c>
      <c r="U120" s="2" t="s">
        <v>54</v>
      </c>
      <c r="V120" s="2" t="s">
        <v>204</v>
      </c>
      <c r="W120" s="2" t="n">
        <v>0.98</v>
      </c>
      <c r="X120" s="12" t="s">
        <v>46</v>
      </c>
    </row>
    <row r="121" customFormat="false" ht="16.4" hidden="false" customHeight="false" outlineLevel="0" collapsed="false">
      <c r="A121" s="2" t="n">
        <v>120</v>
      </c>
      <c r="B121" s="2" t="n">
        <v>6</v>
      </c>
      <c r="C121" s="2" t="s">
        <v>205</v>
      </c>
      <c r="D121" s="8" t="n">
        <v>12672</v>
      </c>
      <c r="E121" s="9" t="n">
        <v>24.43</v>
      </c>
      <c r="F121" s="9" t="n">
        <v>23.31</v>
      </c>
      <c r="G121" s="9" t="n">
        <v>25.55</v>
      </c>
      <c r="H121" s="9" t="n">
        <v>29.5</v>
      </c>
      <c r="I121" s="9" t="n">
        <f aca="false">E121-H121</f>
        <v>-5.07</v>
      </c>
      <c r="J121" s="8" t="n">
        <f aca="false">ROUND(D121*E121/100,0)</f>
        <v>3096</v>
      </c>
      <c r="K121" s="9" t="n">
        <v>46.23</v>
      </c>
      <c r="L121" s="9" t="n">
        <v>42.41</v>
      </c>
      <c r="M121" s="9" t="n">
        <v>96.81</v>
      </c>
      <c r="N121" s="9" t="n">
        <v>86.98</v>
      </c>
      <c r="O121" s="9" t="n">
        <v>44.03</v>
      </c>
      <c r="P121" s="2" t="n">
        <f aca="false">RANK(E121,$E$2:$E$350,0)</f>
        <v>84</v>
      </c>
      <c r="Q121" s="2" t="str">
        <f aca="false">IF(E121&gt;=30,"بسیار بالا",IF(E121&gt;=20,"بالا",IF(E121&gt;=13,"متوسط",IF(E121&gt;=8,"پایین","بسیار پایین"))))</f>
        <v>بالا</v>
      </c>
      <c r="R121" s="10" t="n">
        <v>313.4</v>
      </c>
      <c r="S121" s="11" t="n">
        <v>-0.162</v>
      </c>
      <c r="T121" s="8" t="n">
        <v>84</v>
      </c>
      <c r="U121" s="2" t="s">
        <v>45</v>
      </c>
      <c r="V121" s="2" t="s">
        <v>206</v>
      </c>
      <c r="W121" s="2" t="n">
        <v>0.99</v>
      </c>
      <c r="X121" s="12" t="s">
        <v>46</v>
      </c>
    </row>
    <row r="122" customFormat="false" ht="16.4" hidden="false" customHeight="false" outlineLevel="0" collapsed="false">
      <c r="A122" s="2" t="n">
        <v>121</v>
      </c>
      <c r="B122" s="2" t="n">
        <v>6</v>
      </c>
      <c r="C122" s="2" t="s">
        <v>207</v>
      </c>
      <c r="D122" s="8" t="n">
        <v>9593</v>
      </c>
      <c r="E122" s="9" t="n">
        <v>22.1</v>
      </c>
      <c r="F122" s="9" t="n">
        <v>20.59</v>
      </c>
      <c r="G122" s="9" t="n">
        <v>23.64</v>
      </c>
      <c r="H122" s="9" t="n">
        <v>29.5</v>
      </c>
      <c r="I122" s="9" t="n">
        <f aca="false">E122-H122</f>
        <v>-7.4</v>
      </c>
      <c r="J122" s="8" t="n">
        <f aca="false">ROUND(D122*E122/100,0)</f>
        <v>2120</v>
      </c>
      <c r="K122" s="9" t="n">
        <v>43.01</v>
      </c>
      <c r="L122" s="9" t="n">
        <v>39.81</v>
      </c>
      <c r="M122" s="9" t="n">
        <v>96.49</v>
      </c>
      <c r="N122" s="9" t="n">
        <v>84.71</v>
      </c>
      <c r="O122" s="9" t="n">
        <v>41.13</v>
      </c>
      <c r="P122" s="2" t="n">
        <f aca="false">RANK(E122,$E$2:$E$350,0)</f>
        <v>98</v>
      </c>
      <c r="Q122" s="2" t="str">
        <f aca="false">IF(E122&gt;=30,"بسیار بالا",IF(E122&gt;=20,"بالا",IF(E122&gt;=13,"متوسط",IF(E122&gt;=8,"پایین","بسیار پایین"))))</f>
        <v>بالا</v>
      </c>
      <c r="R122" s="10" t="n">
        <v>280.7</v>
      </c>
      <c r="S122" s="11" t="n">
        <v>-0.253</v>
      </c>
      <c r="T122" s="8" t="n">
        <v>92</v>
      </c>
      <c r="U122" s="2" t="s">
        <v>45</v>
      </c>
      <c r="V122" s="2" t="s">
        <v>207</v>
      </c>
      <c r="W122" s="2" t="n">
        <v>0.99</v>
      </c>
      <c r="X122" s="12" t="s">
        <v>46</v>
      </c>
    </row>
    <row r="123" customFormat="false" ht="16.4" hidden="false" customHeight="false" outlineLevel="0" collapsed="false">
      <c r="A123" s="2" t="n">
        <v>122</v>
      </c>
      <c r="B123" s="2" t="n">
        <v>6</v>
      </c>
      <c r="C123" s="2" t="s">
        <v>208</v>
      </c>
      <c r="D123" s="8" t="n">
        <v>13432</v>
      </c>
      <c r="E123" s="9" t="n">
        <v>20.08</v>
      </c>
      <c r="F123" s="9" t="n">
        <v>18.29</v>
      </c>
      <c r="G123" s="9" t="n">
        <v>21.96</v>
      </c>
      <c r="H123" s="9" t="n">
        <v>29.5</v>
      </c>
      <c r="I123" s="9" t="n">
        <f aca="false">E123-H123</f>
        <v>-9.42</v>
      </c>
      <c r="J123" s="8" t="n">
        <f aca="false">ROUND(D123*E123/100,0)</f>
        <v>2697</v>
      </c>
      <c r="K123" s="9" t="n">
        <v>40.06</v>
      </c>
      <c r="L123" s="9" t="n">
        <v>37.45</v>
      </c>
      <c r="M123" s="9" t="n">
        <v>96.18</v>
      </c>
      <c r="N123" s="9" t="n">
        <v>82.33</v>
      </c>
      <c r="O123" s="9" t="n">
        <v>38.5</v>
      </c>
      <c r="P123" s="2" t="n">
        <f aca="false">RANK(E123,$E$2:$E$350,0)</f>
        <v>118</v>
      </c>
      <c r="Q123" s="2" t="str">
        <f aca="false">IF(E123&gt;=30,"بسیار بالا",IF(E123&gt;=20,"بالا",IF(E123&gt;=13,"متوسط",IF(E123&gt;=8,"پایین","بسیار پایین"))))</f>
        <v>بالا</v>
      </c>
      <c r="R123" s="10" t="n">
        <v>238</v>
      </c>
      <c r="S123" s="11" t="n">
        <v>-0.339</v>
      </c>
      <c r="T123" s="8" t="n">
        <v>88</v>
      </c>
      <c r="U123" s="2" t="s">
        <v>54</v>
      </c>
      <c r="V123" s="2" t="s">
        <v>209</v>
      </c>
      <c r="W123" s="2" t="n">
        <v>0.99</v>
      </c>
      <c r="X123" s="12" t="s">
        <v>46</v>
      </c>
    </row>
    <row r="124" customFormat="false" ht="16.4" hidden="false" customHeight="false" outlineLevel="0" collapsed="false">
      <c r="A124" s="2" t="n">
        <v>123</v>
      </c>
      <c r="B124" s="2" t="n">
        <v>6</v>
      </c>
      <c r="C124" s="2" t="s">
        <v>210</v>
      </c>
      <c r="D124" s="8" t="n">
        <v>25495</v>
      </c>
      <c r="E124" s="9" t="n">
        <v>16.04</v>
      </c>
      <c r="F124" s="9" t="n">
        <v>13.84</v>
      </c>
      <c r="G124" s="9" t="n">
        <v>18.49</v>
      </c>
      <c r="H124" s="9" t="n">
        <v>29.5</v>
      </c>
      <c r="I124" s="9" t="n">
        <f aca="false">E124-H124</f>
        <v>-13.46</v>
      </c>
      <c r="J124" s="8" t="n">
        <f aca="false">ROUND(D124*E124/100,0)</f>
        <v>4089</v>
      </c>
      <c r="K124" s="9" t="n">
        <v>33.7</v>
      </c>
      <c r="L124" s="9" t="n">
        <v>32.34</v>
      </c>
      <c r="M124" s="9" t="n">
        <v>95.36</v>
      </c>
      <c r="N124" s="9" t="n">
        <v>75.92</v>
      </c>
      <c r="O124" s="9" t="n">
        <v>32.82</v>
      </c>
      <c r="P124" s="2" t="n">
        <f aca="false">RANK(E124,$E$2:$E$350,0)</f>
        <v>167</v>
      </c>
      <c r="Q124" s="2" t="str">
        <f aca="false">IF(E124&gt;=30,"بسیار بالا",IF(E124&gt;=20,"بالا",IF(E124&gt;=13,"متوسط",IF(E124&gt;=8,"پایین","بسیار پایین"))))</f>
        <v>متوسط</v>
      </c>
      <c r="R124" s="10" t="n">
        <v>210.3</v>
      </c>
      <c r="S124" s="11" t="n">
        <v>-0.531</v>
      </c>
      <c r="T124" s="8" t="n">
        <v>89</v>
      </c>
      <c r="U124" s="2" t="s">
        <v>45</v>
      </c>
      <c r="V124" s="2" t="s">
        <v>211</v>
      </c>
      <c r="W124" s="2" t="n">
        <v>0.99</v>
      </c>
      <c r="X124" s="12" t="s">
        <v>46</v>
      </c>
    </row>
    <row r="125" customFormat="false" ht="16.4" hidden="false" customHeight="false" outlineLevel="0" collapsed="false">
      <c r="A125" s="2" t="n">
        <v>124</v>
      </c>
      <c r="B125" s="2" t="n">
        <v>7</v>
      </c>
      <c r="C125" s="2" t="s">
        <v>212</v>
      </c>
      <c r="D125" s="8" t="n">
        <v>27721</v>
      </c>
      <c r="E125" s="9" t="n">
        <v>35.77</v>
      </c>
      <c r="F125" s="9" t="n">
        <v>32.38</v>
      </c>
      <c r="G125" s="9" t="n">
        <v>39.24</v>
      </c>
      <c r="H125" s="9" t="n">
        <v>21</v>
      </c>
      <c r="I125" s="9" t="n">
        <f aca="false">E125-H125</f>
        <v>14.77</v>
      </c>
      <c r="J125" s="8" t="n">
        <f aca="false">ROUND(D125*E125/100,0)</f>
        <v>9916</v>
      </c>
      <c r="K125" s="9" t="n">
        <v>52.27</v>
      </c>
      <c r="L125" s="9" t="n">
        <v>49.66</v>
      </c>
      <c r="M125" s="9" t="n">
        <v>97.67</v>
      </c>
      <c r="N125" s="9" t="n">
        <v>92.23</v>
      </c>
      <c r="O125" s="9" t="n">
        <v>49.97</v>
      </c>
      <c r="P125" s="2" t="n">
        <f aca="false">RANK(E125,$E$2:$E$350,0)</f>
        <v>20</v>
      </c>
      <c r="Q125" s="2" t="str">
        <f aca="false">IF(E125&gt;=30,"بسیار بالا",IF(E125&gt;=20,"بالا",IF(E125&gt;=13,"متوسط",IF(E125&gt;=8,"پایین","بسیار پایین"))))</f>
        <v>بسیار بالا</v>
      </c>
      <c r="R125" s="10" t="n">
        <v>446.9</v>
      </c>
      <c r="S125" s="11" t="n">
        <v>0.546</v>
      </c>
      <c r="T125" s="8" t="n">
        <v>94</v>
      </c>
      <c r="U125" s="2" t="s">
        <v>54</v>
      </c>
      <c r="V125" s="2" t="s">
        <v>213</v>
      </c>
      <c r="W125" s="2" t="n">
        <v>0.99</v>
      </c>
      <c r="X125" s="12" t="s">
        <v>46</v>
      </c>
    </row>
    <row r="126" customFormat="false" ht="16.4" hidden="false" customHeight="false" outlineLevel="0" collapsed="false">
      <c r="A126" s="2" t="n">
        <v>125</v>
      </c>
      <c r="B126" s="2" t="n">
        <v>7</v>
      </c>
      <c r="C126" s="2" t="s">
        <v>214</v>
      </c>
      <c r="D126" s="8" t="n">
        <v>19427</v>
      </c>
      <c r="E126" s="9" t="n">
        <v>30.51</v>
      </c>
      <c r="F126" s="9" t="n">
        <v>28.42</v>
      </c>
      <c r="G126" s="9" t="n">
        <v>32.61</v>
      </c>
      <c r="H126" s="9" t="n">
        <v>21</v>
      </c>
      <c r="I126" s="9" t="n">
        <f aca="false">E126-H126</f>
        <v>9.51</v>
      </c>
      <c r="J126" s="8" t="n">
        <f aca="false">ROUND(D126*E126/100,0)</f>
        <v>5927</v>
      </c>
      <c r="K126" s="9" t="n">
        <v>46.33</v>
      </c>
      <c r="L126" s="9" t="n">
        <v>44.79</v>
      </c>
      <c r="M126" s="9" t="n">
        <v>97.24</v>
      </c>
      <c r="N126" s="9" t="n">
        <v>89.41</v>
      </c>
      <c r="O126" s="9" t="n">
        <v>44.6</v>
      </c>
      <c r="P126" s="2" t="n">
        <f aca="false">RANK(E126,$E$2:$E$350,0)</f>
        <v>48</v>
      </c>
      <c r="Q126" s="2" t="str">
        <f aca="false">IF(E126&gt;=30,"بسیار بالا",IF(E126&gt;=20,"بالا",IF(E126&gt;=13,"متوسط",IF(E126&gt;=8,"پایین","بسیار پایین"))))</f>
        <v>بسیار بالا</v>
      </c>
      <c r="R126" s="10" t="n">
        <v>365</v>
      </c>
      <c r="S126" s="11" t="n">
        <v>0.38</v>
      </c>
      <c r="T126" s="8" t="n">
        <v>93</v>
      </c>
      <c r="U126" s="2" t="s">
        <v>54</v>
      </c>
      <c r="V126" s="2" t="s">
        <v>215</v>
      </c>
      <c r="W126" s="2" t="n">
        <v>0.99</v>
      </c>
      <c r="X126" s="12" t="s">
        <v>46</v>
      </c>
    </row>
    <row r="127" customFormat="false" ht="16.4" hidden="false" customHeight="false" outlineLevel="0" collapsed="false">
      <c r="A127" s="2" t="n">
        <v>126</v>
      </c>
      <c r="B127" s="2" t="n">
        <v>7</v>
      </c>
      <c r="C127" s="2" t="s">
        <v>216</v>
      </c>
      <c r="D127" s="8" t="n">
        <v>21177</v>
      </c>
      <c r="E127" s="9" t="n">
        <v>25.88</v>
      </c>
      <c r="F127" s="9" t="n">
        <v>24.9</v>
      </c>
      <c r="G127" s="9" t="n">
        <v>26.81</v>
      </c>
      <c r="H127" s="9" t="n">
        <v>21</v>
      </c>
      <c r="I127" s="9" t="n">
        <f aca="false">E127-H127</f>
        <v>4.88</v>
      </c>
      <c r="J127" s="8" t="n">
        <f aca="false">ROUND(D127*E127/100,0)</f>
        <v>5481</v>
      </c>
      <c r="K127" s="9" t="n">
        <v>40.71</v>
      </c>
      <c r="L127" s="9" t="n">
        <v>40.18</v>
      </c>
      <c r="M127" s="9" t="n">
        <v>96.74</v>
      </c>
      <c r="N127" s="9" t="n">
        <v>85.89</v>
      </c>
      <c r="O127" s="9" t="n">
        <v>39.54</v>
      </c>
      <c r="P127" s="2" t="n">
        <f aca="false">RANK(E127,$E$2:$E$350,0)</f>
        <v>71</v>
      </c>
      <c r="Q127" s="2" t="str">
        <f aca="false">IF(E127&gt;=30,"بسیار بالا",IF(E127&gt;=20,"بالا",IF(E127&gt;=13,"متوسط",IF(E127&gt;=8,"پایین","بسیار پایین"))))</f>
        <v>بالا</v>
      </c>
      <c r="R127" s="10" t="n">
        <v>320</v>
      </c>
      <c r="S127" s="11" t="n">
        <v>0.219</v>
      </c>
      <c r="T127" s="8" t="n">
        <v>92</v>
      </c>
      <c r="U127" s="2" t="s">
        <v>54</v>
      </c>
      <c r="V127" s="2" t="s">
        <v>217</v>
      </c>
      <c r="W127" s="2" t="n">
        <v>0.99</v>
      </c>
      <c r="X127" s="12" t="s">
        <v>46</v>
      </c>
    </row>
    <row r="128" customFormat="false" ht="16.4" hidden="false" customHeight="false" outlineLevel="0" collapsed="false">
      <c r="A128" s="2" t="n">
        <v>127</v>
      </c>
      <c r="B128" s="2" t="n">
        <v>7</v>
      </c>
      <c r="C128" s="2" t="s">
        <v>218</v>
      </c>
      <c r="D128" s="8" t="n">
        <v>21519</v>
      </c>
      <c r="E128" s="9" t="n">
        <v>24.55</v>
      </c>
      <c r="F128" s="9" t="n">
        <v>23.88</v>
      </c>
      <c r="G128" s="9" t="n">
        <v>25.17</v>
      </c>
      <c r="H128" s="9" t="n">
        <v>21</v>
      </c>
      <c r="I128" s="9" t="n">
        <f aca="false">E128-H128</f>
        <v>3.55</v>
      </c>
      <c r="J128" s="8" t="n">
        <f aca="false">ROUND(D128*E128/100,0)</f>
        <v>5283</v>
      </c>
      <c r="K128" s="9" t="n">
        <v>39.03</v>
      </c>
      <c r="L128" s="9" t="n">
        <v>38.8</v>
      </c>
      <c r="M128" s="9" t="n">
        <v>96.57</v>
      </c>
      <c r="N128" s="9" t="n">
        <v>84.63</v>
      </c>
      <c r="O128" s="9" t="n">
        <v>38.03</v>
      </c>
      <c r="P128" s="2" t="n">
        <f aca="false">RANK(E128,$E$2:$E$350,0)</f>
        <v>82</v>
      </c>
      <c r="Q128" s="2" t="str">
        <f aca="false">IF(E128&gt;=30,"بسیار بالا",IF(E128&gt;=20,"بالا",IF(E128&gt;=13,"متوسط",IF(E128&gt;=8,"پایین","بسیار پایین"))))</f>
        <v>بالا</v>
      </c>
      <c r="R128" s="10" t="n">
        <v>300.8</v>
      </c>
      <c r="S128" s="11" t="n">
        <v>0.17</v>
      </c>
      <c r="T128" s="8" t="n">
        <v>89</v>
      </c>
      <c r="U128" s="2" t="s">
        <v>45</v>
      </c>
      <c r="V128" s="2" t="s">
        <v>218</v>
      </c>
      <c r="W128" s="2" t="n">
        <v>0.99</v>
      </c>
      <c r="X128" s="12" t="s">
        <v>46</v>
      </c>
    </row>
    <row r="129" customFormat="false" ht="16.4" hidden="false" customHeight="false" outlineLevel="0" collapsed="false">
      <c r="A129" s="2" t="n">
        <v>128</v>
      </c>
      <c r="B129" s="2" t="n">
        <v>7</v>
      </c>
      <c r="C129" s="2" t="s">
        <v>219</v>
      </c>
      <c r="D129" s="8" t="n">
        <v>9558</v>
      </c>
      <c r="E129" s="9" t="n">
        <v>22</v>
      </c>
      <c r="F129" s="9" t="n">
        <v>21.89</v>
      </c>
      <c r="G129" s="9" t="n">
        <v>22.05</v>
      </c>
      <c r="H129" s="9" t="n">
        <v>21</v>
      </c>
      <c r="I129" s="9" t="n">
        <f aca="false">E129-H129</f>
        <v>1</v>
      </c>
      <c r="J129" s="8" t="n">
        <f aca="false">ROUND(D129*E129/100,0)</f>
        <v>2103</v>
      </c>
      <c r="K129" s="9" t="n">
        <v>35.68</v>
      </c>
      <c r="L129" s="9" t="n">
        <v>36.05</v>
      </c>
      <c r="M129" s="9" t="n">
        <v>96.21</v>
      </c>
      <c r="N129" s="9" t="n">
        <v>81.78</v>
      </c>
      <c r="O129" s="9" t="n">
        <v>35.02</v>
      </c>
      <c r="P129" s="2" t="n">
        <f aca="false">RANK(E129,$E$2:$E$350,0)</f>
        <v>101</v>
      </c>
      <c r="Q129" s="2" t="str">
        <f aca="false">IF(E129&gt;=30,"بسیار بالا",IF(E129&gt;=20,"بالا",IF(E129&gt;=13,"متوسط",IF(E129&gt;=8,"پایین","بسیار پایین"))))</f>
        <v>بالا</v>
      </c>
      <c r="R129" s="10" t="n">
        <v>273.8</v>
      </c>
      <c r="S129" s="11" t="n">
        <v>0.069</v>
      </c>
      <c r="T129" s="8" t="n">
        <v>63</v>
      </c>
      <c r="U129" s="2" t="s">
        <v>54</v>
      </c>
      <c r="V129" s="2" t="s">
        <v>220</v>
      </c>
      <c r="W129" s="2" t="n">
        <v>0.99</v>
      </c>
      <c r="X129" s="12" t="s">
        <v>46</v>
      </c>
    </row>
    <row r="130" customFormat="false" ht="16.4" hidden="false" customHeight="false" outlineLevel="0" collapsed="false">
      <c r="A130" s="2" t="n">
        <v>129</v>
      </c>
      <c r="B130" s="2" t="n">
        <v>7</v>
      </c>
      <c r="C130" s="2" t="s">
        <v>221</v>
      </c>
      <c r="D130" s="8" t="n">
        <v>22372</v>
      </c>
      <c r="E130" s="9" t="n">
        <v>21.25</v>
      </c>
      <c r="F130" s="9" t="n">
        <v>21.14</v>
      </c>
      <c r="G130" s="9" t="n">
        <v>21.3</v>
      </c>
      <c r="H130" s="9" t="n">
        <v>21</v>
      </c>
      <c r="I130" s="9" t="n">
        <f aca="false">E130-H130</f>
        <v>0.25</v>
      </c>
      <c r="J130" s="8" t="n">
        <f aca="false">ROUND(D130*E130/100,0)</f>
        <v>4754</v>
      </c>
      <c r="K130" s="9" t="n">
        <v>34.68</v>
      </c>
      <c r="L130" s="9" t="n">
        <v>35.22</v>
      </c>
      <c r="M130" s="9" t="n">
        <v>96.08</v>
      </c>
      <c r="N130" s="9" t="n">
        <v>80.82</v>
      </c>
      <c r="O130" s="9" t="n">
        <v>34.12</v>
      </c>
      <c r="P130" s="2" t="n">
        <f aca="false">RANK(E130,$E$2:$E$350,0)</f>
        <v>105</v>
      </c>
      <c r="Q130" s="2" t="str">
        <f aca="false">IF(E130&gt;=30,"بسیار بالا",IF(E130&gt;=20,"بالا",IF(E130&gt;=13,"متوسط",IF(E130&gt;=8,"پایین","بسیار پایین"))))</f>
        <v>بالا</v>
      </c>
      <c r="R130" s="10" t="n">
        <v>266.3</v>
      </c>
      <c r="S130" s="11" t="n">
        <v>0.038</v>
      </c>
      <c r="T130" s="8" t="n">
        <v>90</v>
      </c>
      <c r="U130" s="2" t="s">
        <v>54</v>
      </c>
      <c r="V130" s="2" t="s">
        <v>222</v>
      </c>
      <c r="W130" s="2" t="n">
        <v>0.99</v>
      </c>
      <c r="X130" s="12" t="s">
        <v>46</v>
      </c>
    </row>
    <row r="131" customFormat="false" ht="16.4" hidden="false" customHeight="false" outlineLevel="0" collapsed="false">
      <c r="A131" s="2" t="n">
        <v>130</v>
      </c>
      <c r="B131" s="2" t="n">
        <v>7</v>
      </c>
      <c r="C131" s="2" t="s">
        <v>223</v>
      </c>
      <c r="D131" s="8" t="n">
        <v>17392</v>
      </c>
      <c r="E131" s="9" t="n">
        <v>20.45</v>
      </c>
      <c r="F131" s="9" t="n">
        <v>20.18</v>
      </c>
      <c r="G131" s="9" t="n">
        <v>20.68</v>
      </c>
      <c r="H131" s="9" t="n">
        <v>21</v>
      </c>
      <c r="I131" s="9" t="n">
        <f aca="false">E131-H131</f>
        <v>-0.550000000000001</v>
      </c>
      <c r="J131" s="8" t="n">
        <f aca="false">ROUND(D131*E131/100,0)</f>
        <v>3557</v>
      </c>
      <c r="K131" s="9" t="n">
        <v>33.59</v>
      </c>
      <c r="L131" s="9" t="n">
        <v>34.32</v>
      </c>
      <c r="M131" s="9" t="n">
        <v>95.95</v>
      </c>
      <c r="N131" s="9" t="n">
        <v>79.74</v>
      </c>
      <c r="O131" s="9" t="n">
        <v>33.14</v>
      </c>
      <c r="P131" s="2" t="n">
        <f aca="false">RANK(E131,$E$2:$E$350,0)</f>
        <v>113</v>
      </c>
      <c r="Q131" s="2" t="str">
        <f aca="false">IF(E131&gt;=30,"بسیار بالا",IF(E131&gt;=20,"بالا",IF(E131&gt;=13,"متوسط",IF(E131&gt;=8,"پایین","بسیار پایین"))))</f>
        <v>بالا</v>
      </c>
      <c r="R131" s="10" t="n">
        <v>240</v>
      </c>
      <c r="S131" s="11" t="n">
        <v>0.004</v>
      </c>
      <c r="T131" s="8" t="n">
        <v>89</v>
      </c>
      <c r="U131" s="2" t="s">
        <v>45</v>
      </c>
      <c r="V131" s="2" t="s">
        <v>223</v>
      </c>
      <c r="W131" s="2" t="n">
        <v>0.99</v>
      </c>
      <c r="X131" s="12" t="s">
        <v>46</v>
      </c>
    </row>
    <row r="132" customFormat="false" ht="16.4" hidden="false" customHeight="false" outlineLevel="0" collapsed="false">
      <c r="A132" s="2" t="n">
        <v>131</v>
      </c>
      <c r="B132" s="2" t="n">
        <v>7</v>
      </c>
      <c r="C132" s="2" t="s">
        <v>224</v>
      </c>
      <c r="D132" s="8" t="n">
        <v>42153</v>
      </c>
      <c r="E132" s="9" t="n">
        <v>20.35</v>
      </c>
      <c r="F132" s="9" t="n">
        <v>20.06</v>
      </c>
      <c r="G132" s="9" t="n">
        <v>20.59</v>
      </c>
      <c r="H132" s="9" t="n">
        <v>21</v>
      </c>
      <c r="I132" s="9" t="n">
        <f aca="false">E132-H132</f>
        <v>-0.649999999999999</v>
      </c>
      <c r="J132" s="8" t="n">
        <f aca="false">ROUND(D132*E132/100,0)</f>
        <v>8578</v>
      </c>
      <c r="K132" s="9" t="n">
        <v>33.45</v>
      </c>
      <c r="L132" s="9" t="n">
        <v>34.2</v>
      </c>
      <c r="M132" s="9" t="n">
        <v>95.93</v>
      </c>
      <c r="N132" s="9" t="n">
        <v>79.59</v>
      </c>
      <c r="O132" s="9" t="n">
        <v>33.02</v>
      </c>
      <c r="P132" s="2" t="n">
        <f aca="false">RANK(E132,$E$2:$E$350,0)</f>
        <v>114</v>
      </c>
      <c r="Q132" s="2" t="str">
        <f aca="false">IF(E132&gt;=30,"بسیار بالا",IF(E132&gt;=20,"بالا",IF(E132&gt;=13,"متوسط",IF(E132&gt;=8,"پایین","بسیار پایین"))))</f>
        <v>بالا</v>
      </c>
      <c r="R132" s="10"/>
      <c r="S132" s="11" t="n">
        <v>0</v>
      </c>
      <c r="T132" s="8" t="n">
        <v>0</v>
      </c>
      <c r="U132" s="2" t="s">
        <v>64</v>
      </c>
      <c r="V132" s="12" t="s">
        <v>65</v>
      </c>
      <c r="W132" s="2" t="n">
        <v>0</v>
      </c>
      <c r="X132" s="12" t="s">
        <v>66</v>
      </c>
    </row>
    <row r="133" customFormat="false" ht="16.4" hidden="false" customHeight="false" outlineLevel="0" collapsed="false">
      <c r="A133" s="2" t="n">
        <v>132</v>
      </c>
      <c r="B133" s="2" t="n">
        <v>7</v>
      </c>
      <c r="C133" s="2" t="s">
        <v>225</v>
      </c>
      <c r="D133" s="8" t="n">
        <v>16890</v>
      </c>
      <c r="E133" s="9" t="n">
        <v>17.01</v>
      </c>
      <c r="F133" s="9" t="n">
        <v>16.11</v>
      </c>
      <c r="G133" s="9" t="n">
        <v>17.9</v>
      </c>
      <c r="H133" s="9" t="n">
        <v>21</v>
      </c>
      <c r="I133" s="9" t="n">
        <f aca="false">E133-H133</f>
        <v>-3.99</v>
      </c>
      <c r="J133" s="8" t="n">
        <f aca="false">ROUND(D133*E133/100,0)</f>
        <v>2873</v>
      </c>
      <c r="K133" s="9" t="n">
        <v>28.74</v>
      </c>
      <c r="L133" s="9" t="n">
        <v>30.24</v>
      </c>
      <c r="M133" s="9" t="n">
        <v>95.24</v>
      </c>
      <c r="N133" s="9" t="n">
        <v>74</v>
      </c>
      <c r="O133" s="9" t="n">
        <v>28.76</v>
      </c>
      <c r="P133" s="2" t="n">
        <f aca="false">RANK(E133,$E$2:$E$350,0)</f>
        <v>153</v>
      </c>
      <c r="Q133" s="2" t="str">
        <f aca="false">IF(E133&gt;=30,"بسیار بالا",IF(E133&gt;=20,"بالا",IF(E133&gt;=13,"متوسط",IF(E133&gt;=8,"پایین","بسیار پایین"))))</f>
        <v>متوسط</v>
      </c>
      <c r="R133" s="10" t="n">
        <v>197.4</v>
      </c>
      <c r="S133" s="11" t="n">
        <v>-0.155</v>
      </c>
      <c r="T133" s="8" t="n">
        <v>88</v>
      </c>
      <c r="U133" s="2" t="s">
        <v>54</v>
      </c>
      <c r="V133" s="2" t="s">
        <v>226</v>
      </c>
      <c r="W133" s="2" t="n">
        <v>0.99</v>
      </c>
      <c r="X133" s="12" t="s">
        <v>46</v>
      </c>
    </row>
    <row r="134" customFormat="false" ht="16.4" hidden="false" customHeight="false" outlineLevel="0" collapsed="false">
      <c r="A134" s="2" t="n">
        <v>133</v>
      </c>
      <c r="B134" s="2" t="n">
        <v>7</v>
      </c>
      <c r="C134" s="2" t="s">
        <v>227</v>
      </c>
      <c r="D134" s="8" t="n">
        <v>14767</v>
      </c>
      <c r="E134" s="9" t="n">
        <v>16.85</v>
      </c>
      <c r="F134" s="9" t="n">
        <v>15.93</v>
      </c>
      <c r="G134" s="9" t="n">
        <v>17.77</v>
      </c>
      <c r="H134" s="9" t="n">
        <v>21</v>
      </c>
      <c r="I134" s="9" t="n">
        <f aca="false">E134-H134</f>
        <v>-4.15</v>
      </c>
      <c r="J134" s="8" t="n">
        <f aca="false">ROUND(D134*E134/100,0)</f>
        <v>2488</v>
      </c>
      <c r="K134" s="9" t="n">
        <v>28.51</v>
      </c>
      <c r="L134" s="9" t="n">
        <v>30.05</v>
      </c>
      <c r="M134" s="9" t="n">
        <v>95.21</v>
      </c>
      <c r="N134" s="9" t="n">
        <v>73.69</v>
      </c>
      <c r="O134" s="9" t="n">
        <v>28.55</v>
      </c>
      <c r="P134" s="2" t="n">
        <f aca="false">RANK(E134,$E$2:$E$350,0)</f>
        <v>156</v>
      </c>
      <c r="Q134" s="2" t="str">
        <f aca="false">IF(E134&gt;=30,"بسیار بالا",IF(E134&gt;=20,"بالا",IF(E134&gt;=13,"متوسط",IF(E134&gt;=8,"پایین","بسیار پایین"))))</f>
        <v>متوسط</v>
      </c>
      <c r="R134" s="10" t="n">
        <v>203.9</v>
      </c>
      <c r="S134" s="11" t="n">
        <v>-0.162</v>
      </c>
      <c r="T134" s="8" t="n">
        <v>88</v>
      </c>
      <c r="U134" s="2" t="s">
        <v>54</v>
      </c>
      <c r="V134" s="2" t="s">
        <v>228</v>
      </c>
      <c r="W134" s="2" t="n">
        <v>0.99</v>
      </c>
      <c r="X134" s="12" t="s">
        <v>46</v>
      </c>
    </row>
    <row r="135" customFormat="false" ht="16.4" hidden="false" customHeight="false" outlineLevel="0" collapsed="false">
      <c r="A135" s="2" t="n">
        <v>134</v>
      </c>
      <c r="B135" s="2" t="n">
        <v>7</v>
      </c>
      <c r="C135" s="2" t="s">
        <v>229</v>
      </c>
      <c r="D135" s="8" t="n">
        <v>21390</v>
      </c>
      <c r="E135" s="9" t="n">
        <v>15.72</v>
      </c>
      <c r="F135" s="9" t="n">
        <v>14.63</v>
      </c>
      <c r="G135" s="9" t="n">
        <v>16.84</v>
      </c>
      <c r="H135" s="9" t="n">
        <v>21</v>
      </c>
      <c r="I135" s="9" t="n">
        <f aca="false">E135-H135</f>
        <v>-5.28</v>
      </c>
      <c r="J135" s="8" t="n">
        <f aca="false">ROUND(D135*E135/100,0)</f>
        <v>3363</v>
      </c>
      <c r="K135" s="9" t="n">
        <v>26.85</v>
      </c>
      <c r="L135" s="9" t="n">
        <v>28.64</v>
      </c>
      <c r="M135" s="9" t="n">
        <v>94.92</v>
      </c>
      <c r="N135" s="9" t="n">
        <v>71.33</v>
      </c>
      <c r="O135" s="9" t="n">
        <v>27.04</v>
      </c>
      <c r="P135" s="2" t="n">
        <f aca="false">RANK(E135,$E$2:$E$350,0)</f>
        <v>169</v>
      </c>
      <c r="Q135" s="2" t="str">
        <f aca="false">IF(E135&gt;=30,"بسیار بالا",IF(E135&gt;=20,"بالا",IF(E135&gt;=13,"متوسط",IF(E135&gt;=8,"پایین","بسیار پایین"))))</f>
        <v>متوسط</v>
      </c>
      <c r="R135" s="10" t="n">
        <v>210.4</v>
      </c>
      <c r="S135" s="11" t="n">
        <v>-0.221</v>
      </c>
      <c r="T135" s="8" t="n">
        <v>165</v>
      </c>
      <c r="U135" s="2" t="s">
        <v>54</v>
      </c>
      <c r="V135" s="2" t="s">
        <v>230</v>
      </c>
      <c r="W135" s="2" t="n">
        <v>1</v>
      </c>
      <c r="X135" s="12" t="s">
        <v>46</v>
      </c>
    </row>
    <row r="136" customFormat="false" ht="16.4" hidden="false" customHeight="false" outlineLevel="0" collapsed="false">
      <c r="A136" s="2" t="n">
        <v>135</v>
      </c>
      <c r="B136" s="2" t="n">
        <v>7</v>
      </c>
      <c r="C136" s="2" t="s">
        <v>231</v>
      </c>
      <c r="D136" s="8" t="n">
        <v>31341</v>
      </c>
      <c r="E136" s="9" t="n">
        <v>14.59</v>
      </c>
      <c r="F136" s="9" t="n">
        <v>13.35</v>
      </c>
      <c r="G136" s="9" t="n">
        <v>15.89</v>
      </c>
      <c r="H136" s="9" t="n">
        <v>21</v>
      </c>
      <c r="I136" s="9" t="n">
        <f aca="false">E136-H136</f>
        <v>-6.41</v>
      </c>
      <c r="J136" s="8" t="n">
        <f aca="false">ROUND(D136*E136/100,0)</f>
        <v>4573</v>
      </c>
      <c r="K136" s="9" t="n">
        <v>25.17</v>
      </c>
      <c r="L136" s="9" t="n">
        <v>27.19</v>
      </c>
      <c r="M136" s="9" t="n">
        <v>94.59</v>
      </c>
      <c r="N136" s="9" t="n">
        <v>68.7</v>
      </c>
      <c r="O136" s="9" t="n">
        <v>25.5</v>
      </c>
      <c r="P136" s="2" t="n">
        <f aca="false">RANK(E136,$E$2:$E$350,0)</f>
        <v>191</v>
      </c>
      <c r="Q136" s="2" t="str">
        <f aca="false">IF(E136&gt;=30,"بسیار بالا",IF(E136&gt;=20,"بالا",IF(E136&gt;=13,"متوسط",IF(E136&gt;=8,"پایین","بسیار پایین"))))</f>
        <v>متوسط</v>
      </c>
      <c r="R136" s="10" t="n">
        <v>182.2</v>
      </c>
      <c r="S136" s="11" t="n">
        <v>-0.282</v>
      </c>
      <c r="T136" s="8" t="n">
        <v>82</v>
      </c>
      <c r="U136" s="2" t="s">
        <v>45</v>
      </c>
      <c r="V136" s="2" t="s">
        <v>231</v>
      </c>
      <c r="W136" s="2" t="n">
        <v>0.99</v>
      </c>
      <c r="X136" s="12" t="s">
        <v>46</v>
      </c>
    </row>
    <row r="137" customFormat="false" ht="16.4" hidden="false" customHeight="false" outlineLevel="0" collapsed="false">
      <c r="A137" s="2" t="n">
        <v>136</v>
      </c>
      <c r="B137" s="2" t="n">
        <v>7</v>
      </c>
      <c r="C137" s="2" t="s">
        <v>232</v>
      </c>
      <c r="D137" s="8" t="n">
        <v>12264</v>
      </c>
      <c r="E137" s="9" t="n">
        <v>14.47</v>
      </c>
      <c r="F137" s="9" t="n">
        <v>13.21</v>
      </c>
      <c r="G137" s="9" t="n">
        <v>15.79</v>
      </c>
      <c r="H137" s="9" t="n">
        <v>21</v>
      </c>
      <c r="I137" s="9" t="n">
        <f aca="false">E137-H137</f>
        <v>-6.53</v>
      </c>
      <c r="J137" s="8" t="n">
        <f aca="false">ROUND(D137*E137/100,0)</f>
        <v>1775</v>
      </c>
      <c r="K137" s="9" t="n">
        <v>24.98</v>
      </c>
      <c r="L137" s="9" t="n">
        <v>27.02</v>
      </c>
      <c r="M137" s="9" t="n">
        <v>94.56</v>
      </c>
      <c r="N137" s="9" t="n">
        <v>68.39</v>
      </c>
      <c r="O137" s="9" t="n">
        <v>25.33</v>
      </c>
      <c r="P137" s="2" t="n">
        <f aca="false">RANK(E137,$E$2:$E$350,0)</f>
        <v>194</v>
      </c>
      <c r="Q137" s="2" t="str">
        <f aca="false">IF(E137&gt;=30,"بسیار بالا",IF(E137&gt;=20,"بالا",IF(E137&gt;=13,"متوسط",IF(E137&gt;=8,"پایین","بسیار پایین"))))</f>
        <v>متوسط</v>
      </c>
      <c r="R137" s="10" t="n">
        <v>181.3</v>
      </c>
      <c r="S137" s="11" t="n">
        <v>-0.289</v>
      </c>
      <c r="T137" s="8" t="n">
        <v>86</v>
      </c>
      <c r="U137" s="2" t="s">
        <v>45</v>
      </c>
      <c r="V137" s="2" t="s">
        <v>233</v>
      </c>
      <c r="W137" s="2" t="n">
        <v>1</v>
      </c>
      <c r="X137" s="12" t="s">
        <v>46</v>
      </c>
    </row>
    <row r="138" customFormat="false" ht="16.4" hidden="false" customHeight="false" outlineLevel="0" collapsed="false">
      <c r="A138" s="2" t="n">
        <v>137</v>
      </c>
      <c r="B138" s="2" t="n">
        <v>7</v>
      </c>
      <c r="C138" s="2" t="s">
        <v>234</v>
      </c>
      <c r="D138" s="8" t="n">
        <v>34031</v>
      </c>
      <c r="E138" s="9" t="n">
        <v>14.25</v>
      </c>
      <c r="F138" s="9" t="n">
        <v>12.96</v>
      </c>
      <c r="G138" s="9" t="n">
        <v>15.6</v>
      </c>
      <c r="H138" s="9" t="n">
        <v>21</v>
      </c>
      <c r="I138" s="9" t="n">
        <f aca="false">E138-H138</f>
        <v>-6.75</v>
      </c>
      <c r="J138" s="8" t="n">
        <f aca="false">ROUND(D138*E138/100,0)</f>
        <v>4849</v>
      </c>
      <c r="K138" s="9" t="n">
        <v>24.64</v>
      </c>
      <c r="L138" s="9" t="n">
        <v>26.73</v>
      </c>
      <c r="M138" s="9" t="n">
        <v>94.49</v>
      </c>
      <c r="N138" s="9" t="n">
        <v>67.83</v>
      </c>
      <c r="O138" s="9" t="n">
        <v>25.02</v>
      </c>
      <c r="P138" s="2" t="n">
        <f aca="false">RANK(E138,$E$2:$E$350,0)</f>
        <v>195</v>
      </c>
      <c r="Q138" s="2" t="str">
        <f aca="false">IF(E138&gt;=30,"بسیار بالا",IF(E138&gt;=20,"بالا",IF(E138&gt;=13,"متوسط",IF(E138&gt;=8,"پایین","بسیار پایین"))))</f>
        <v>متوسط</v>
      </c>
      <c r="R138" s="10" t="n">
        <v>177.1</v>
      </c>
      <c r="S138" s="11" t="n">
        <v>-0.302</v>
      </c>
      <c r="T138" s="8" t="n">
        <v>90</v>
      </c>
      <c r="U138" s="2" t="s">
        <v>45</v>
      </c>
      <c r="V138" s="2" t="s">
        <v>234</v>
      </c>
      <c r="W138" s="2" t="n">
        <v>0.99</v>
      </c>
      <c r="X138" s="12" t="s">
        <v>46</v>
      </c>
    </row>
    <row r="139" customFormat="false" ht="16.4" hidden="false" customHeight="false" outlineLevel="0" collapsed="false">
      <c r="A139" s="2" t="n">
        <v>138</v>
      </c>
      <c r="B139" s="2" t="n">
        <v>8</v>
      </c>
      <c r="C139" s="2" t="s">
        <v>235</v>
      </c>
      <c r="D139" s="8" t="n">
        <v>32960</v>
      </c>
      <c r="E139" s="9" t="n">
        <v>24.18</v>
      </c>
      <c r="F139" s="9" t="n">
        <v>22.91</v>
      </c>
      <c r="G139" s="9" t="n">
        <v>25.48</v>
      </c>
      <c r="H139" s="9" t="n">
        <v>18.4</v>
      </c>
      <c r="I139" s="9" t="n">
        <f aca="false">E139-H139</f>
        <v>5.78</v>
      </c>
      <c r="J139" s="8" t="n">
        <f aca="false">ROUND(D139*E139/100,0)</f>
        <v>7970</v>
      </c>
      <c r="K139" s="9" t="n">
        <v>37.77</v>
      </c>
      <c r="L139" s="9" t="n">
        <v>37.13</v>
      </c>
      <c r="M139" s="9" t="n">
        <v>97.65</v>
      </c>
      <c r="N139" s="9" t="n">
        <v>78.57</v>
      </c>
      <c r="O139" s="9" t="n">
        <v>37.02</v>
      </c>
      <c r="P139" s="2" t="n">
        <f aca="false">RANK(E139,$E$2:$E$350,0)</f>
        <v>86</v>
      </c>
      <c r="Q139" s="2" t="str">
        <f aca="false">IF(E139&gt;=30,"بسیار بالا",IF(E139&gt;=20,"بالا",IF(E139&gt;=13,"متوسط",IF(E139&gt;=8,"پایین","بسیار پایین"))))</f>
        <v>بالا</v>
      </c>
      <c r="R139" s="10" t="n">
        <v>311.7</v>
      </c>
      <c r="S139" s="11" t="n">
        <v>0.256</v>
      </c>
      <c r="T139" s="8" t="n">
        <v>92</v>
      </c>
      <c r="U139" s="2" t="s">
        <v>45</v>
      </c>
      <c r="V139" s="2" t="s">
        <v>235</v>
      </c>
      <c r="W139" s="2" t="n">
        <v>0.98</v>
      </c>
      <c r="X139" s="12" t="s">
        <v>46</v>
      </c>
    </row>
    <row r="140" customFormat="false" ht="16.4" hidden="false" customHeight="false" outlineLevel="0" collapsed="false">
      <c r="A140" s="2" t="n">
        <v>139</v>
      </c>
      <c r="B140" s="2" t="n">
        <v>8</v>
      </c>
      <c r="C140" s="2" t="s">
        <v>236</v>
      </c>
      <c r="D140" s="8" t="n">
        <v>36865</v>
      </c>
      <c r="E140" s="9" t="n">
        <v>23.23</v>
      </c>
      <c r="F140" s="9" t="n">
        <v>22.18</v>
      </c>
      <c r="G140" s="9" t="n">
        <v>24.28</v>
      </c>
      <c r="H140" s="9" t="n">
        <v>18.4</v>
      </c>
      <c r="I140" s="9" t="n">
        <f aca="false">E140-H140</f>
        <v>4.83</v>
      </c>
      <c r="J140" s="8" t="n">
        <f aca="false">ROUND(D140*E140/100,0)</f>
        <v>8564</v>
      </c>
      <c r="K140" s="9" t="n">
        <v>36.55</v>
      </c>
      <c r="L140" s="9" t="n">
        <v>36.13</v>
      </c>
      <c r="M140" s="9" t="n">
        <v>97.56</v>
      </c>
      <c r="N140" s="9" t="n">
        <v>77.28</v>
      </c>
      <c r="O140" s="9" t="n">
        <v>35.92</v>
      </c>
      <c r="P140" s="2" t="n">
        <f aca="false">RANK(E140,$E$2:$E$350,0)</f>
        <v>91</v>
      </c>
      <c r="Q140" s="2" t="str">
        <f aca="false">IF(E140&gt;=30,"بسیار بالا",IF(E140&gt;=20,"بالا",IF(E140&gt;=13,"متوسط",IF(E140&gt;=8,"پایین","بسیار پایین"))))</f>
        <v>بالا</v>
      </c>
      <c r="R140" s="10" t="n">
        <v>291.2</v>
      </c>
      <c r="S140" s="11" t="n">
        <v>0.219</v>
      </c>
      <c r="T140" s="8" t="n">
        <v>91</v>
      </c>
      <c r="U140" s="2" t="s">
        <v>45</v>
      </c>
      <c r="V140" s="2" t="s">
        <v>236</v>
      </c>
      <c r="W140" s="2" t="n">
        <v>0.99</v>
      </c>
      <c r="X140" s="12" t="s">
        <v>46</v>
      </c>
    </row>
    <row r="141" customFormat="false" ht="16.4" hidden="false" customHeight="false" outlineLevel="0" collapsed="false">
      <c r="A141" s="2" t="n">
        <v>140</v>
      </c>
      <c r="B141" s="2" t="n">
        <v>8</v>
      </c>
      <c r="C141" s="2" t="s">
        <v>139</v>
      </c>
      <c r="D141" s="8" t="n">
        <v>30372</v>
      </c>
      <c r="E141" s="9" t="n">
        <v>21.42</v>
      </c>
      <c r="F141" s="9" t="n">
        <v>20.79</v>
      </c>
      <c r="G141" s="9" t="n">
        <v>22.02</v>
      </c>
      <c r="H141" s="9" t="n">
        <v>18.4</v>
      </c>
      <c r="I141" s="9" t="n">
        <f aca="false">E141-H141</f>
        <v>3.02</v>
      </c>
      <c r="J141" s="8" t="n">
        <f aca="false">ROUND(D141*E141/100,0)</f>
        <v>6506</v>
      </c>
      <c r="K141" s="9" t="n">
        <v>34.15</v>
      </c>
      <c r="L141" s="9" t="n">
        <v>34.17</v>
      </c>
      <c r="M141" s="9" t="n">
        <v>97.37</v>
      </c>
      <c r="N141" s="9" t="n">
        <v>74.55</v>
      </c>
      <c r="O141" s="9" t="n">
        <v>33.77</v>
      </c>
      <c r="P141" s="2" t="n">
        <f aca="false">RANK(E141,$E$2:$E$350,0)</f>
        <v>104</v>
      </c>
      <c r="Q141" s="2" t="str">
        <f aca="false">IF(E141&gt;=30,"بسیار بالا",IF(E141&gt;=20,"بالا",IF(E141&gt;=13,"متوسط",IF(E141&gt;=8,"پایین","بسیار پایین"))))</f>
        <v>بالا</v>
      </c>
      <c r="R141" s="10" t="n">
        <v>273.8</v>
      </c>
      <c r="S141" s="11" t="n">
        <v>0.145</v>
      </c>
      <c r="T141" s="8" t="n">
        <v>92</v>
      </c>
      <c r="U141" s="2" t="s">
        <v>45</v>
      </c>
      <c r="V141" s="2" t="s">
        <v>139</v>
      </c>
      <c r="W141" s="2" t="n">
        <v>0.99</v>
      </c>
      <c r="X141" s="12" t="s">
        <v>46</v>
      </c>
    </row>
    <row r="142" customFormat="false" ht="16.4" hidden="false" customHeight="false" outlineLevel="0" collapsed="false">
      <c r="A142" s="2" t="n">
        <v>141</v>
      </c>
      <c r="B142" s="2" t="n">
        <v>8</v>
      </c>
      <c r="C142" s="2" t="s">
        <v>237</v>
      </c>
      <c r="D142" s="8" t="n">
        <v>40134</v>
      </c>
      <c r="E142" s="9" t="n">
        <v>20.63</v>
      </c>
      <c r="F142" s="9" t="n">
        <v>20.18</v>
      </c>
      <c r="G142" s="9" t="n">
        <v>21.05</v>
      </c>
      <c r="H142" s="9" t="n">
        <v>18.4</v>
      </c>
      <c r="I142" s="9" t="n">
        <f aca="false">E142-H142</f>
        <v>2.23</v>
      </c>
      <c r="J142" s="8" t="n">
        <f aca="false">ROUND(D142*E142/100,0)</f>
        <v>8280</v>
      </c>
      <c r="K142" s="9" t="n">
        <v>33.09</v>
      </c>
      <c r="L142" s="9" t="n">
        <v>33.29</v>
      </c>
      <c r="M142" s="9" t="n">
        <v>97.28</v>
      </c>
      <c r="N142" s="9" t="n">
        <v>73.24</v>
      </c>
      <c r="O142" s="9" t="n">
        <v>32.81</v>
      </c>
      <c r="P142" s="2" t="n">
        <f aca="false">RANK(E142,$E$2:$E$350,0)</f>
        <v>109</v>
      </c>
      <c r="Q142" s="2" t="str">
        <f aca="false">IF(E142&gt;=30,"بسیار بالا",IF(E142&gt;=20,"بالا",IF(E142&gt;=13,"متوسط",IF(E142&gt;=8,"پایین","بسیار پایین"))))</f>
        <v>بالا</v>
      </c>
      <c r="R142" s="10" t="n">
        <v>267.3</v>
      </c>
      <c r="S142" s="11" t="n">
        <v>0.112</v>
      </c>
      <c r="T142" s="8" t="n">
        <v>89</v>
      </c>
      <c r="U142" s="2" t="s">
        <v>45</v>
      </c>
      <c r="V142" s="2" t="s">
        <v>237</v>
      </c>
      <c r="W142" s="2" t="n">
        <v>0.99</v>
      </c>
      <c r="X142" s="12" t="s">
        <v>46</v>
      </c>
    </row>
    <row r="143" customFormat="false" ht="16.4" hidden="false" customHeight="false" outlineLevel="0" collapsed="false">
      <c r="A143" s="2" t="n">
        <v>142</v>
      </c>
      <c r="B143" s="2" t="n">
        <v>8</v>
      </c>
      <c r="C143" s="2" t="s">
        <v>238</v>
      </c>
      <c r="D143" s="8" t="n">
        <v>30387</v>
      </c>
      <c r="E143" s="9" t="n">
        <v>19.91</v>
      </c>
      <c r="F143" s="9" t="n">
        <v>19.63</v>
      </c>
      <c r="G143" s="9" t="n">
        <v>20.17</v>
      </c>
      <c r="H143" s="9" t="n">
        <v>18.4</v>
      </c>
      <c r="I143" s="9" t="n">
        <f aca="false">E143-H143</f>
        <v>1.51</v>
      </c>
      <c r="J143" s="8" t="n">
        <f aca="false">ROUND(D143*E143/100,0)</f>
        <v>6050</v>
      </c>
      <c r="K143" s="9" t="n">
        <v>32.12</v>
      </c>
      <c r="L143" s="9" t="n">
        <v>32.48</v>
      </c>
      <c r="M143" s="9" t="n">
        <v>97.19</v>
      </c>
      <c r="N143" s="9" t="n">
        <v>71.98</v>
      </c>
      <c r="O143" s="9" t="n">
        <v>31.93</v>
      </c>
      <c r="P143" s="2" t="n">
        <f aca="false">RANK(E143,$E$2:$E$350,0)</f>
        <v>119</v>
      </c>
      <c r="Q143" s="2" t="str">
        <f aca="false">IF(E143&gt;=30,"بسیار بالا",IF(E143&gt;=20,"بالا",IF(E143&gt;=13,"متوسط",IF(E143&gt;=8,"پایین","بسیار پایین"))))</f>
        <v>متوسط</v>
      </c>
      <c r="R143" s="10" t="n">
        <v>245.4</v>
      </c>
      <c r="S143" s="11" t="n">
        <v>0.081</v>
      </c>
      <c r="T143" s="8" t="n">
        <v>90</v>
      </c>
      <c r="U143" s="2" t="s">
        <v>45</v>
      </c>
      <c r="V143" s="2" t="s">
        <v>238</v>
      </c>
      <c r="W143" s="2" t="n">
        <v>0.99</v>
      </c>
      <c r="X143" s="12" t="s">
        <v>46</v>
      </c>
    </row>
    <row r="144" customFormat="false" ht="16.4" hidden="false" customHeight="false" outlineLevel="0" collapsed="false">
      <c r="A144" s="2" t="n">
        <v>143</v>
      </c>
      <c r="B144" s="2" t="n">
        <v>8</v>
      </c>
      <c r="C144" s="2" t="s">
        <v>239</v>
      </c>
      <c r="D144" s="8" t="n">
        <v>56763</v>
      </c>
      <c r="E144" s="9" t="n">
        <v>19.06</v>
      </c>
      <c r="F144" s="9" t="n">
        <v>18.96</v>
      </c>
      <c r="G144" s="9" t="n">
        <v>19.13</v>
      </c>
      <c r="H144" s="9" t="n">
        <v>18.4</v>
      </c>
      <c r="I144" s="9" t="n">
        <f aca="false">E144-H144</f>
        <v>0.66</v>
      </c>
      <c r="J144" s="8" t="n">
        <f aca="false">ROUND(D144*E144/100,0)</f>
        <v>10819</v>
      </c>
      <c r="K144" s="9" t="n">
        <v>30.95</v>
      </c>
      <c r="L144" s="9" t="n">
        <v>31.52</v>
      </c>
      <c r="M144" s="9" t="n">
        <v>97.08</v>
      </c>
      <c r="N144" s="9" t="n">
        <v>70.4</v>
      </c>
      <c r="O144" s="9" t="n">
        <v>30.87</v>
      </c>
      <c r="P144" s="2" t="n">
        <f aca="false">RANK(E144,$E$2:$E$350,0)</f>
        <v>127</v>
      </c>
      <c r="Q144" s="2" t="str">
        <f aca="false">IF(E144&gt;=30,"بسیار بالا",IF(E144&gt;=20,"بالا",IF(E144&gt;=13,"متوسط",IF(E144&gt;=8,"پایین","بسیار پایین"))))</f>
        <v>متوسط</v>
      </c>
      <c r="R144" s="10" t="n">
        <v>292.9</v>
      </c>
      <c r="S144" s="11" t="n">
        <v>0.043</v>
      </c>
      <c r="T144" s="8" t="n">
        <v>174</v>
      </c>
      <c r="U144" s="2" t="s">
        <v>54</v>
      </c>
      <c r="V144" s="2" t="s">
        <v>240</v>
      </c>
      <c r="W144" s="2" t="n">
        <v>0.99</v>
      </c>
      <c r="X144" s="12" t="s">
        <v>46</v>
      </c>
    </row>
    <row r="145" customFormat="false" ht="16.4" hidden="false" customHeight="false" outlineLevel="0" collapsed="false">
      <c r="A145" s="2" t="n">
        <v>144</v>
      </c>
      <c r="B145" s="2" t="n">
        <v>8</v>
      </c>
      <c r="C145" s="2" t="s">
        <v>241</v>
      </c>
      <c r="D145" s="8" t="n">
        <v>18836</v>
      </c>
      <c r="E145" s="9" t="n">
        <v>17.62</v>
      </c>
      <c r="F145" s="9" t="n">
        <v>17.39</v>
      </c>
      <c r="G145" s="9" t="n">
        <v>17.83</v>
      </c>
      <c r="H145" s="9" t="n">
        <v>18.4</v>
      </c>
      <c r="I145" s="9" t="n">
        <f aca="false">E145-H145</f>
        <v>-0.779999999999998</v>
      </c>
      <c r="J145" s="8" t="n">
        <f aca="false">ROUND(D145*E145/100,0)</f>
        <v>3319</v>
      </c>
      <c r="K145" s="9" t="n">
        <v>28.93</v>
      </c>
      <c r="L145" s="9" t="n">
        <v>29.83</v>
      </c>
      <c r="M145" s="9" t="n">
        <v>96.87</v>
      </c>
      <c r="N145" s="9" t="n">
        <v>67.45</v>
      </c>
      <c r="O145" s="9" t="n">
        <v>29.04</v>
      </c>
      <c r="P145" s="2" t="n">
        <f aca="false">RANK(E145,$E$2:$E$350,0)</f>
        <v>142</v>
      </c>
      <c r="Q145" s="2" t="str">
        <f aca="false">IF(E145&gt;=30,"بسیار بالا",IF(E145&gt;=20,"بالا",IF(E145&gt;=13,"متوسط",IF(E145&gt;=8,"پایین","بسیار پایین"))))</f>
        <v>متوسط</v>
      </c>
      <c r="R145" s="10" t="n">
        <v>242.5</v>
      </c>
      <c r="S145" s="11" t="n">
        <v>-0.025</v>
      </c>
      <c r="T145" s="8" t="n">
        <v>86</v>
      </c>
      <c r="U145" s="2" t="s">
        <v>45</v>
      </c>
      <c r="V145" s="2" t="s">
        <v>241</v>
      </c>
      <c r="W145" s="2" t="n">
        <v>0.99</v>
      </c>
      <c r="X145" s="12" t="s">
        <v>46</v>
      </c>
    </row>
    <row r="146" customFormat="false" ht="16.4" hidden="false" customHeight="false" outlineLevel="0" collapsed="false">
      <c r="A146" s="2" t="n">
        <v>145</v>
      </c>
      <c r="B146" s="2" t="n">
        <v>8</v>
      </c>
      <c r="C146" s="2" t="s">
        <v>242</v>
      </c>
      <c r="D146" s="8" t="n">
        <v>53078</v>
      </c>
      <c r="E146" s="9" t="n">
        <v>17.42</v>
      </c>
      <c r="F146" s="9" t="n">
        <v>17.16</v>
      </c>
      <c r="G146" s="9" t="n">
        <v>17.67</v>
      </c>
      <c r="H146" s="9" t="n">
        <v>18.4</v>
      </c>
      <c r="I146" s="9" t="n">
        <f aca="false">E146-H146</f>
        <v>-0.979999999999997</v>
      </c>
      <c r="J146" s="8" t="n">
        <f aca="false">ROUND(D146*E146/100,0)</f>
        <v>9246</v>
      </c>
      <c r="K146" s="9" t="n">
        <v>28.66</v>
      </c>
      <c r="L146" s="9" t="n">
        <v>29.6</v>
      </c>
      <c r="M146" s="9" t="n">
        <v>96.84</v>
      </c>
      <c r="N146" s="9" t="n">
        <v>67.03</v>
      </c>
      <c r="O146" s="9" t="n">
        <v>28.79</v>
      </c>
      <c r="P146" s="2" t="n">
        <f aca="false">RANK(E146,$E$2:$E$350,0)</f>
        <v>144</v>
      </c>
      <c r="Q146" s="2" t="str">
        <f aca="false">IF(E146&gt;=30,"بسیار بالا",IF(E146&gt;=20,"بالا",IF(E146&gt;=13,"متوسط",IF(E146&gt;=8,"پایین","بسیار پایین"))))</f>
        <v>متوسط</v>
      </c>
      <c r="R146" s="10" t="n">
        <v>231.9</v>
      </c>
      <c r="S146" s="11" t="n">
        <v>-0.034</v>
      </c>
      <c r="T146" s="8" t="n">
        <v>91</v>
      </c>
      <c r="U146" s="2" t="s">
        <v>45</v>
      </c>
      <c r="V146" s="2" t="s">
        <v>242</v>
      </c>
      <c r="W146" s="2" t="n">
        <v>0.99</v>
      </c>
      <c r="X146" s="12" t="s">
        <v>46</v>
      </c>
    </row>
    <row r="147" customFormat="false" ht="16.4" hidden="false" customHeight="false" outlineLevel="0" collapsed="false">
      <c r="A147" s="2" t="n">
        <v>146</v>
      </c>
      <c r="B147" s="2" t="n">
        <v>8</v>
      </c>
      <c r="C147" s="2" t="s">
        <v>243</v>
      </c>
      <c r="D147" s="8" t="n">
        <v>23983</v>
      </c>
      <c r="E147" s="9" t="n">
        <v>14.89</v>
      </c>
      <c r="F147" s="9" t="n">
        <v>14.17</v>
      </c>
      <c r="G147" s="9" t="n">
        <v>15.63</v>
      </c>
      <c r="H147" s="9" t="n">
        <v>18.4</v>
      </c>
      <c r="I147" s="9" t="n">
        <f aca="false">E147-H147</f>
        <v>-3.51</v>
      </c>
      <c r="J147" s="8" t="n">
        <f aca="false">ROUND(D147*E147/100,0)</f>
        <v>3571</v>
      </c>
      <c r="K147" s="9" t="n">
        <v>24.99</v>
      </c>
      <c r="L147" s="9" t="n">
        <v>26.5</v>
      </c>
      <c r="M147" s="9" t="n">
        <v>96.38</v>
      </c>
      <c r="N147" s="9" t="n">
        <v>60.88</v>
      </c>
      <c r="O147" s="9" t="n">
        <v>25.44</v>
      </c>
      <c r="P147" s="2" t="n">
        <f aca="false">RANK(E147,$E$2:$E$350,0)</f>
        <v>186</v>
      </c>
      <c r="Q147" s="2" t="str">
        <f aca="false">IF(E147&gt;=30,"بسیار بالا",IF(E147&gt;=20,"بالا",IF(E147&gt;=13,"متوسط",IF(E147&gt;=8,"پایین","بسیار پایین"))))</f>
        <v>متوسط</v>
      </c>
      <c r="R147" s="10" t="n">
        <v>194.5</v>
      </c>
      <c r="S147" s="11" t="n">
        <v>-0.165</v>
      </c>
      <c r="T147" s="8" t="n">
        <v>91</v>
      </c>
      <c r="U147" s="2" t="s">
        <v>45</v>
      </c>
      <c r="V147" s="2" t="s">
        <v>243</v>
      </c>
      <c r="W147" s="2" t="n">
        <v>0.99</v>
      </c>
      <c r="X147" s="12" t="s">
        <v>46</v>
      </c>
    </row>
    <row r="148" customFormat="false" ht="16.4" hidden="false" customHeight="false" outlineLevel="0" collapsed="false">
      <c r="A148" s="2" t="n">
        <v>147</v>
      </c>
      <c r="B148" s="2" t="n">
        <v>8</v>
      </c>
      <c r="C148" s="2" t="s">
        <v>244</v>
      </c>
      <c r="D148" s="8" t="n">
        <v>26773</v>
      </c>
      <c r="E148" s="9" t="n">
        <v>14.16</v>
      </c>
      <c r="F148" s="9" t="n">
        <v>13.32</v>
      </c>
      <c r="G148" s="9" t="n">
        <v>15.03</v>
      </c>
      <c r="H148" s="9" t="n">
        <v>18.4</v>
      </c>
      <c r="I148" s="9" t="n">
        <f aca="false">E148-H148</f>
        <v>-4.24</v>
      </c>
      <c r="J148" s="8" t="n">
        <f aca="false">ROUND(D148*E148/100,0)</f>
        <v>3791</v>
      </c>
      <c r="K148" s="9" t="n">
        <v>23.9</v>
      </c>
      <c r="L148" s="9" t="n">
        <v>25.56</v>
      </c>
      <c r="M148" s="9" t="n">
        <v>96.23</v>
      </c>
      <c r="N148" s="9" t="n">
        <v>58.85</v>
      </c>
      <c r="O148" s="9" t="n">
        <v>24.44</v>
      </c>
      <c r="P148" s="2" t="n">
        <f aca="false">RANK(E148,$E$2:$E$350,0)</f>
        <v>198</v>
      </c>
      <c r="Q148" s="2" t="str">
        <f aca="false">IF(E148&gt;=30,"بسیار بالا",IF(E148&gt;=20,"بالا",IF(E148&gt;=13,"متوسط",IF(E148&gt;=8,"پایین","بسیار پایین"))))</f>
        <v>متوسط</v>
      </c>
      <c r="R148" s="10" t="n">
        <v>195.2</v>
      </c>
      <c r="S148" s="11" t="n">
        <v>-0.207</v>
      </c>
      <c r="T148" s="8" t="n">
        <v>86</v>
      </c>
      <c r="U148" s="2" t="s">
        <v>54</v>
      </c>
      <c r="V148" s="2" t="s">
        <v>245</v>
      </c>
      <c r="W148" s="2" t="n">
        <v>0.99</v>
      </c>
      <c r="X148" s="12" t="s">
        <v>46</v>
      </c>
    </row>
    <row r="149" customFormat="false" ht="16.4" hidden="false" customHeight="false" outlineLevel="0" collapsed="false">
      <c r="A149" s="2" t="n">
        <v>148</v>
      </c>
      <c r="B149" s="2" t="n">
        <v>8</v>
      </c>
      <c r="C149" s="2" t="s">
        <v>246</v>
      </c>
      <c r="D149" s="8" t="n">
        <v>17296</v>
      </c>
      <c r="E149" s="9" t="n">
        <v>14.16</v>
      </c>
      <c r="F149" s="9" t="n">
        <v>13.32</v>
      </c>
      <c r="G149" s="9" t="n">
        <v>15.03</v>
      </c>
      <c r="H149" s="9" t="n">
        <v>18.4</v>
      </c>
      <c r="I149" s="9" t="n">
        <f aca="false">E149-H149</f>
        <v>-4.24</v>
      </c>
      <c r="J149" s="8" t="n">
        <f aca="false">ROUND(D149*E149/100,0)</f>
        <v>2449</v>
      </c>
      <c r="K149" s="9" t="n">
        <v>23.9</v>
      </c>
      <c r="L149" s="9" t="n">
        <v>25.56</v>
      </c>
      <c r="M149" s="9" t="n">
        <v>96.23</v>
      </c>
      <c r="N149" s="9" t="n">
        <v>58.85</v>
      </c>
      <c r="O149" s="9" t="n">
        <v>24.44</v>
      </c>
      <c r="P149" s="2" t="n">
        <f aca="false">RANK(E149,$E$2:$E$350,0)</f>
        <v>198</v>
      </c>
      <c r="Q149" s="2" t="str">
        <f aca="false">IF(E149&gt;=30,"بسیار بالا",IF(E149&gt;=20,"بالا",IF(E149&gt;=13,"متوسط",IF(E149&gt;=8,"پایین","بسیار پایین"))))</f>
        <v>متوسط</v>
      </c>
      <c r="R149" s="10" t="n">
        <v>195.2</v>
      </c>
      <c r="S149" s="11" t="n">
        <v>-0.207</v>
      </c>
      <c r="T149" s="8" t="n">
        <v>86</v>
      </c>
      <c r="U149" s="2" t="s">
        <v>54</v>
      </c>
      <c r="V149" s="2" t="s">
        <v>245</v>
      </c>
      <c r="W149" s="2" t="n">
        <v>0.99</v>
      </c>
      <c r="X149" s="12" t="s">
        <v>46</v>
      </c>
    </row>
    <row r="150" customFormat="false" ht="16.4" hidden="false" customHeight="false" outlineLevel="0" collapsed="false">
      <c r="A150" s="2" t="n">
        <v>149</v>
      </c>
      <c r="B150" s="2" t="n">
        <v>8</v>
      </c>
      <c r="C150" s="2" t="s">
        <v>247</v>
      </c>
      <c r="D150" s="8" t="n">
        <v>22549</v>
      </c>
      <c r="E150" s="9" t="n">
        <v>13.84</v>
      </c>
      <c r="F150" s="9" t="n">
        <v>12.95</v>
      </c>
      <c r="G150" s="9" t="n">
        <v>14.77</v>
      </c>
      <c r="H150" s="9" t="n">
        <v>18.4</v>
      </c>
      <c r="I150" s="9" t="n">
        <f aca="false">E150-H150</f>
        <v>-4.56</v>
      </c>
      <c r="J150" s="8" t="n">
        <f aca="false">ROUND(D150*E150/100,0)</f>
        <v>3121</v>
      </c>
      <c r="K150" s="9" t="n">
        <v>23.43</v>
      </c>
      <c r="L150" s="9" t="n">
        <v>25.16</v>
      </c>
      <c r="M150" s="9" t="n">
        <v>96.16</v>
      </c>
      <c r="N150" s="9" t="n">
        <v>57.95</v>
      </c>
      <c r="O150" s="9" t="n">
        <v>24.01</v>
      </c>
      <c r="P150" s="2" t="n">
        <f aca="false">RANK(E150,$E$2:$E$350,0)</f>
        <v>203</v>
      </c>
      <c r="Q150" s="2" t="str">
        <f aca="false">IF(E150&gt;=30,"بسیار بالا",IF(E150&gt;=20,"بالا",IF(E150&gt;=13,"متوسط",IF(E150&gt;=8,"پایین","بسیار پایین"))))</f>
        <v>متوسط</v>
      </c>
      <c r="R150" s="10" t="n">
        <v>188.1</v>
      </c>
      <c r="S150" s="11" t="n">
        <v>-0.225</v>
      </c>
      <c r="T150" s="8" t="n">
        <v>84</v>
      </c>
      <c r="U150" s="2" t="s">
        <v>45</v>
      </c>
      <c r="V150" s="2" t="s">
        <v>247</v>
      </c>
      <c r="W150" s="2" t="n">
        <v>0.99</v>
      </c>
      <c r="X150" s="12" t="s">
        <v>46</v>
      </c>
    </row>
    <row r="151" customFormat="false" ht="16.4" hidden="false" customHeight="false" outlineLevel="0" collapsed="false">
      <c r="A151" s="2" t="n">
        <v>150</v>
      </c>
      <c r="B151" s="2" t="n">
        <v>8</v>
      </c>
      <c r="C151" s="2" t="s">
        <v>248</v>
      </c>
      <c r="D151" s="8" t="n">
        <v>35048</v>
      </c>
      <c r="E151" s="9" t="n">
        <v>12.9</v>
      </c>
      <c r="F151" s="9" t="n">
        <v>11.88</v>
      </c>
      <c r="G151" s="9" t="n">
        <v>13.98</v>
      </c>
      <c r="H151" s="9" t="n">
        <v>18.4</v>
      </c>
      <c r="I151" s="9" t="n">
        <f aca="false">E151-H151</f>
        <v>-5.5</v>
      </c>
      <c r="J151" s="8" t="n">
        <f aca="false">ROUND(D151*E151/100,0)</f>
        <v>4521</v>
      </c>
      <c r="K151" s="9" t="n">
        <v>22</v>
      </c>
      <c r="L151" s="9" t="n">
        <v>23.92</v>
      </c>
      <c r="M151" s="9" t="n">
        <v>95.93</v>
      </c>
      <c r="N151" s="9" t="n">
        <v>55.09</v>
      </c>
      <c r="O151" s="9" t="n">
        <v>22.69</v>
      </c>
      <c r="P151" s="2" t="n">
        <f aca="false">RANK(E151,$E$2:$E$350,0)</f>
        <v>212</v>
      </c>
      <c r="Q151" s="2" t="str">
        <f aca="false">IF(E151&gt;=30,"بسیار بالا",IF(E151&gt;=20,"بالا",IF(E151&gt;=13,"متوسط",IF(E151&gt;=8,"پایین","بسیار پایین"))))</f>
        <v>پایین</v>
      </c>
      <c r="R151" s="10" t="n">
        <v>180.8</v>
      </c>
      <c r="S151" s="11" t="n">
        <v>-0.282</v>
      </c>
      <c r="T151" s="8" t="n">
        <v>86</v>
      </c>
      <c r="U151" s="2" t="s">
        <v>45</v>
      </c>
      <c r="V151" s="2" t="s">
        <v>248</v>
      </c>
      <c r="W151" s="2" t="n">
        <v>0.99</v>
      </c>
      <c r="X151" s="12" t="s">
        <v>46</v>
      </c>
    </row>
    <row r="152" customFormat="false" ht="16.4" hidden="false" customHeight="false" outlineLevel="0" collapsed="false">
      <c r="A152" s="2" t="n">
        <v>151</v>
      </c>
      <c r="B152" s="2" t="n">
        <v>9</v>
      </c>
      <c r="C152" s="2" t="s">
        <v>249</v>
      </c>
      <c r="D152" s="8" t="n">
        <v>5538</v>
      </c>
      <c r="E152" s="9" t="n">
        <v>15.12</v>
      </c>
      <c r="F152" s="9" t="n">
        <v>14.57</v>
      </c>
      <c r="G152" s="9" t="n">
        <v>15.69</v>
      </c>
      <c r="H152" s="9" t="n">
        <v>12.6</v>
      </c>
      <c r="I152" s="9" t="n">
        <f aca="false">E152-H152</f>
        <v>2.52</v>
      </c>
      <c r="J152" s="8" t="n">
        <f aca="false">ROUND(D152*E152/100,0)</f>
        <v>837</v>
      </c>
      <c r="K152" s="9" t="n">
        <v>29.1</v>
      </c>
      <c r="L152" s="9" t="n">
        <v>26.92</v>
      </c>
      <c r="M152" s="9" t="n">
        <v>96.25</v>
      </c>
      <c r="N152" s="9" t="n">
        <v>59.29</v>
      </c>
      <c r="O152" s="9" t="n">
        <v>27.38</v>
      </c>
      <c r="P152" s="2" t="n">
        <f aca="false">RANK(E152,$E$2:$E$350,0)</f>
        <v>178</v>
      </c>
      <c r="Q152" s="2" t="str">
        <f aca="false">IF(E152&gt;=30,"بسیار بالا",IF(E152&gt;=20,"بالا",IF(E152&gt;=13,"متوسط",IF(E152&gt;=8,"پایین","بسیار پایین"))))</f>
        <v>متوسط</v>
      </c>
      <c r="R152" s="10" t="n">
        <v>207.5</v>
      </c>
      <c r="S152" s="11" t="n">
        <v>0.153</v>
      </c>
      <c r="T152" s="8" t="n">
        <v>2</v>
      </c>
      <c r="U152" s="2" t="s">
        <v>45</v>
      </c>
      <c r="V152" s="2" t="s">
        <v>249</v>
      </c>
      <c r="W152" s="2" t="n">
        <v>0.71</v>
      </c>
      <c r="X152" s="12" t="s">
        <v>112</v>
      </c>
    </row>
    <row r="153" customFormat="false" ht="16.4" hidden="false" customHeight="false" outlineLevel="0" collapsed="false">
      <c r="A153" s="2" t="n">
        <v>152</v>
      </c>
      <c r="B153" s="2" t="n">
        <v>9</v>
      </c>
      <c r="C153" s="2" t="s">
        <v>250</v>
      </c>
      <c r="D153" s="8" t="n">
        <v>22087</v>
      </c>
      <c r="E153" s="9" t="n">
        <v>14.24</v>
      </c>
      <c r="F153" s="9" t="n">
        <v>13.89</v>
      </c>
      <c r="G153" s="9" t="n">
        <v>14.59</v>
      </c>
      <c r="H153" s="9" t="n">
        <v>12.6</v>
      </c>
      <c r="I153" s="9" t="n">
        <f aca="false">E153-H153</f>
        <v>1.64</v>
      </c>
      <c r="J153" s="8" t="n">
        <f aca="false">ROUND(D153*E153/100,0)</f>
        <v>3145</v>
      </c>
      <c r="K153" s="9" t="n">
        <v>27.67</v>
      </c>
      <c r="L153" s="9" t="n">
        <v>25.8</v>
      </c>
      <c r="M153" s="9" t="n">
        <v>96.05</v>
      </c>
      <c r="N153" s="9" t="n">
        <v>56.84</v>
      </c>
      <c r="O153" s="9" t="n">
        <v>26.13</v>
      </c>
      <c r="P153" s="2" t="n">
        <f aca="false">RANK(E153,$E$2:$E$350,0)</f>
        <v>196</v>
      </c>
      <c r="Q153" s="2" t="str">
        <f aca="false">IF(E153&gt;=30,"بسیار بالا",IF(E153&gt;=20,"بالا",IF(E153&gt;=13,"متوسط",IF(E153&gt;=8,"پایین","بسیار پایین"))))</f>
        <v>متوسط</v>
      </c>
      <c r="R153" s="10" t="n">
        <v>179.4</v>
      </c>
      <c r="S153" s="11" t="n">
        <v>0.103</v>
      </c>
      <c r="T153" s="8" t="n">
        <v>92</v>
      </c>
      <c r="U153" s="2" t="s">
        <v>45</v>
      </c>
      <c r="V153" s="2" t="s">
        <v>250</v>
      </c>
      <c r="W153" s="2" t="n">
        <v>1</v>
      </c>
      <c r="X153" s="12" t="s">
        <v>46</v>
      </c>
    </row>
    <row r="154" customFormat="false" ht="16.4" hidden="false" customHeight="false" outlineLevel="0" collapsed="false">
      <c r="A154" s="2" t="n">
        <v>153</v>
      </c>
      <c r="B154" s="2" t="n">
        <v>9</v>
      </c>
      <c r="C154" s="2" t="s">
        <v>251</v>
      </c>
      <c r="D154" s="8" t="n">
        <v>36394</v>
      </c>
      <c r="E154" s="9" t="n">
        <v>14.2</v>
      </c>
      <c r="F154" s="9" t="n">
        <v>13.86</v>
      </c>
      <c r="G154" s="9" t="n">
        <v>14.55</v>
      </c>
      <c r="H154" s="9" t="n">
        <v>12.6</v>
      </c>
      <c r="I154" s="9" t="n">
        <f aca="false">E154-H154</f>
        <v>1.6</v>
      </c>
      <c r="J154" s="8" t="n">
        <f aca="false">ROUND(D154*E154/100,0)</f>
        <v>5168</v>
      </c>
      <c r="K154" s="9" t="n">
        <v>27.62</v>
      </c>
      <c r="L154" s="9" t="n">
        <v>25.76</v>
      </c>
      <c r="M154" s="9" t="n">
        <v>96.05</v>
      </c>
      <c r="N154" s="9" t="n">
        <v>56.74</v>
      </c>
      <c r="O154" s="9" t="n">
        <v>26.08</v>
      </c>
      <c r="P154" s="2" t="n">
        <f aca="false">RANK(E154,$E$2:$E$350,0)</f>
        <v>197</v>
      </c>
      <c r="Q154" s="2" t="str">
        <f aca="false">IF(E154&gt;=30,"بسیار بالا",IF(E154&gt;=20,"بالا",IF(E154&gt;=13,"متوسط",IF(E154&gt;=8,"پایین","بسیار پایین"))))</f>
        <v>متوسط</v>
      </c>
      <c r="R154" s="10" t="n">
        <v>189</v>
      </c>
      <c r="S154" s="11" t="n">
        <v>0.102</v>
      </c>
      <c r="T154" s="8" t="n">
        <v>87</v>
      </c>
      <c r="U154" s="2" t="s">
        <v>45</v>
      </c>
      <c r="V154" s="2" t="s">
        <v>251</v>
      </c>
      <c r="W154" s="2" t="n">
        <v>0.98</v>
      </c>
      <c r="X154" s="12" t="s">
        <v>46</v>
      </c>
    </row>
    <row r="155" customFormat="false" ht="16.4" hidden="false" customHeight="false" outlineLevel="0" collapsed="false">
      <c r="A155" s="2" t="n">
        <v>154</v>
      </c>
      <c r="B155" s="2" t="n">
        <v>9</v>
      </c>
      <c r="C155" s="2" t="s">
        <v>252</v>
      </c>
      <c r="D155" s="8" t="n">
        <v>24140</v>
      </c>
      <c r="E155" s="9" t="n">
        <v>12.53</v>
      </c>
      <c r="F155" s="9" t="n">
        <v>12.5</v>
      </c>
      <c r="G155" s="9" t="n">
        <v>12.56</v>
      </c>
      <c r="H155" s="9" t="n">
        <v>12.6</v>
      </c>
      <c r="I155" s="9" t="n">
        <f aca="false">E155-H155</f>
        <v>-0.0700000000000003</v>
      </c>
      <c r="J155" s="8" t="n">
        <f aca="false">ROUND(D155*E155/100,0)</f>
        <v>3025</v>
      </c>
      <c r="K155" s="9" t="n">
        <v>24.82</v>
      </c>
      <c r="L155" s="9" t="n">
        <v>23.54</v>
      </c>
      <c r="M155" s="9" t="n">
        <v>95.62</v>
      </c>
      <c r="N155" s="9" t="n">
        <v>51.61</v>
      </c>
      <c r="O155" s="9" t="n">
        <v>23.63</v>
      </c>
      <c r="P155" s="2" t="n">
        <f aca="false">RANK(E155,$E$2:$E$350,0)</f>
        <v>217</v>
      </c>
      <c r="Q155" s="2" t="str">
        <f aca="false">IF(E155&gt;=30,"بسیار بالا",IF(E155&gt;=20,"بالا",IF(E155&gt;=13,"متوسط",IF(E155&gt;=8,"پایین","بسیار پایین"))))</f>
        <v>پایین</v>
      </c>
      <c r="R155" s="10"/>
      <c r="S155" s="11" t="n">
        <v>0</v>
      </c>
      <c r="T155" s="8" t="n">
        <v>0</v>
      </c>
      <c r="U155" s="2" t="s">
        <v>64</v>
      </c>
      <c r="V155" s="12" t="s">
        <v>65</v>
      </c>
      <c r="W155" s="2" t="n">
        <v>0</v>
      </c>
      <c r="X155" s="12" t="s">
        <v>66</v>
      </c>
    </row>
    <row r="156" customFormat="false" ht="16.4" hidden="false" customHeight="false" outlineLevel="0" collapsed="false">
      <c r="A156" s="2" t="n">
        <v>155</v>
      </c>
      <c r="B156" s="2" t="n">
        <v>9</v>
      </c>
      <c r="C156" s="2" t="s">
        <v>253</v>
      </c>
      <c r="D156" s="8" t="n">
        <v>19790</v>
      </c>
      <c r="E156" s="9" t="n">
        <v>12.53</v>
      </c>
      <c r="F156" s="9" t="n">
        <v>12.5</v>
      </c>
      <c r="G156" s="9" t="n">
        <v>12.56</v>
      </c>
      <c r="H156" s="9" t="n">
        <v>12.6</v>
      </c>
      <c r="I156" s="9" t="n">
        <f aca="false">E156-H156</f>
        <v>-0.0700000000000003</v>
      </c>
      <c r="J156" s="8" t="n">
        <f aca="false">ROUND(D156*E156/100,0)</f>
        <v>2480</v>
      </c>
      <c r="K156" s="9" t="n">
        <v>24.82</v>
      </c>
      <c r="L156" s="9" t="n">
        <v>23.54</v>
      </c>
      <c r="M156" s="9" t="n">
        <v>95.62</v>
      </c>
      <c r="N156" s="9" t="n">
        <v>51.61</v>
      </c>
      <c r="O156" s="9" t="n">
        <v>23.63</v>
      </c>
      <c r="P156" s="2" t="n">
        <f aca="false">RANK(E156,$E$2:$E$350,0)</f>
        <v>217</v>
      </c>
      <c r="Q156" s="2" t="str">
        <f aca="false">IF(E156&gt;=30,"بسیار بالا",IF(E156&gt;=20,"بالا",IF(E156&gt;=13,"متوسط",IF(E156&gt;=8,"پایین","بسیار پایین"))))</f>
        <v>پایین</v>
      </c>
      <c r="R156" s="10"/>
      <c r="S156" s="11" t="n">
        <v>0</v>
      </c>
      <c r="T156" s="8" t="n">
        <v>0</v>
      </c>
      <c r="U156" s="2" t="s">
        <v>64</v>
      </c>
      <c r="V156" s="12" t="s">
        <v>65</v>
      </c>
      <c r="W156" s="2" t="n">
        <v>0</v>
      </c>
      <c r="X156" s="12" t="s">
        <v>66</v>
      </c>
    </row>
    <row r="157" customFormat="false" ht="16.4" hidden="false" customHeight="false" outlineLevel="0" collapsed="false">
      <c r="A157" s="2" t="n">
        <v>156</v>
      </c>
      <c r="B157" s="2" t="n">
        <v>9</v>
      </c>
      <c r="C157" s="2" t="s">
        <v>254</v>
      </c>
      <c r="D157" s="8" t="n">
        <v>86</v>
      </c>
      <c r="E157" s="9" t="n">
        <v>12.53</v>
      </c>
      <c r="F157" s="9" t="n">
        <v>12.5</v>
      </c>
      <c r="G157" s="9" t="n">
        <v>12.56</v>
      </c>
      <c r="H157" s="9" t="n">
        <v>12.6</v>
      </c>
      <c r="I157" s="9" t="n">
        <f aca="false">E157-H157</f>
        <v>-0.0700000000000003</v>
      </c>
      <c r="J157" s="8" t="n">
        <f aca="false">ROUND(D157*E157/100,0)</f>
        <v>11</v>
      </c>
      <c r="K157" s="9" t="n">
        <v>24.82</v>
      </c>
      <c r="L157" s="9" t="n">
        <v>23.54</v>
      </c>
      <c r="M157" s="9" t="n">
        <v>95.62</v>
      </c>
      <c r="N157" s="9" t="n">
        <v>51.61</v>
      </c>
      <c r="O157" s="9" t="n">
        <v>23.63</v>
      </c>
      <c r="P157" s="2" t="n">
        <f aca="false">RANK(E157,$E$2:$E$350,0)</f>
        <v>217</v>
      </c>
      <c r="Q157" s="2" t="str">
        <f aca="false">IF(E157&gt;=30,"بسیار بالا",IF(E157&gt;=20,"بالا",IF(E157&gt;=13,"متوسط",IF(E157&gt;=8,"پایین","بسیار پایین"))))</f>
        <v>پایین</v>
      </c>
      <c r="R157" s="10"/>
      <c r="S157" s="11" t="n">
        <v>0</v>
      </c>
      <c r="T157" s="8" t="n">
        <v>0</v>
      </c>
      <c r="U157" s="2" t="s">
        <v>64</v>
      </c>
      <c r="V157" s="12" t="s">
        <v>65</v>
      </c>
      <c r="W157" s="2" t="n">
        <v>0</v>
      </c>
      <c r="X157" s="12" t="s">
        <v>66</v>
      </c>
    </row>
    <row r="158" customFormat="false" ht="16.4" hidden="false" customHeight="false" outlineLevel="0" collapsed="false">
      <c r="A158" s="2" t="n">
        <v>157</v>
      </c>
      <c r="B158" s="2" t="n">
        <v>9</v>
      </c>
      <c r="C158" s="2" t="s">
        <v>255</v>
      </c>
      <c r="D158" s="8" t="n">
        <v>23885</v>
      </c>
      <c r="E158" s="9" t="n">
        <v>11.38</v>
      </c>
      <c r="F158" s="9" t="n">
        <v>11.11</v>
      </c>
      <c r="G158" s="9" t="n">
        <v>11.64</v>
      </c>
      <c r="H158" s="9" t="n">
        <v>12.6</v>
      </c>
      <c r="I158" s="9" t="n">
        <f aca="false">E158-H158</f>
        <v>-1.22</v>
      </c>
      <c r="J158" s="8" t="n">
        <f aca="false">ROUND(D158*E158/100,0)</f>
        <v>2718</v>
      </c>
      <c r="K158" s="9" t="n">
        <v>22.83</v>
      </c>
      <c r="L158" s="9" t="n">
        <v>21.96</v>
      </c>
      <c r="M158" s="9" t="n">
        <v>95.27</v>
      </c>
      <c r="N158" s="9" t="n">
        <v>47.71</v>
      </c>
      <c r="O158" s="9" t="n">
        <v>21.89</v>
      </c>
      <c r="P158" s="2" t="n">
        <f aca="false">RANK(E158,$E$2:$E$350,0)</f>
        <v>236</v>
      </c>
      <c r="Q158" s="2" t="str">
        <f aca="false">IF(E158&gt;=30,"بسیار بالا",IF(E158&gt;=20,"بالا",IF(E158&gt;=13,"متوسط",IF(E158&gt;=8,"پایین","بسیار پایین"))))</f>
        <v>پایین</v>
      </c>
      <c r="R158" s="10" t="n">
        <v>154.6</v>
      </c>
      <c r="S158" s="11" t="n">
        <v>-0.077</v>
      </c>
      <c r="T158" s="8" t="n">
        <v>89</v>
      </c>
      <c r="U158" s="2" t="s">
        <v>45</v>
      </c>
      <c r="V158" s="2" t="s">
        <v>255</v>
      </c>
      <c r="W158" s="2" t="n">
        <v>1</v>
      </c>
      <c r="X158" s="12" t="s">
        <v>46</v>
      </c>
    </row>
    <row r="159" customFormat="false" ht="16.4" hidden="false" customHeight="false" outlineLevel="0" collapsed="false">
      <c r="A159" s="2" t="n">
        <v>158</v>
      </c>
      <c r="B159" s="2" t="n">
        <v>9</v>
      </c>
      <c r="C159" s="2" t="s">
        <v>256</v>
      </c>
      <c r="D159" s="8" t="n">
        <v>18523</v>
      </c>
      <c r="E159" s="9" t="n">
        <v>10.82</v>
      </c>
      <c r="F159" s="9" t="n">
        <v>10.45</v>
      </c>
      <c r="G159" s="9" t="n">
        <v>11.19</v>
      </c>
      <c r="H159" s="9" t="n">
        <v>12.6</v>
      </c>
      <c r="I159" s="9" t="n">
        <f aca="false">E159-H159</f>
        <v>-1.78</v>
      </c>
      <c r="J159" s="8" t="n">
        <f aca="false">ROUND(D159*E159/100,0)</f>
        <v>2004</v>
      </c>
      <c r="K159" s="9" t="n">
        <v>21.85</v>
      </c>
      <c r="L159" s="9" t="n">
        <v>21.17</v>
      </c>
      <c r="M159" s="9" t="n">
        <v>95.07</v>
      </c>
      <c r="N159" s="9" t="n">
        <v>45.69</v>
      </c>
      <c r="O159" s="9" t="n">
        <v>21.02</v>
      </c>
      <c r="P159" s="2" t="n">
        <f aca="false">RANK(E159,$E$2:$E$350,0)</f>
        <v>242</v>
      </c>
      <c r="Q159" s="2" t="str">
        <f aca="false">IF(E159&gt;=30,"بسیار بالا",IF(E159&gt;=20,"بالا",IF(E159&gt;=13,"متوسط",IF(E159&gt;=8,"پایین","بسیار پایین"))))</f>
        <v>پایین</v>
      </c>
      <c r="R159" s="10" t="n">
        <v>143.1</v>
      </c>
      <c r="S159" s="11" t="n">
        <v>-0.117</v>
      </c>
      <c r="T159" s="8" t="n">
        <v>82</v>
      </c>
      <c r="U159" s="2" t="s">
        <v>45</v>
      </c>
      <c r="V159" s="2" t="s">
        <v>256</v>
      </c>
      <c r="W159" s="2" t="n">
        <v>0.98</v>
      </c>
      <c r="X159" s="12" t="s">
        <v>46</v>
      </c>
    </row>
    <row r="160" customFormat="false" ht="16.4" hidden="false" customHeight="false" outlineLevel="0" collapsed="false">
      <c r="A160" s="2" t="n">
        <v>159</v>
      </c>
      <c r="B160" s="2" t="n">
        <v>9</v>
      </c>
      <c r="C160" s="2" t="s">
        <v>257</v>
      </c>
      <c r="D160" s="8" t="n">
        <v>23672</v>
      </c>
      <c r="E160" s="9" t="n">
        <v>10.77</v>
      </c>
      <c r="F160" s="9" t="n">
        <v>10.4</v>
      </c>
      <c r="G160" s="9" t="n">
        <v>11.15</v>
      </c>
      <c r="H160" s="9" t="n">
        <v>12.6</v>
      </c>
      <c r="I160" s="9" t="n">
        <f aca="false">E160-H160</f>
        <v>-1.83</v>
      </c>
      <c r="J160" s="8" t="n">
        <f aca="false">ROUND(D160*E160/100,0)</f>
        <v>2549</v>
      </c>
      <c r="K160" s="9" t="n">
        <v>21.77</v>
      </c>
      <c r="L160" s="9" t="n">
        <v>21.11</v>
      </c>
      <c r="M160" s="9" t="n">
        <v>95.06</v>
      </c>
      <c r="N160" s="9" t="n">
        <v>45.53</v>
      </c>
      <c r="O160" s="9" t="n">
        <v>20.95</v>
      </c>
      <c r="P160" s="2" t="n">
        <f aca="false">RANK(E160,$E$2:$E$350,0)</f>
        <v>243</v>
      </c>
      <c r="Q160" s="2" t="str">
        <f aca="false">IF(E160&gt;=30,"بسیار بالا",IF(E160&gt;=20,"بالا",IF(E160&gt;=13,"متوسط",IF(E160&gt;=8,"پایین","بسیار پایین"))))</f>
        <v>پایین</v>
      </c>
      <c r="R160" s="10" t="n">
        <v>146.4</v>
      </c>
      <c r="S160" s="11" t="n">
        <v>-0.12</v>
      </c>
      <c r="T160" s="8" t="n">
        <v>78</v>
      </c>
      <c r="U160" s="2" t="s">
        <v>45</v>
      </c>
      <c r="V160" s="2" t="s">
        <v>257</v>
      </c>
      <c r="W160" s="2" t="n">
        <v>0.99</v>
      </c>
      <c r="X160" s="12" t="s">
        <v>46</v>
      </c>
    </row>
    <row r="161" customFormat="false" ht="16.4" hidden="false" customHeight="false" outlineLevel="0" collapsed="false">
      <c r="A161" s="2" t="n">
        <v>160</v>
      </c>
      <c r="B161" s="2" t="n">
        <v>10</v>
      </c>
      <c r="C161" s="2" t="s">
        <v>258</v>
      </c>
      <c r="D161" s="8" t="n">
        <v>26220</v>
      </c>
      <c r="E161" s="9" t="n">
        <v>15.75</v>
      </c>
      <c r="F161" s="9" t="n">
        <v>15.34</v>
      </c>
      <c r="G161" s="9" t="n">
        <v>16.15</v>
      </c>
      <c r="H161" s="9" t="n">
        <v>13.9</v>
      </c>
      <c r="I161" s="9" t="n">
        <f aca="false">E161-H161</f>
        <v>1.85</v>
      </c>
      <c r="J161" s="8" t="n">
        <f aca="false">ROUND(D161*E161/100,0)</f>
        <v>4130</v>
      </c>
      <c r="K161" s="9" t="n">
        <v>27</v>
      </c>
      <c r="L161" s="9" t="n">
        <v>27.77</v>
      </c>
      <c r="M161" s="9" t="n">
        <v>95.33</v>
      </c>
      <c r="N161" s="9" t="n">
        <v>62.27</v>
      </c>
      <c r="O161" s="9" t="n">
        <v>26.2</v>
      </c>
      <c r="P161" s="2" t="n">
        <f aca="false">RANK(E161,$E$2:$E$350,0)</f>
        <v>168</v>
      </c>
      <c r="Q161" s="2" t="str">
        <f aca="false">IF(E161&gt;=30,"بسیار بالا",IF(E161&gt;=20,"بالا",IF(E161&gt;=13,"متوسط",IF(E161&gt;=8,"پایین","بسیار پایین"))))</f>
        <v>متوسط</v>
      </c>
      <c r="R161" s="10" t="n">
        <v>173.8</v>
      </c>
      <c r="S161" s="11" t="n">
        <v>0.105</v>
      </c>
      <c r="T161" s="8" t="n">
        <v>92</v>
      </c>
      <c r="U161" s="2" t="s">
        <v>45</v>
      </c>
      <c r="V161" s="2" t="s">
        <v>258</v>
      </c>
      <c r="W161" s="2" t="n">
        <v>0.99</v>
      </c>
      <c r="X161" s="12" t="s">
        <v>46</v>
      </c>
    </row>
    <row r="162" customFormat="false" ht="16.4" hidden="false" customHeight="false" outlineLevel="0" collapsed="false">
      <c r="A162" s="2" t="n">
        <v>161</v>
      </c>
      <c r="B162" s="2" t="n">
        <v>10</v>
      </c>
      <c r="C162" s="2" t="s">
        <v>259</v>
      </c>
      <c r="D162" s="8" t="n">
        <v>37586</v>
      </c>
      <c r="E162" s="9" t="n">
        <v>15.41</v>
      </c>
      <c r="F162" s="9" t="n">
        <v>15.09</v>
      </c>
      <c r="G162" s="9" t="n">
        <v>15.74</v>
      </c>
      <c r="H162" s="9" t="n">
        <v>13.9</v>
      </c>
      <c r="I162" s="9" t="n">
        <f aca="false">E162-H162</f>
        <v>1.51</v>
      </c>
      <c r="J162" s="8" t="n">
        <f aca="false">ROUND(D162*E162/100,0)</f>
        <v>5792</v>
      </c>
      <c r="K162" s="9" t="n">
        <v>26.51</v>
      </c>
      <c r="L162" s="9" t="n">
        <v>27.35</v>
      </c>
      <c r="M162" s="9" t="n">
        <v>95.24</v>
      </c>
      <c r="N162" s="9" t="n">
        <v>61.41</v>
      </c>
      <c r="O162" s="9" t="n">
        <v>25.76</v>
      </c>
      <c r="P162" s="2" t="n">
        <f aca="false">RANK(E162,$E$2:$E$350,0)</f>
        <v>176</v>
      </c>
      <c r="Q162" s="2" t="str">
        <f aca="false">IF(E162&gt;=30,"بسیار بالا",IF(E162&gt;=20,"بالا",IF(E162&gt;=13,"متوسط",IF(E162&gt;=8,"پایین","بسیار پایین"))))</f>
        <v>متوسط</v>
      </c>
      <c r="R162" s="10" t="n">
        <v>170.7</v>
      </c>
      <c r="S162" s="11" t="n">
        <v>0.087</v>
      </c>
      <c r="T162" s="8" t="n">
        <v>93</v>
      </c>
      <c r="U162" s="2" t="s">
        <v>45</v>
      </c>
      <c r="V162" s="2" t="s">
        <v>259</v>
      </c>
      <c r="W162" s="2" t="n">
        <v>0.99</v>
      </c>
      <c r="X162" s="12" t="s">
        <v>46</v>
      </c>
    </row>
    <row r="163" customFormat="false" ht="16.4" hidden="false" customHeight="false" outlineLevel="0" collapsed="false">
      <c r="A163" s="2" t="n">
        <v>162</v>
      </c>
      <c r="B163" s="2" t="n">
        <v>10</v>
      </c>
      <c r="C163" s="2" t="s">
        <v>260</v>
      </c>
      <c r="D163" s="8" t="n">
        <v>37828</v>
      </c>
      <c r="E163" s="9" t="n">
        <v>14.49</v>
      </c>
      <c r="F163" s="9" t="n">
        <v>14.37</v>
      </c>
      <c r="G163" s="9" t="n">
        <v>14.61</v>
      </c>
      <c r="H163" s="9" t="n">
        <v>13.9</v>
      </c>
      <c r="I163" s="9" t="n">
        <f aca="false">E163-H163</f>
        <v>0.59</v>
      </c>
      <c r="J163" s="8" t="n">
        <f aca="false">ROUND(D163*E163/100,0)</f>
        <v>5481</v>
      </c>
      <c r="K163" s="9" t="n">
        <v>25.12</v>
      </c>
      <c r="L163" s="9" t="n">
        <v>26.19</v>
      </c>
      <c r="M163" s="9" t="n">
        <v>95</v>
      </c>
      <c r="N163" s="9" t="n">
        <v>58.94</v>
      </c>
      <c r="O163" s="9" t="n">
        <v>24.53</v>
      </c>
      <c r="P163" s="2" t="n">
        <f aca="false">RANK(E163,$E$2:$E$350,0)</f>
        <v>192</v>
      </c>
      <c r="Q163" s="2" t="str">
        <f aca="false">IF(E163&gt;=30,"بسیار بالا",IF(E163&gt;=20,"بالا",IF(E163&gt;=13,"متوسط",IF(E163&gt;=8,"پایین","بسیار پایین"))))</f>
        <v>متوسط</v>
      </c>
      <c r="R163" s="10" t="n">
        <v>160.9</v>
      </c>
      <c r="S163" s="11" t="n">
        <v>0.036</v>
      </c>
      <c r="T163" s="8" t="n">
        <v>88</v>
      </c>
      <c r="U163" s="2" t="s">
        <v>45</v>
      </c>
      <c r="V163" s="2" t="s">
        <v>260</v>
      </c>
      <c r="W163" s="2" t="n">
        <v>0.99</v>
      </c>
      <c r="X163" s="12" t="s">
        <v>46</v>
      </c>
    </row>
    <row r="164" customFormat="false" ht="16.4" hidden="false" customHeight="false" outlineLevel="0" collapsed="false">
      <c r="A164" s="2" t="n">
        <v>163</v>
      </c>
      <c r="B164" s="2" t="n">
        <v>10</v>
      </c>
      <c r="C164" s="2" t="s">
        <v>261</v>
      </c>
      <c r="D164" s="8" t="n">
        <v>35984</v>
      </c>
      <c r="E164" s="9" t="n">
        <v>14.49</v>
      </c>
      <c r="F164" s="9" t="n">
        <v>14.37</v>
      </c>
      <c r="G164" s="9" t="n">
        <v>14.61</v>
      </c>
      <c r="H164" s="9" t="n">
        <v>13.9</v>
      </c>
      <c r="I164" s="9" t="n">
        <f aca="false">E164-H164</f>
        <v>0.59</v>
      </c>
      <c r="J164" s="8" t="n">
        <f aca="false">ROUND(D164*E164/100,0)</f>
        <v>5214</v>
      </c>
      <c r="K164" s="9" t="n">
        <v>25.12</v>
      </c>
      <c r="L164" s="9" t="n">
        <v>26.19</v>
      </c>
      <c r="M164" s="9" t="n">
        <v>95</v>
      </c>
      <c r="N164" s="9" t="n">
        <v>58.94</v>
      </c>
      <c r="O164" s="9" t="n">
        <v>24.53</v>
      </c>
      <c r="P164" s="2" t="n">
        <f aca="false">RANK(E164,$E$2:$E$350,0)</f>
        <v>192</v>
      </c>
      <c r="Q164" s="2" t="str">
        <f aca="false">IF(E164&gt;=30,"بسیار بالا",IF(E164&gt;=20,"بالا",IF(E164&gt;=13,"متوسط",IF(E164&gt;=8,"پایین","بسیار پایین"))))</f>
        <v>متوسط</v>
      </c>
      <c r="R164" s="10" t="n">
        <v>160.9</v>
      </c>
      <c r="S164" s="11" t="n">
        <v>0.036</v>
      </c>
      <c r="T164" s="8" t="n">
        <v>88</v>
      </c>
      <c r="U164" s="2" t="s">
        <v>106</v>
      </c>
      <c r="V164" s="2" t="s">
        <v>260</v>
      </c>
      <c r="W164" s="2" t="n">
        <v>0.99</v>
      </c>
      <c r="X164" s="12" t="s">
        <v>50</v>
      </c>
    </row>
    <row r="165" customFormat="false" ht="16.4" hidden="false" customHeight="false" outlineLevel="0" collapsed="false">
      <c r="A165" s="2" t="n">
        <v>164</v>
      </c>
      <c r="B165" s="2" t="n">
        <v>10</v>
      </c>
      <c r="C165" s="2" t="s">
        <v>262</v>
      </c>
      <c r="D165" s="8" t="n">
        <v>27968</v>
      </c>
      <c r="E165" s="9" t="n">
        <v>13.86</v>
      </c>
      <c r="F165" s="9" t="n">
        <v>13.84</v>
      </c>
      <c r="G165" s="9" t="n">
        <v>13.88</v>
      </c>
      <c r="H165" s="9" t="n">
        <v>13.9</v>
      </c>
      <c r="I165" s="9" t="n">
        <f aca="false">E165-H165</f>
        <v>-0.0400000000000009</v>
      </c>
      <c r="J165" s="8" t="n">
        <f aca="false">ROUND(D165*E165/100,0)</f>
        <v>3876</v>
      </c>
      <c r="K165" s="9" t="n">
        <v>24.16</v>
      </c>
      <c r="L165" s="9" t="n">
        <v>25.37</v>
      </c>
      <c r="M165" s="9" t="n">
        <v>94.81</v>
      </c>
      <c r="N165" s="9" t="n">
        <v>57.13</v>
      </c>
      <c r="O165" s="9" t="n">
        <v>23.67</v>
      </c>
      <c r="P165" s="2" t="n">
        <f aca="false">RANK(E165,$E$2:$E$350,0)</f>
        <v>201</v>
      </c>
      <c r="Q165" s="2" t="str">
        <f aca="false">IF(E165&gt;=30,"بسیار بالا",IF(E165&gt;=20,"بالا",IF(E165&gt;=13,"متوسط",IF(E165&gt;=8,"پایین","بسیار پایین"))))</f>
        <v>متوسط</v>
      </c>
      <c r="R165" s="10"/>
      <c r="S165" s="11" t="n">
        <v>0</v>
      </c>
      <c r="T165" s="8" t="n">
        <v>0</v>
      </c>
      <c r="U165" s="2" t="s">
        <v>64</v>
      </c>
      <c r="V165" s="12" t="s">
        <v>65</v>
      </c>
      <c r="W165" s="2" t="n">
        <v>0</v>
      </c>
      <c r="X165" s="12" t="s">
        <v>66</v>
      </c>
    </row>
    <row r="166" customFormat="false" ht="16.4" hidden="false" customHeight="false" outlineLevel="0" collapsed="false">
      <c r="A166" s="2" t="n">
        <v>165</v>
      </c>
      <c r="B166" s="2" t="n">
        <v>10</v>
      </c>
      <c r="C166" s="2" t="s">
        <v>263</v>
      </c>
      <c r="D166" s="8" t="n">
        <v>27148</v>
      </c>
      <c r="E166" s="9" t="n">
        <v>13.86</v>
      </c>
      <c r="F166" s="9" t="n">
        <v>13.84</v>
      </c>
      <c r="G166" s="9" t="n">
        <v>13.88</v>
      </c>
      <c r="H166" s="9" t="n">
        <v>13.9</v>
      </c>
      <c r="I166" s="9" t="n">
        <f aca="false">E166-H166</f>
        <v>-0.0400000000000009</v>
      </c>
      <c r="J166" s="8" t="n">
        <f aca="false">ROUND(D166*E166/100,0)</f>
        <v>3763</v>
      </c>
      <c r="K166" s="9" t="n">
        <v>24.16</v>
      </c>
      <c r="L166" s="9" t="n">
        <v>25.37</v>
      </c>
      <c r="M166" s="9" t="n">
        <v>94.81</v>
      </c>
      <c r="N166" s="9" t="n">
        <v>57.13</v>
      </c>
      <c r="O166" s="9" t="n">
        <v>23.67</v>
      </c>
      <c r="P166" s="2" t="n">
        <f aca="false">RANK(E166,$E$2:$E$350,0)</f>
        <v>201</v>
      </c>
      <c r="Q166" s="2" t="str">
        <f aca="false">IF(E166&gt;=30,"بسیار بالا",IF(E166&gt;=20,"بالا",IF(E166&gt;=13,"متوسط",IF(E166&gt;=8,"پایین","بسیار پایین"))))</f>
        <v>متوسط</v>
      </c>
      <c r="R166" s="10"/>
      <c r="S166" s="11" t="n">
        <v>0</v>
      </c>
      <c r="T166" s="8" t="n">
        <v>0</v>
      </c>
      <c r="U166" s="2" t="s">
        <v>64</v>
      </c>
      <c r="V166" s="12" t="s">
        <v>65</v>
      </c>
      <c r="W166" s="2" t="n">
        <v>0</v>
      </c>
      <c r="X166" s="12" t="s">
        <v>66</v>
      </c>
    </row>
    <row r="167" customFormat="false" ht="16.4" hidden="false" customHeight="false" outlineLevel="0" collapsed="false">
      <c r="A167" s="2" t="n">
        <v>166</v>
      </c>
      <c r="B167" s="2" t="n">
        <v>10</v>
      </c>
      <c r="C167" s="2" t="s">
        <v>264</v>
      </c>
      <c r="D167" s="8" t="n">
        <v>38560</v>
      </c>
      <c r="E167" s="9" t="n">
        <v>13.46</v>
      </c>
      <c r="F167" s="9" t="n">
        <v>13.36</v>
      </c>
      <c r="G167" s="9" t="n">
        <v>13.56</v>
      </c>
      <c r="H167" s="9" t="n">
        <v>13.9</v>
      </c>
      <c r="I167" s="9" t="n">
        <f aca="false">E167-H167</f>
        <v>-0.44</v>
      </c>
      <c r="J167" s="8" t="n">
        <f aca="false">ROUND(D167*E167/100,0)</f>
        <v>5190</v>
      </c>
      <c r="K167" s="9" t="n">
        <v>23.54</v>
      </c>
      <c r="L167" s="9" t="n">
        <v>24.84</v>
      </c>
      <c r="M167" s="9" t="n">
        <v>94.68</v>
      </c>
      <c r="N167" s="9" t="n">
        <v>55.93</v>
      </c>
      <c r="O167" s="9" t="n">
        <v>23.11</v>
      </c>
      <c r="P167" s="2" t="n">
        <f aca="false">RANK(E167,$E$2:$E$350,0)</f>
        <v>207</v>
      </c>
      <c r="Q167" s="2" t="str">
        <f aca="false">IF(E167&gt;=30,"بسیار بالا",IF(E167&gt;=20,"بالا",IF(E167&gt;=13,"متوسط",IF(E167&gt;=8,"پایین","بسیار پایین"))))</f>
        <v>متوسط</v>
      </c>
      <c r="R167" s="10" t="n">
        <v>150</v>
      </c>
      <c r="S167" s="11" t="n">
        <v>-0.024</v>
      </c>
      <c r="T167" s="8" t="n">
        <v>92</v>
      </c>
      <c r="U167" s="2" t="s">
        <v>45</v>
      </c>
      <c r="V167" s="2" t="s">
        <v>264</v>
      </c>
      <c r="W167" s="2" t="n">
        <v>0.99</v>
      </c>
      <c r="X167" s="12" t="s">
        <v>46</v>
      </c>
    </row>
    <row r="168" customFormat="false" ht="16.4" hidden="false" customHeight="false" outlineLevel="0" collapsed="false">
      <c r="A168" s="2" t="n">
        <v>167</v>
      </c>
      <c r="B168" s="2" t="n">
        <v>10</v>
      </c>
      <c r="C168" s="2" t="s">
        <v>265</v>
      </c>
      <c r="D168" s="8" t="n">
        <v>44543</v>
      </c>
      <c r="E168" s="9" t="n">
        <v>12.92</v>
      </c>
      <c r="F168" s="9" t="n">
        <v>12.71</v>
      </c>
      <c r="G168" s="9" t="n">
        <v>13.13</v>
      </c>
      <c r="H168" s="9" t="n">
        <v>13.9</v>
      </c>
      <c r="I168" s="9" t="n">
        <f aca="false">E168-H168</f>
        <v>-0.98</v>
      </c>
      <c r="J168" s="8" t="n">
        <f aca="false">ROUND(D168*E168/100,0)</f>
        <v>5755</v>
      </c>
      <c r="K168" s="9" t="n">
        <v>22.7</v>
      </c>
      <c r="L168" s="9" t="n">
        <v>24.12</v>
      </c>
      <c r="M168" s="9" t="n">
        <v>94.51</v>
      </c>
      <c r="N168" s="9" t="n">
        <v>54.26</v>
      </c>
      <c r="O168" s="9" t="n">
        <v>22.36</v>
      </c>
      <c r="P168" s="2" t="n">
        <f aca="false">RANK(E168,$E$2:$E$350,0)</f>
        <v>211</v>
      </c>
      <c r="Q168" s="2" t="str">
        <f aca="false">IF(E168&gt;=30,"بسیار بالا",IF(E168&gt;=20,"بالا",IF(E168&gt;=13,"متوسط",IF(E168&gt;=8,"پایین","بسیار پایین"))))</f>
        <v>پایین</v>
      </c>
      <c r="R168" s="10" t="n">
        <v>141.5</v>
      </c>
      <c r="S168" s="11" t="n">
        <v>-0.057</v>
      </c>
      <c r="T168" s="8" t="n">
        <v>96</v>
      </c>
      <c r="U168" s="2" t="s">
        <v>54</v>
      </c>
      <c r="V168" s="2" t="s">
        <v>266</v>
      </c>
      <c r="W168" s="2" t="n">
        <v>0.99</v>
      </c>
      <c r="X168" s="12" t="s">
        <v>46</v>
      </c>
    </row>
    <row r="169" customFormat="false" ht="16.4" hidden="false" customHeight="false" outlineLevel="0" collapsed="false">
      <c r="A169" s="2" t="n">
        <v>168</v>
      </c>
      <c r="B169" s="2" t="n">
        <v>10</v>
      </c>
      <c r="C169" s="2" t="s">
        <v>267</v>
      </c>
      <c r="D169" s="8" t="n">
        <v>18763</v>
      </c>
      <c r="E169" s="9" t="n">
        <v>12.75</v>
      </c>
      <c r="F169" s="9" t="n">
        <v>12.51</v>
      </c>
      <c r="G169" s="9" t="n">
        <v>13</v>
      </c>
      <c r="H169" s="9" t="n">
        <v>13.9</v>
      </c>
      <c r="I169" s="9" t="n">
        <f aca="false">E169-H169</f>
        <v>-1.15</v>
      </c>
      <c r="J169" s="8" t="n">
        <f aca="false">ROUND(D169*E169/100,0)</f>
        <v>2392</v>
      </c>
      <c r="K169" s="9" t="n">
        <v>22.44</v>
      </c>
      <c r="L169" s="9" t="n">
        <v>23.91</v>
      </c>
      <c r="M169" s="9" t="n">
        <v>94.45</v>
      </c>
      <c r="N169" s="9" t="n">
        <v>53.74</v>
      </c>
      <c r="O169" s="9" t="n">
        <v>22.13</v>
      </c>
      <c r="P169" s="2" t="n">
        <f aca="false">RANK(E169,$E$2:$E$350,0)</f>
        <v>215</v>
      </c>
      <c r="Q169" s="2" t="str">
        <f aca="false">IF(E169&gt;=30,"بسیار بالا",IF(E169&gt;=20,"بالا",IF(E169&gt;=13,"متوسط",IF(E169&gt;=8,"پایین","بسیار پایین"))))</f>
        <v>پایین</v>
      </c>
      <c r="R169" s="10" t="n">
        <v>145.1</v>
      </c>
      <c r="S169" s="11" t="n">
        <v>-0.067</v>
      </c>
      <c r="T169" s="8" t="n">
        <v>94</v>
      </c>
      <c r="U169" s="2" t="s">
        <v>54</v>
      </c>
      <c r="V169" s="2" t="s">
        <v>268</v>
      </c>
      <c r="W169" s="2" t="n">
        <v>1</v>
      </c>
      <c r="X169" s="12" t="s">
        <v>46</v>
      </c>
    </row>
    <row r="170" customFormat="false" ht="16.4" hidden="false" customHeight="false" outlineLevel="0" collapsed="false">
      <c r="A170" s="2" t="n">
        <v>169</v>
      </c>
      <c r="B170" s="2" t="n">
        <v>10</v>
      </c>
      <c r="C170" s="2" t="s">
        <v>269</v>
      </c>
      <c r="D170" s="8" t="n">
        <v>32285</v>
      </c>
      <c r="E170" s="9" t="n">
        <v>11.89</v>
      </c>
      <c r="F170" s="9" t="n">
        <v>11.49</v>
      </c>
      <c r="G170" s="9" t="n">
        <v>12.3</v>
      </c>
      <c r="H170" s="9" t="n">
        <v>13.9</v>
      </c>
      <c r="I170" s="9" t="n">
        <f aca="false">E170-H170</f>
        <v>-2.01</v>
      </c>
      <c r="J170" s="8" t="n">
        <f aca="false">ROUND(D170*E170/100,0)</f>
        <v>3839</v>
      </c>
      <c r="K170" s="9" t="n">
        <v>21.09</v>
      </c>
      <c r="L170" s="9" t="n">
        <v>22.73</v>
      </c>
      <c r="M170" s="9" t="n">
        <v>94.13</v>
      </c>
      <c r="N170" s="9" t="n">
        <v>50.9</v>
      </c>
      <c r="O170" s="9" t="n">
        <v>20.91</v>
      </c>
      <c r="P170" s="2" t="n">
        <f aca="false">RANK(E170,$E$2:$E$350,0)</f>
        <v>221</v>
      </c>
      <c r="Q170" s="2" t="str">
        <f aca="false">IF(E170&gt;=30,"بسیار بالا",IF(E170&gt;=20,"بالا",IF(E170&gt;=13,"متوسط",IF(E170&gt;=8,"پایین","بسیار پایین"))))</f>
        <v>پایین</v>
      </c>
      <c r="R170" s="10" t="n">
        <v>138.5</v>
      </c>
      <c r="S170" s="11" t="n">
        <v>-0.123</v>
      </c>
      <c r="T170" s="8" t="n">
        <v>85</v>
      </c>
      <c r="U170" s="2" t="s">
        <v>45</v>
      </c>
      <c r="V170" s="2" t="s">
        <v>269</v>
      </c>
      <c r="W170" s="2" t="n">
        <v>0.99</v>
      </c>
      <c r="X170" s="12" t="s">
        <v>46</v>
      </c>
    </row>
    <row r="171" customFormat="false" ht="16.4" hidden="false" customHeight="false" outlineLevel="0" collapsed="false">
      <c r="A171" s="2" t="n">
        <v>170</v>
      </c>
      <c r="B171" s="2" t="n">
        <v>11</v>
      </c>
      <c r="C171" s="2" t="s">
        <v>270</v>
      </c>
      <c r="D171" s="8" t="n">
        <v>12711</v>
      </c>
      <c r="E171" s="9" t="n">
        <v>18.98</v>
      </c>
      <c r="F171" s="9" t="n">
        <v>18.11</v>
      </c>
      <c r="G171" s="9" t="n">
        <v>19.86</v>
      </c>
      <c r="H171" s="9" t="n">
        <v>15.1</v>
      </c>
      <c r="I171" s="9" t="n">
        <f aca="false">E171-H171</f>
        <v>3.88</v>
      </c>
      <c r="J171" s="8" t="n">
        <f aca="false">ROUND(D171*E171/100,0)</f>
        <v>2413</v>
      </c>
      <c r="K171" s="9" t="n">
        <v>30.77</v>
      </c>
      <c r="L171" s="9" t="n">
        <v>32.52</v>
      </c>
      <c r="M171" s="9" t="n">
        <v>96.91</v>
      </c>
      <c r="N171" s="9" t="n">
        <v>73.5</v>
      </c>
      <c r="O171" s="9" t="n">
        <v>31.58</v>
      </c>
      <c r="P171" s="2" t="n">
        <f aca="false">RANK(E171,$E$2:$E$350,0)</f>
        <v>131</v>
      </c>
      <c r="Q171" s="2" t="str">
        <f aca="false">IF(E171&gt;=30,"بسیار بالا",IF(E171&gt;=20,"بالا",IF(E171&gt;=13,"متوسط",IF(E171&gt;=8,"پایین","بسیار پایین"))))</f>
        <v>متوسط</v>
      </c>
      <c r="R171" s="10" t="n">
        <v>247.6</v>
      </c>
      <c r="S171" s="11" t="n">
        <v>0.198</v>
      </c>
      <c r="T171" s="8" t="n">
        <v>81</v>
      </c>
      <c r="U171" s="2" t="s">
        <v>45</v>
      </c>
      <c r="V171" s="2" t="s">
        <v>271</v>
      </c>
      <c r="W171" s="2" t="n">
        <v>0.92</v>
      </c>
      <c r="X171" s="12" t="s">
        <v>46</v>
      </c>
    </row>
    <row r="172" customFormat="false" ht="16.4" hidden="false" customHeight="false" outlineLevel="0" collapsed="false">
      <c r="A172" s="2" t="n">
        <v>171</v>
      </c>
      <c r="B172" s="2" t="n">
        <v>11</v>
      </c>
      <c r="C172" s="2" t="s">
        <v>272</v>
      </c>
      <c r="D172" s="8" t="n">
        <v>12927</v>
      </c>
      <c r="E172" s="9" t="n">
        <v>17.47</v>
      </c>
      <c r="F172" s="9" t="n">
        <v>16.96</v>
      </c>
      <c r="G172" s="9" t="n">
        <v>17.98</v>
      </c>
      <c r="H172" s="9" t="n">
        <v>15.1</v>
      </c>
      <c r="I172" s="9" t="n">
        <f aca="false">E172-H172</f>
        <v>2.37</v>
      </c>
      <c r="J172" s="8" t="n">
        <f aca="false">ROUND(D172*E172/100,0)</f>
        <v>2258</v>
      </c>
      <c r="K172" s="9" t="n">
        <v>28.66</v>
      </c>
      <c r="L172" s="9" t="n">
        <v>30.72</v>
      </c>
      <c r="M172" s="9" t="n">
        <v>96.68</v>
      </c>
      <c r="N172" s="9" t="n">
        <v>70.6</v>
      </c>
      <c r="O172" s="9" t="n">
        <v>29.63</v>
      </c>
      <c r="P172" s="2" t="n">
        <f aca="false">RANK(E172,$E$2:$E$350,0)</f>
        <v>143</v>
      </c>
      <c r="Q172" s="2" t="str">
        <f aca="false">IF(E172&gt;=30,"بسیار بالا",IF(E172&gt;=20,"بالا",IF(E172&gt;=13,"متوسط",IF(E172&gt;=8,"پایین","بسیار پایین"))))</f>
        <v>متوسط</v>
      </c>
      <c r="R172" s="10" t="n">
        <v>214.8</v>
      </c>
      <c r="S172" s="11" t="n">
        <v>0.127</v>
      </c>
      <c r="T172" s="8" t="n">
        <v>90</v>
      </c>
      <c r="U172" s="2" t="s">
        <v>45</v>
      </c>
      <c r="V172" s="2" t="s">
        <v>272</v>
      </c>
      <c r="W172" s="2" t="n">
        <v>0.99</v>
      </c>
      <c r="X172" s="12" t="s">
        <v>46</v>
      </c>
    </row>
    <row r="173" customFormat="false" ht="16.4" hidden="false" customHeight="false" outlineLevel="0" collapsed="false">
      <c r="A173" s="2" t="n">
        <v>172</v>
      </c>
      <c r="B173" s="2" t="n">
        <v>11</v>
      </c>
      <c r="C173" s="2" t="s">
        <v>273</v>
      </c>
      <c r="D173" s="8" t="n">
        <v>12321</v>
      </c>
      <c r="E173" s="9" t="n">
        <v>17.36</v>
      </c>
      <c r="F173" s="9" t="n">
        <v>16.87</v>
      </c>
      <c r="G173" s="9" t="n">
        <v>17.84</v>
      </c>
      <c r="H173" s="9" t="n">
        <v>15.1</v>
      </c>
      <c r="I173" s="9" t="n">
        <f aca="false">E173-H173</f>
        <v>2.26</v>
      </c>
      <c r="J173" s="8" t="n">
        <f aca="false">ROUND(D173*E173/100,0)</f>
        <v>2139</v>
      </c>
      <c r="K173" s="9" t="n">
        <v>28.5</v>
      </c>
      <c r="L173" s="9" t="n">
        <v>30.58</v>
      </c>
      <c r="M173" s="9" t="n">
        <v>96.66</v>
      </c>
      <c r="N173" s="9" t="n">
        <v>70.37</v>
      </c>
      <c r="O173" s="9" t="n">
        <v>29.48</v>
      </c>
      <c r="P173" s="2" t="n">
        <f aca="false">RANK(E173,$E$2:$E$350,0)</f>
        <v>145</v>
      </c>
      <c r="Q173" s="2" t="str">
        <f aca="false">IF(E173&gt;=30,"بسیار بالا",IF(E173&gt;=20,"بالا",IF(E173&gt;=13,"متوسط",IF(E173&gt;=8,"پایین","بسیار پایین"))))</f>
        <v>متوسط</v>
      </c>
      <c r="R173" s="10" t="n">
        <v>200</v>
      </c>
      <c r="S173" s="11" t="n">
        <v>0.122</v>
      </c>
      <c r="T173" s="8" t="n">
        <v>89</v>
      </c>
      <c r="U173" s="2" t="s">
        <v>54</v>
      </c>
      <c r="V173" s="2" t="s">
        <v>274</v>
      </c>
      <c r="W173" s="2" t="n">
        <v>0.99</v>
      </c>
      <c r="X173" s="12" t="s">
        <v>46</v>
      </c>
    </row>
    <row r="174" customFormat="false" ht="16.4" hidden="false" customHeight="false" outlineLevel="0" collapsed="false">
      <c r="A174" s="2" t="n">
        <v>173</v>
      </c>
      <c r="B174" s="2" t="n">
        <v>11</v>
      </c>
      <c r="C174" s="2" t="s">
        <v>275</v>
      </c>
      <c r="D174" s="8" t="n">
        <v>12840</v>
      </c>
      <c r="E174" s="9" t="n">
        <v>17.1</v>
      </c>
      <c r="F174" s="9" t="n">
        <v>16.68</v>
      </c>
      <c r="G174" s="9" t="n">
        <v>17.53</v>
      </c>
      <c r="H174" s="9" t="n">
        <v>15.1</v>
      </c>
      <c r="I174" s="9" t="n">
        <f aca="false">E174-H174</f>
        <v>2</v>
      </c>
      <c r="J174" s="8" t="n">
        <f aca="false">ROUND(D174*E174/100,0)</f>
        <v>2196</v>
      </c>
      <c r="K174" s="9" t="n">
        <v>28.14</v>
      </c>
      <c r="L174" s="9" t="n">
        <v>30.27</v>
      </c>
      <c r="M174" s="9" t="n">
        <v>96.62</v>
      </c>
      <c r="N174" s="9" t="n">
        <v>69.83</v>
      </c>
      <c r="O174" s="9" t="n">
        <v>29.15</v>
      </c>
      <c r="P174" s="2" t="n">
        <f aca="false">RANK(E174,$E$2:$E$350,0)</f>
        <v>148</v>
      </c>
      <c r="Q174" s="2" t="str">
        <f aca="false">IF(E174&gt;=30,"بسیار بالا",IF(E174&gt;=20,"بالا",IF(E174&gt;=13,"متوسط",IF(E174&gt;=8,"پایین","بسیار پایین"))))</f>
        <v>متوسط</v>
      </c>
      <c r="R174" s="10" t="n">
        <v>210.3</v>
      </c>
      <c r="S174" s="11" t="n">
        <v>0.109</v>
      </c>
      <c r="T174" s="8" t="n">
        <v>89</v>
      </c>
      <c r="U174" s="2" t="s">
        <v>54</v>
      </c>
      <c r="V174" s="2" t="s">
        <v>211</v>
      </c>
      <c r="W174" s="2" t="n">
        <v>0.99</v>
      </c>
      <c r="X174" s="12" t="s">
        <v>46</v>
      </c>
    </row>
    <row r="175" customFormat="false" ht="16.4" hidden="false" customHeight="false" outlineLevel="0" collapsed="false">
      <c r="A175" s="2" t="n">
        <v>174</v>
      </c>
      <c r="B175" s="2" t="n">
        <v>11</v>
      </c>
      <c r="C175" s="2" t="s">
        <v>276</v>
      </c>
      <c r="D175" s="8" t="n">
        <v>26997</v>
      </c>
      <c r="E175" s="9" t="n">
        <v>16.92</v>
      </c>
      <c r="F175" s="9" t="n">
        <v>16.54</v>
      </c>
      <c r="G175" s="9" t="n">
        <v>17.3</v>
      </c>
      <c r="H175" s="9" t="n">
        <v>15.1</v>
      </c>
      <c r="I175" s="9" t="n">
        <f aca="false">E175-H175</f>
        <v>1.82</v>
      </c>
      <c r="J175" s="8" t="n">
        <f aca="false">ROUND(D175*E175/100,0)</f>
        <v>4568</v>
      </c>
      <c r="K175" s="9" t="n">
        <v>27.88</v>
      </c>
      <c r="L175" s="9" t="n">
        <v>30.05</v>
      </c>
      <c r="M175" s="9" t="n">
        <v>96.59</v>
      </c>
      <c r="N175" s="9" t="n">
        <v>69.45</v>
      </c>
      <c r="O175" s="9" t="n">
        <v>28.91</v>
      </c>
      <c r="P175" s="2" t="n">
        <f aca="false">RANK(E175,$E$2:$E$350,0)</f>
        <v>155</v>
      </c>
      <c r="Q175" s="2" t="str">
        <f aca="false">IF(E175&gt;=30,"بسیار بالا",IF(E175&gt;=20,"بالا",IF(E175&gt;=13,"متوسط",IF(E175&gt;=8,"پایین","بسیار پایین"))))</f>
        <v>متوسط</v>
      </c>
      <c r="R175" s="10" t="n">
        <v>200</v>
      </c>
      <c r="S175" s="11" t="n">
        <v>0.1</v>
      </c>
      <c r="T175" s="8" t="n">
        <v>91</v>
      </c>
      <c r="U175" s="2" t="s">
        <v>45</v>
      </c>
      <c r="V175" s="2" t="s">
        <v>276</v>
      </c>
      <c r="W175" s="2" t="n">
        <v>0.99</v>
      </c>
      <c r="X175" s="12" t="s">
        <v>46</v>
      </c>
    </row>
    <row r="176" customFormat="false" ht="16.4" hidden="false" customHeight="false" outlineLevel="0" collapsed="false">
      <c r="A176" s="2" t="n">
        <v>175</v>
      </c>
      <c r="B176" s="2" t="n">
        <v>11</v>
      </c>
      <c r="C176" s="2" t="s">
        <v>277</v>
      </c>
      <c r="D176" s="8" t="n">
        <v>31062</v>
      </c>
      <c r="E176" s="9" t="n">
        <v>16.16</v>
      </c>
      <c r="F176" s="9" t="n">
        <v>15.95</v>
      </c>
      <c r="G176" s="9" t="n">
        <v>16.37</v>
      </c>
      <c r="H176" s="9" t="n">
        <v>15.1</v>
      </c>
      <c r="I176" s="9" t="n">
        <f aca="false">E176-H176</f>
        <v>1.06</v>
      </c>
      <c r="J176" s="8" t="n">
        <f aca="false">ROUND(D176*E176/100,0)</f>
        <v>5020</v>
      </c>
      <c r="K176" s="9" t="n">
        <v>26.79</v>
      </c>
      <c r="L176" s="9" t="n">
        <v>29.1</v>
      </c>
      <c r="M176" s="9" t="n">
        <v>96.45</v>
      </c>
      <c r="N176" s="9" t="n">
        <v>67.75</v>
      </c>
      <c r="O176" s="9" t="n">
        <v>27.89</v>
      </c>
      <c r="P176" s="2" t="n">
        <f aca="false">RANK(E176,$E$2:$E$350,0)</f>
        <v>164</v>
      </c>
      <c r="Q176" s="2" t="str">
        <f aca="false">IF(E176&gt;=30,"بسیار بالا",IF(E176&gt;=20,"بالا",IF(E176&gt;=13,"متوسط",IF(E176&gt;=8,"پایین","بسیار پایین"))))</f>
        <v>متوسط</v>
      </c>
      <c r="R176" s="10" t="n">
        <v>194.3</v>
      </c>
      <c r="S176" s="11" t="n">
        <v>0.062</v>
      </c>
      <c r="T176" s="8" t="n">
        <v>92</v>
      </c>
      <c r="U176" s="2" t="s">
        <v>45</v>
      </c>
      <c r="V176" s="2" t="s">
        <v>277</v>
      </c>
      <c r="W176" s="2" t="n">
        <v>0.98</v>
      </c>
      <c r="X176" s="12" t="s">
        <v>46</v>
      </c>
    </row>
    <row r="177" customFormat="false" ht="16.4" hidden="false" customHeight="false" outlineLevel="0" collapsed="false">
      <c r="A177" s="2" t="n">
        <v>176</v>
      </c>
      <c r="B177" s="2" t="n">
        <v>11</v>
      </c>
      <c r="C177" s="2" t="s">
        <v>278</v>
      </c>
      <c r="D177" s="8" t="n">
        <v>17882</v>
      </c>
      <c r="E177" s="9" t="n">
        <v>15</v>
      </c>
      <c r="F177" s="9" t="n">
        <v>14.96</v>
      </c>
      <c r="G177" s="9" t="n">
        <v>15.04</v>
      </c>
      <c r="H177" s="9" t="n">
        <v>15.1</v>
      </c>
      <c r="I177" s="9" t="n">
        <f aca="false">E177-H177</f>
        <v>-0.0999999999999996</v>
      </c>
      <c r="J177" s="8" t="n">
        <f aca="false">ROUND(D177*E177/100,0)</f>
        <v>2682</v>
      </c>
      <c r="K177" s="9" t="n">
        <v>25.1</v>
      </c>
      <c r="L177" s="9" t="n">
        <v>27.63</v>
      </c>
      <c r="M177" s="9" t="n">
        <v>96.22</v>
      </c>
      <c r="N177" s="9" t="n">
        <v>64.94</v>
      </c>
      <c r="O177" s="9" t="n">
        <v>26.32</v>
      </c>
      <c r="P177" s="2" t="n">
        <f aca="false">RANK(E177,$E$2:$E$350,0)</f>
        <v>180</v>
      </c>
      <c r="Q177" s="2" t="str">
        <f aca="false">IF(E177&gt;=30,"بسیار بالا",IF(E177&gt;=20,"بالا",IF(E177&gt;=13,"متوسط",IF(E177&gt;=8,"پایین","بسیار پایین"))))</f>
        <v>متوسط</v>
      </c>
      <c r="R177" s="10"/>
      <c r="S177" s="11" t="n">
        <v>0</v>
      </c>
      <c r="T177" s="8" t="n">
        <v>0</v>
      </c>
      <c r="U177" s="2" t="s">
        <v>64</v>
      </c>
      <c r="V177" s="12" t="s">
        <v>65</v>
      </c>
      <c r="W177" s="2" t="n">
        <v>0</v>
      </c>
      <c r="X177" s="12" t="s">
        <v>66</v>
      </c>
    </row>
    <row r="178" customFormat="false" ht="16.4" hidden="false" customHeight="false" outlineLevel="0" collapsed="false">
      <c r="A178" s="2" t="n">
        <v>177</v>
      </c>
      <c r="B178" s="2" t="n">
        <v>11</v>
      </c>
      <c r="C178" s="2" t="s">
        <v>279</v>
      </c>
      <c r="D178" s="8" t="n">
        <v>17407</v>
      </c>
      <c r="E178" s="9" t="n">
        <v>15</v>
      </c>
      <c r="F178" s="9" t="n">
        <v>14.96</v>
      </c>
      <c r="G178" s="9" t="n">
        <v>15.04</v>
      </c>
      <c r="H178" s="9" t="n">
        <v>15.1</v>
      </c>
      <c r="I178" s="9" t="n">
        <f aca="false">E178-H178</f>
        <v>-0.0999999999999996</v>
      </c>
      <c r="J178" s="8" t="n">
        <f aca="false">ROUND(D178*E178/100,0)</f>
        <v>2611</v>
      </c>
      <c r="K178" s="9" t="n">
        <v>25.1</v>
      </c>
      <c r="L178" s="9" t="n">
        <v>27.63</v>
      </c>
      <c r="M178" s="9" t="n">
        <v>96.22</v>
      </c>
      <c r="N178" s="9" t="n">
        <v>64.94</v>
      </c>
      <c r="O178" s="9" t="n">
        <v>26.32</v>
      </c>
      <c r="P178" s="2" t="n">
        <f aca="false">RANK(E178,$E$2:$E$350,0)</f>
        <v>180</v>
      </c>
      <c r="Q178" s="2" t="str">
        <f aca="false">IF(E178&gt;=30,"بسیار بالا",IF(E178&gt;=20,"بالا",IF(E178&gt;=13,"متوسط",IF(E178&gt;=8,"پایین","بسیار پایین"))))</f>
        <v>متوسط</v>
      </c>
      <c r="R178" s="10"/>
      <c r="S178" s="11" t="n">
        <v>0</v>
      </c>
      <c r="T178" s="8" t="n">
        <v>0</v>
      </c>
      <c r="U178" s="2" t="s">
        <v>64</v>
      </c>
      <c r="V178" s="12" t="s">
        <v>65</v>
      </c>
      <c r="W178" s="2" t="n">
        <v>0</v>
      </c>
      <c r="X178" s="12" t="s">
        <v>66</v>
      </c>
    </row>
    <row r="179" customFormat="false" ht="16.4" hidden="false" customHeight="false" outlineLevel="0" collapsed="false">
      <c r="A179" s="2" t="n">
        <v>178</v>
      </c>
      <c r="B179" s="2" t="n">
        <v>11</v>
      </c>
      <c r="C179" s="2" t="s">
        <v>280</v>
      </c>
      <c r="D179" s="8" t="n">
        <v>15941</v>
      </c>
      <c r="E179" s="9" t="n">
        <v>15</v>
      </c>
      <c r="F179" s="9" t="n">
        <v>14.96</v>
      </c>
      <c r="G179" s="9" t="n">
        <v>15.04</v>
      </c>
      <c r="H179" s="9" t="n">
        <v>15.1</v>
      </c>
      <c r="I179" s="9" t="n">
        <f aca="false">E179-H179</f>
        <v>-0.0999999999999996</v>
      </c>
      <c r="J179" s="8" t="n">
        <f aca="false">ROUND(D179*E179/100,0)</f>
        <v>2391</v>
      </c>
      <c r="K179" s="9" t="n">
        <v>25.1</v>
      </c>
      <c r="L179" s="9" t="n">
        <v>27.63</v>
      </c>
      <c r="M179" s="9" t="n">
        <v>96.22</v>
      </c>
      <c r="N179" s="9" t="n">
        <v>64.94</v>
      </c>
      <c r="O179" s="9" t="n">
        <v>26.32</v>
      </c>
      <c r="P179" s="2" t="n">
        <f aca="false">RANK(E179,$E$2:$E$350,0)</f>
        <v>180</v>
      </c>
      <c r="Q179" s="2" t="str">
        <f aca="false">IF(E179&gt;=30,"بسیار بالا",IF(E179&gt;=20,"بالا",IF(E179&gt;=13,"متوسط",IF(E179&gt;=8,"پایین","بسیار پایین"))))</f>
        <v>متوسط</v>
      </c>
      <c r="R179" s="10"/>
      <c r="S179" s="11" t="n">
        <v>0</v>
      </c>
      <c r="T179" s="8" t="n">
        <v>0</v>
      </c>
      <c r="U179" s="2" t="s">
        <v>64</v>
      </c>
      <c r="V179" s="12" t="s">
        <v>65</v>
      </c>
      <c r="W179" s="2" t="n">
        <v>0</v>
      </c>
      <c r="X179" s="12" t="s">
        <v>66</v>
      </c>
    </row>
    <row r="180" customFormat="false" ht="16.4" hidden="false" customHeight="false" outlineLevel="0" collapsed="false">
      <c r="A180" s="2" t="n">
        <v>179</v>
      </c>
      <c r="B180" s="2" t="n">
        <v>11</v>
      </c>
      <c r="C180" s="2" t="s">
        <v>281</v>
      </c>
      <c r="D180" s="8" t="n">
        <v>12430</v>
      </c>
      <c r="E180" s="9" t="n">
        <v>15</v>
      </c>
      <c r="F180" s="9" t="n">
        <v>14.96</v>
      </c>
      <c r="G180" s="9" t="n">
        <v>15.04</v>
      </c>
      <c r="H180" s="9" t="n">
        <v>15.1</v>
      </c>
      <c r="I180" s="9" t="n">
        <f aca="false">E180-H180</f>
        <v>-0.0999999999999996</v>
      </c>
      <c r="J180" s="8" t="n">
        <f aca="false">ROUND(D180*E180/100,0)</f>
        <v>1865</v>
      </c>
      <c r="K180" s="9" t="n">
        <v>25.1</v>
      </c>
      <c r="L180" s="9" t="n">
        <v>27.63</v>
      </c>
      <c r="M180" s="9" t="n">
        <v>96.22</v>
      </c>
      <c r="N180" s="9" t="n">
        <v>64.94</v>
      </c>
      <c r="O180" s="9" t="n">
        <v>26.32</v>
      </c>
      <c r="P180" s="2" t="n">
        <f aca="false">RANK(E180,$E$2:$E$350,0)</f>
        <v>180</v>
      </c>
      <c r="Q180" s="2" t="str">
        <f aca="false">IF(E180&gt;=30,"بسیار بالا",IF(E180&gt;=20,"بالا",IF(E180&gt;=13,"متوسط",IF(E180&gt;=8,"پایین","بسیار پایین"))))</f>
        <v>متوسط</v>
      </c>
      <c r="R180" s="10"/>
      <c r="S180" s="11" t="n">
        <v>0</v>
      </c>
      <c r="T180" s="8" t="n">
        <v>0</v>
      </c>
      <c r="U180" s="2" t="s">
        <v>64</v>
      </c>
      <c r="V180" s="12" t="s">
        <v>65</v>
      </c>
      <c r="W180" s="2" t="n">
        <v>0</v>
      </c>
      <c r="X180" s="12" t="s">
        <v>66</v>
      </c>
    </row>
    <row r="181" customFormat="false" ht="16.4" hidden="false" customHeight="false" outlineLevel="0" collapsed="false">
      <c r="A181" s="2" t="n">
        <v>180</v>
      </c>
      <c r="B181" s="2" t="n">
        <v>11</v>
      </c>
      <c r="C181" s="2" t="s">
        <v>282</v>
      </c>
      <c r="D181" s="8" t="n">
        <v>11793</v>
      </c>
      <c r="E181" s="9" t="n">
        <v>15</v>
      </c>
      <c r="F181" s="9" t="n">
        <v>14.96</v>
      </c>
      <c r="G181" s="9" t="n">
        <v>15.04</v>
      </c>
      <c r="H181" s="9" t="n">
        <v>15.1</v>
      </c>
      <c r="I181" s="9" t="n">
        <f aca="false">E181-H181</f>
        <v>-0.0999999999999996</v>
      </c>
      <c r="J181" s="8" t="n">
        <f aca="false">ROUND(D181*E181/100,0)</f>
        <v>1769</v>
      </c>
      <c r="K181" s="9" t="n">
        <v>25.1</v>
      </c>
      <c r="L181" s="9" t="n">
        <v>27.63</v>
      </c>
      <c r="M181" s="9" t="n">
        <v>96.22</v>
      </c>
      <c r="N181" s="9" t="n">
        <v>64.94</v>
      </c>
      <c r="O181" s="9" t="n">
        <v>26.32</v>
      </c>
      <c r="P181" s="2" t="n">
        <f aca="false">RANK(E181,$E$2:$E$350,0)</f>
        <v>180</v>
      </c>
      <c r="Q181" s="2" t="str">
        <f aca="false">IF(E181&gt;=30,"بسیار بالا",IF(E181&gt;=20,"بالا",IF(E181&gt;=13,"متوسط",IF(E181&gt;=8,"پایین","بسیار پایین"))))</f>
        <v>متوسط</v>
      </c>
      <c r="R181" s="10"/>
      <c r="S181" s="11" t="n">
        <v>0</v>
      </c>
      <c r="T181" s="8" t="n">
        <v>0</v>
      </c>
      <c r="U181" s="2" t="s">
        <v>64</v>
      </c>
      <c r="V181" s="12" t="s">
        <v>65</v>
      </c>
      <c r="W181" s="2" t="n">
        <v>0</v>
      </c>
      <c r="X181" s="12" t="s">
        <v>66</v>
      </c>
    </row>
    <row r="182" customFormat="false" ht="16.4" hidden="false" customHeight="false" outlineLevel="0" collapsed="false">
      <c r="A182" s="2" t="n">
        <v>181</v>
      </c>
      <c r="B182" s="2" t="n">
        <v>11</v>
      </c>
      <c r="C182" s="2" t="s">
        <v>283</v>
      </c>
      <c r="D182" s="8" t="n">
        <v>30541</v>
      </c>
      <c r="E182" s="9" t="n">
        <v>14.96</v>
      </c>
      <c r="F182" s="9" t="n">
        <v>14.9</v>
      </c>
      <c r="G182" s="9" t="n">
        <v>15</v>
      </c>
      <c r="H182" s="9" t="n">
        <v>15.1</v>
      </c>
      <c r="I182" s="9" t="n">
        <f aca="false">E182-H182</f>
        <v>-0.139999999999999</v>
      </c>
      <c r="J182" s="8" t="n">
        <f aca="false">ROUND(D182*E182/100,0)</f>
        <v>4569</v>
      </c>
      <c r="K182" s="9" t="n">
        <v>25.03</v>
      </c>
      <c r="L182" s="9" t="n">
        <v>27.58</v>
      </c>
      <c r="M182" s="9" t="n">
        <v>96.21</v>
      </c>
      <c r="N182" s="9" t="n">
        <v>64.83</v>
      </c>
      <c r="O182" s="9" t="n">
        <v>26.26</v>
      </c>
      <c r="P182" s="2" t="n">
        <f aca="false">RANK(E182,$E$2:$E$350,0)</f>
        <v>185</v>
      </c>
      <c r="Q182" s="2" t="str">
        <f aca="false">IF(E182&gt;=30,"بسیار بالا",IF(E182&gt;=20,"بالا",IF(E182&gt;=13,"متوسط",IF(E182&gt;=8,"پایین","بسیار پایین"))))</f>
        <v>متوسط</v>
      </c>
      <c r="R182" s="10" t="n">
        <v>182.9</v>
      </c>
      <c r="S182" s="11" t="n">
        <v>-0.002</v>
      </c>
      <c r="T182" s="8" t="n">
        <v>85</v>
      </c>
      <c r="U182" s="2" t="s">
        <v>45</v>
      </c>
      <c r="V182" s="2" t="s">
        <v>283</v>
      </c>
      <c r="W182" s="2" t="n">
        <v>0.99</v>
      </c>
      <c r="X182" s="12" t="s">
        <v>46</v>
      </c>
    </row>
    <row r="183" customFormat="false" ht="16.4" hidden="false" customHeight="false" outlineLevel="0" collapsed="false">
      <c r="A183" s="2" t="n">
        <v>182</v>
      </c>
      <c r="B183" s="2" t="n">
        <v>11</v>
      </c>
      <c r="C183" s="2" t="s">
        <v>284</v>
      </c>
      <c r="D183" s="8" t="n">
        <v>16444</v>
      </c>
      <c r="E183" s="9" t="n">
        <v>14.68</v>
      </c>
      <c r="F183" s="9" t="n">
        <v>14.57</v>
      </c>
      <c r="G183" s="9" t="n">
        <v>14.79</v>
      </c>
      <c r="H183" s="9" t="n">
        <v>15.1</v>
      </c>
      <c r="I183" s="9" t="n">
        <f aca="false">E183-H183</f>
        <v>-0.42</v>
      </c>
      <c r="J183" s="8" t="n">
        <f aca="false">ROUND(D183*E183/100,0)</f>
        <v>2414</v>
      </c>
      <c r="K183" s="9" t="n">
        <v>24.62</v>
      </c>
      <c r="L183" s="9" t="n">
        <v>27.22</v>
      </c>
      <c r="M183" s="9" t="n">
        <v>96.15</v>
      </c>
      <c r="N183" s="9" t="n">
        <v>64.11</v>
      </c>
      <c r="O183" s="9" t="n">
        <v>25.87</v>
      </c>
      <c r="P183" s="2" t="n">
        <f aca="false">RANK(E183,$E$2:$E$350,0)</f>
        <v>189</v>
      </c>
      <c r="Q183" s="2" t="str">
        <f aca="false">IF(E183&gt;=30,"بسیار بالا",IF(E183&gt;=20,"بالا",IF(E183&gt;=13,"متوسط",IF(E183&gt;=8,"پایین","بسیار پایین"))))</f>
        <v>متوسط</v>
      </c>
      <c r="R183" s="10" t="n">
        <v>176.9</v>
      </c>
      <c r="S183" s="11" t="n">
        <v>-0.018</v>
      </c>
      <c r="T183" s="8" t="n">
        <v>83</v>
      </c>
      <c r="U183" s="2" t="s">
        <v>45</v>
      </c>
      <c r="V183" s="2" t="s">
        <v>284</v>
      </c>
      <c r="W183" s="2" t="n">
        <v>0.98</v>
      </c>
      <c r="X183" s="12" t="s">
        <v>46</v>
      </c>
    </row>
    <row r="184" customFormat="false" ht="16.4" hidden="false" customHeight="false" outlineLevel="0" collapsed="false">
      <c r="A184" s="2" t="n">
        <v>183</v>
      </c>
      <c r="B184" s="2" t="n">
        <v>11</v>
      </c>
      <c r="C184" s="2" t="s">
        <v>285</v>
      </c>
      <c r="D184" s="8" t="n">
        <v>18600</v>
      </c>
      <c r="E184" s="9" t="n">
        <v>13.58</v>
      </c>
      <c r="F184" s="9" t="n">
        <v>13.25</v>
      </c>
      <c r="G184" s="9" t="n">
        <v>13.9</v>
      </c>
      <c r="H184" s="9" t="n">
        <v>15.1</v>
      </c>
      <c r="I184" s="9" t="n">
        <f aca="false">E184-H184</f>
        <v>-1.52</v>
      </c>
      <c r="J184" s="8" t="n">
        <f aca="false">ROUND(D184*E184/100,0)</f>
        <v>2526</v>
      </c>
      <c r="K184" s="9" t="n">
        <v>22.97</v>
      </c>
      <c r="L184" s="9" t="n">
        <v>25.76</v>
      </c>
      <c r="M184" s="9" t="n">
        <v>95.89</v>
      </c>
      <c r="N184" s="9" t="n">
        <v>61.07</v>
      </c>
      <c r="O184" s="9" t="n">
        <v>24.32</v>
      </c>
      <c r="P184" s="2" t="n">
        <f aca="false">RANK(E184,$E$2:$E$350,0)</f>
        <v>206</v>
      </c>
      <c r="Q184" s="2" t="str">
        <f aca="false">IF(E184&gt;=30,"بسیار بالا",IF(E184&gt;=20,"بالا",IF(E184&gt;=13,"متوسط",IF(E184&gt;=8,"پایین","بسیار پایین"))))</f>
        <v>متوسط</v>
      </c>
      <c r="R184" s="10" t="n">
        <v>166.3</v>
      </c>
      <c r="S184" s="11" t="n">
        <v>-0.082</v>
      </c>
      <c r="T184" s="8" t="n">
        <v>89</v>
      </c>
      <c r="U184" s="2" t="s">
        <v>45</v>
      </c>
      <c r="V184" s="2" t="s">
        <v>285</v>
      </c>
      <c r="W184" s="2" t="n">
        <v>0.99</v>
      </c>
      <c r="X184" s="12" t="s">
        <v>46</v>
      </c>
    </row>
    <row r="185" customFormat="false" ht="16.4" hidden="false" customHeight="false" outlineLevel="0" collapsed="false">
      <c r="A185" s="2" t="n">
        <v>184</v>
      </c>
      <c r="B185" s="2" t="n">
        <v>11</v>
      </c>
      <c r="C185" s="2" t="s">
        <v>286</v>
      </c>
      <c r="D185" s="8" t="n">
        <v>24934</v>
      </c>
      <c r="E185" s="9" t="n">
        <v>12.82</v>
      </c>
      <c r="F185" s="9" t="n">
        <v>12.35</v>
      </c>
      <c r="G185" s="9" t="n">
        <v>13.29</v>
      </c>
      <c r="H185" s="9" t="n">
        <v>15.1</v>
      </c>
      <c r="I185" s="9" t="n">
        <f aca="false">E185-H185</f>
        <v>-2.28</v>
      </c>
      <c r="J185" s="8" t="n">
        <f aca="false">ROUND(D185*E185/100,0)</f>
        <v>3197</v>
      </c>
      <c r="K185" s="9" t="n">
        <v>21.82</v>
      </c>
      <c r="L185" s="9" t="n">
        <v>24.73</v>
      </c>
      <c r="M185" s="9" t="n">
        <v>95.7</v>
      </c>
      <c r="N185" s="9" t="n">
        <v>58.79</v>
      </c>
      <c r="O185" s="9" t="n">
        <v>23.23</v>
      </c>
      <c r="P185" s="2" t="n">
        <f aca="false">RANK(E185,$E$2:$E$350,0)</f>
        <v>214</v>
      </c>
      <c r="Q185" s="2" t="str">
        <f aca="false">IF(E185&gt;=30,"بسیار بالا",IF(E185&gt;=20,"بالا",IF(E185&gt;=13,"متوسط",IF(E185&gt;=8,"پایین","بسیار پایین"))))</f>
        <v>پایین</v>
      </c>
      <c r="R185" s="10" t="n">
        <v>160.5</v>
      </c>
      <c r="S185" s="11" t="n">
        <v>-0.128</v>
      </c>
      <c r="T185" s="8" t="n">
        <v>82</v>
      </c>
      <c r="U185" s="2" t="s">
        <v>54</v>
      </c>
      <c r="V185" s="2" t="s">
        <v>287</v>
      </c>
      <c r="W185" s="2" t="n">
        <v>0.99</v>
      </c>
      <c r="X185" s="12" t="s">
        <v>46</v>
      </c>
    </row>
    <row r="186" customFormat="false" ht="16.4" hidden="false" customHeight="false" outlineLevel="0" collapsed="false">
      <c r="A186" s="2" t="n">
        <v>185</v>
      </c>
      <c r="B186" s="2" t="n">
        <v>11</v>
      </c>
      <c r="C186" s="2" t="s">
        <v>288</v>
      </c>
      <c r="D186" s="8" t="n">
        <v>13184</v>
      </c>
      <c r="E186" s="9" t="n">
        <v>11.69</v>
      </c>
      <c r="F186" s="9" t="n">
        <v>11.04</v>
      </c>
      <c r="G186" s="9" t="n">
        <v>12.37</v>
      </c>
      <c r="H186" s="9" t="n">
        <v>15.1</v>
      </c>
      <c r="I186" s="9" t="n">
        <f aca="false">E186-H186</f>
        <v>-3.41</v>
      </c>
      <c r="J186" s="8" t="n">
        <f aca="false">ROUND(D186*E186/100,0)</f>
        <v>1541</v>
      </c>
      <c r="K186" s="9" t="n">
        <v>20.09</v>
      </c>
      <c r="L186" s="9" t="n">
        <v>23.16</v>
      </c>
      <c r="M186" s="9" t="n">
        <v>95.37</v>
      </c>
      <c r="N186" s="9" t="n">
        <v>55.14</v>
      </c>
      <c r="O186" s="9" t="n">
        <v>21.59</v>
      </c>
      <c r="P186" s="2" t="n">
        <f aca="false">RANK(E186,$E$2:$E$350,0)</f>
        <v>234</v>
      </c>
      <c r="Q186" s="2" t="str">
        <f aca="false">IF(E186&gt;=30,"بسیار بالا",IF(E186&gt;=20,"بالا",IF(E186&gt;=13,"متوسط",IF(E186&gt;=8,"پایین","بسیار پایین"))))</f>
        <v>پایین</v>
      </c>
      <c r="R186" s="10" t="n">
        <v>146.2</v>
      </c>
      <c r="S186" s="11" t="n">
        <v>-0.202</v>
      </c>
      <c r="T186" s="8" t="n">
        <v>69</v>
      </c>
      <c r="U186" s="2" t="s">
        <v>45</v>
      </c>
      <c r="V186" s="2" t="s">
        <v>288</v>
      </c>
      <c r="W186" s="2" t="n">
        <v>0.99</v>
      </c>
      <c r="X186" s="12" t="s">
        <v>46</v>
      </c>
    </row>
    <row r="187" customFormat="false" ht="16.4" hidden="false" customHeight="false" outlineLevel="0" collapsed="false">
      <c r="A187" s="2" t="n">
        <v>186</v>
      </c>
      <c r="B187" s="2" t="n">
        <v>11</v>
      </c>
      <c r="C187" s="2" t="s">
        <v>289</v>
      </c>
      <c r="D187" s="8" t="n">
        <v>19455</v>
      </c>
      <c r="E187" s="9" t="n">
        <v>11.67</v>
      </c>
      <c r="F187" s="9" t="n">
        <v>11.01</v>
      </c>
      <c r="G187" s="9" t="n">
        <v>12.35</v>
      </c>
      <c r="H187" s="9" t="n">
        <v>15.1</v>
      </c>
      <c r="I187" s="9" t="n">
        <f aca="false">E187-H187</f>
        <v>-3.43</v>
      </c>
      <c r="J187" s="8" t="n">
        <f aca="false">ROUND(D187*E187/100,0)</f>
        <v>2270</v>
      </c>
      <c r="K187" s="9" t="n">
        <v>20.05</v>
      </c>
      <c r="L187" s="9" t="n">
        <v>23.13</v>
      </c>
      <c r="M187" s="9" t="n">
        <v>95.36</v>
      </c>
      <c r="N187" s="9" t="n">
        <v>55.05</v>
      </c>
      <c r="O187" s="9" t="n">
        <v>21.55</v>
      </c>
      <c r="P187" s="2" t="n">
        <f aca="false">RANK(E187,$E$2:$E$350,0)</f>
        <v>235</v>
      </c>
      <c r="Q187" s="2" t="str">
        <f aca="false">IF(E187&gt;=30,"بسیار بالا",IF(E187&gt;=20,"بالا",IF(E187&gt;=13,"متوسط",IF(E187&gt;=8,"پایین","بسیار پایین"))))</f>
        <v>پایین</v>
      </c>
      <c r="R187" s="10" t="n">
        <v>142.4</v>
      </c>
      <c r="S187" s="11" t="n">
        <v>-0.203</v>
      </c>
      <c r="T187" s="8" t="n">
        <v>86</v>
      </c>
      <c r="U187" s="2" t="s">
        <v>45</v>
      </c>
      <c r="V187" s="2" t="s">
        <v>289</v>
      </c>
      <c r="W187" s="2" t="n">
        <v>0.99</v>
      </c>
      <c r="X187" s="12" t="s">
        <v>46</v>
      </c>
    </row>
    <row r="188" customFormat="false" ht="16.4" hidden="false" customHeight="false" outlineLevel="0" collapsed="false">
      <c r="A188" s="2" t="n">
        <v>187</v>
      </c>
      <c r="B188" s="2" t="n">
        <v>12</v>
      </c>
      <c r="C188" s="2" t="s">
        <v>290</v>
      </c>
      <c r="D188" s="8" t="n">
        <v>4273</v>
      </c>
      <c r="E188" s="9" t="n">
        <v>17.9</v>
      </c>
      <c r="F188" s="9" t="n">
        <v>16.22</v>
      </c>
      <c r="G188" s="9" t="n">
        <v>19.67</v>
      </c>
      <c r="H188" s="9" t="n">
        <v>10.8</v>
      </c>
      <c r="I188" s="9" t="n">
        <f aca="false">E188-H188</f>
        <v>7.1</v>
      </c>
      <c r="J188" s="8" t="n">
        <f aca="false">ROUND(D188*E188/100,0)</f>
        <v>765</v>
      </c>
      <c r="K188" s="9" t="n">
        <v>31.23</v>
      </c>
      <c r="L188" s="9" t="n">
        <v>31.67</v>
      </c>
      <c r="M188" s="9" t="n">
        <v>94.79</v>
      </c>
      <c r="N188" s="9" t="n">
        <v>79.49</v>
      </c>
      <c r="O188" s="9" t="n">
        <v>32.99</v>
      </c>
      <c r="P188" s="2" t="n">
        <f aca="false">RANK(E188,$E$2:$E$350,0)</f>
        <v>140</v>
      </c>
      <c r="Q188" s="2" t="str">
        <f aca="false">IF(E188&gt;=30,"بسیار بالا",IF(E188&gt;=20,"بالا",IF(E188&gt;=13,"متوسط",IF(E188&gt;=8,"پایین","بسیار پایین"))))</f>
        <v>متوسط</v>
      </c>
      <c r="R188" s="10" t="n">
        <v>423.1</v>
      </c>
      <c r="S188" s="11" t="n">
        <v>0.439</v>
      </c>
      <c r="T188" s="8" t="n">
        <v>3</v>
      </c>
      <c r="U188" s="2" t="s">
        <v>45</v>
      </c>
      <c r="V188" s="2" t="s">
        <v>290</v>
      </c>
      <c r="W188" s="2" t="n">
        <v>0.78</v>
      </c>
      <c r="X188" s="12" t="s">
        <v>112</v>
      </c>
    </row>
    <row r="189" customFormat="false" ht="16.4" hidden="false" customHeight="false" outlineLevel="0" collapsed="false">
      <c r="A189" s="2" t="n">
        <v>188</v>
      </c>
      <c r="B189" s="2" t="n">
        <v>12</v>
      </c>
      <c r="C189" s="2" t="s">
        <v>291</v>
      </c>
      <c r="D189" s="8" t="n">
        <v>22600</v>
      </c>
      <c r="E189" s="9" t="n">
        <v>17.01</v>
      </c>
      <c r="F189" s="9" t="n">
        <v>15.57</v>
      </c>
      <c r="G189" s="9" t="n">
        <v>18.5</v>
      </c>
      <c r="H189" s="9" t="n">
        <v>10.8</v>
      </c>
      <c r="I189" s="9" t="n">
        <f aca="false">E189-H189</f>
        <v>6.21</v>
      </c>
      <c r="J189" s="8" t="n">
        <f aca="false">ROUND(D189*E189/100,0)</f>
        <v>3844</v>
      </c>
      <c r="K189" s="9" t="n">
        <v>29.91</v>
      </c>
      <c r="L189" s="9" t="n">
        <v>30.57</v>
      </c>
      <c r="M189" s="9" t="n">
        <v>94.56</v>
      </c>
      <c r="N189" s="9" t="n">
        <v>78</v>
      </c>
      <c r="O189" s="9" t="n">
        <v>31.76</v>
      </c>
      <c r="P189" s="2" t="n">
        <f aca="false">RANK(E189,$E$2:$E$350,0)</f>
        <v>153</v>
      </c>
      <c r="Q189" s="2" t="str">
        <f aca="false">IF(E189&gt;=30,"بسیار بالا",IF(E189&gt;=20,"بالا",IF(E189&gt;=13,"متوسط",IF(E189&gt;=8,"پایین","بسیار پایین"))))</f>
        <v>متوسط</v>
      </c>
      <c r="R189" s="10" t="n">
        <v>270</v>
      </c>
      <c r="S189" s="11" t="n">
        <v>0.396</v>
      </c>
      <c r="T189" s="8" t="n">
        <v>75</v>
      </c>
      <c r="U189" s="2" t="s">
        <v>45</v>
      </c>
      <c r="V189" s="2" t="s">
        <v>291</v>
      </c>
      <c r="W189" s="2" t="n">
        <v>0.99</v>
      </c>
      <c r="X189" s="12" t="s">
        <v>46</v>
      </c>
    </row>
    <row r="190" customFormat="false" ht="16.4" hidden="false" customHeight="false" outlineLevel="0" collapsed="false">
      <c r="A190" s="2" t="n">
        <v>189</v>
      </c>
      <c r="B190" s="2" t="n">
        <v>12</v>
      </c>
      <c r="C190" s="2" t="s">
        <v>292</v>
      </c>
      <c r="D190" s="8" t="n">
        <v>33637</v>
      </c>
      <c r="E190" s="9" t="n">
        <v>13.19</v>
      </c>
      <c r="F190" s="9" t="n">
        <v>12.72</v>
      </c>
      <c r="G190" s="9" t="n">
        <v>13.65</v>
      </c>
      <c r="H190" s="9" t="n">
        <v>10.8</v>
      </c>
      <c r="I190" s="9" t="n">
        <f aca="false">E190-H190</f>
        <v>2.39</v>
      </c>
      <c r="J190" s="8" t="n">
        <f aca="false">ROUND(D190*E190/100,0)</f>
        <v>4437</v>
      </c>
      <c r="K190" s="9" t="n">
        <v>24.05</v>
      </c>
      <c r="L190" s="9" t="n">
        <v>25.62</v>
      </c>
      <c r="M190" s="9" t="n">
        <v>93.3</v>
      </c>
      <c r="N190" s="9" t="n">
        <v>69.83</v>
      </c>
      <c r="O190" s="9" t="n">
        <v>26.2</v>
      </c>
      <c r="P190" s="2" t="n">
        <f aca="false">RANK(E190,$E$2:$E$350,0)</f>
        <v>210</v>
      </c>
      <c r="Q190" s="2" t="str">
        <f aca="false">IF(E190&gt;=30,"بسیار بالا",IF(E190&gt;=20,"بالا",IF(E190&gt;=13,"متوسط",IF(E190&gt;=8,"پایین","بسیار پایین"))))</f>
        <v>متوسط</v>
      </c>
      <c r="R190" s="10" t="n">
        <v>216.5</v>
      </c>
      <c r="S190" s="11" t="n">
        <v>0.186</v>
      </c>
      <c r="T190" s="8" t="n">
        <v>85</v>
      </c>
      <c r="U190" s="2" t="s">
        <v>45</v>
      </c>
      <c r="V190" s="2" t="s">
        <v>292</v>
      </c>
      <c r="W190" s="2" t="n">
        <v>0.99</v>
      </c>
      <c r="X190" s="12" t="s">
        <v>46</v>
      </c>
    </row>
    <row r="191" customFormat="false" ht="16.4" hidden="false" customHeight="false" outlineLevel="0" collapsed="false">
      <c r="A191" s="2" t="n">
        <v>190</v>
      </c>
      <c r="B191" s="2" t="n">
        <v>12</v>
      </c>
      <c r="C191" s="2" t="s">
        <v>293</v>
      </c>
      <c r="D191" s="8" t="n">
        <v>7637</v>
      </c>
      <c r="E191" s="9" t="n">
        <v>11.83</v>
      </c>
      <c r="F191" s="9" t="n">
        <v>11.67</v>
      </c>
      <c r="G191" s="9" t="n">
        <v>11.96</v>
      </c>
      <c r="H191" s="9" t="n">
        <v>10.8</v>
      </c>
      <c r="I191" s="9" t="n">
        <f aca="false">E191-H191</f>
        <v>1.03</v>
      </c>
      <c r="J191" s="8" t="n">
        <f aca="false">ROUND(D191*E191/100,0)</f>
        <v>903</v>
      </c>
      <c r="K191" s="9" t="n">
        <v>21.85</v>
      </c>
      <c r="L191" s="9" t="n">
        <v>23.72</v>
      </c>
      <c r="M191" s="9" t="n">
        <v>92.7</v>
      </c>
      <c r="N191" s="9" t="n">
        <v>65.96</v>
      </c>
      <c r="O191" s="9" t="n">
        <v>24.08</v>
      </c>
      <c r="P191" s="2" t="n">
        <f aca="false">RANK(E191,$E$2:$E$350,0)</f>
        <v>222</v>
      </c>
      <c r="Q191" s="2" t="str">
        <f aca="false">IF(E191&gt;=30,"بسیار بالا",IF(E191&gt;=20,"بالا",IF(E191&gt;=13,"متوسط",IF(E191&gt;=8,"پایین","بسیار پایین"))))</f>
        <v>پایین</v>
      </c>
      <c r="R191" s="10" t="n">
        <v>182.6</v>
      </c>
      <c r="S191" s="11" t="n">
        <v>0.099</v>
      </c>
      <c r="T191" s="8" t="n">
        <v>26</v>
      </c>
      <c r="U191" s="2" t="s">
        <v>45</v>
      </c>
      <c r="V191" s="2" t="s">
        <v>293</v>
      </c>
      <c r="W191" s="2" t="n">
        <v>0.95</v>
      </c>
      <c r="X191" s="12" t="s">
        <v>50</v>
      </c>
    </row>
    <row r="192" customFormat="false" ht="16.4" hidden="false" customHeight="false" outlineLevel="0" collapsed="false">
      <c r="A192" s="2" t="n">
        <v>191</v>
      </c>
      <c r="B192" s="2" t="n">
        <v>12</v>
      </c>
      <c r="C192" s="2" t="s">
        <v>294</v>
      </c>
      <c r="D192" s="8" t="n">
        <v>24186</v>
      </c>
      <c r="E192" s="9" t="n">
        <v>11.38</v>
      </c>
      <c r="F192" s="9" t="n">
        <v>11.32</v>
      </c>
      <c r="G192" s="9" t="n">
        <v>11.41</v>
      </c>
      <c r="H192" s="9" t="n">
        <v>10.8</v>
      </c>
      <c r="I192" s="9" t="n">
        <f aca="false">E192-H192</f>
        <v>0.58</v>
      </c>
      <c r="J192" s="8" t="n">
        <f aca="false">ROUND(D192*E192/100,0)</f>
        <v>2752</v>
      </c>
      <c r="K192" s="9" t="n">
        <v>21.1</v>
      </c>
      <c r="L192" s="9" t="n">
        <v>23.07</v>
      </c>
      <c r="M192" s="9" t="n">
        <v>92.48</v>
      </c>
      <c r="N192" s="9" t="n">
        <v>64.52</v>
      </c>
      <c r="O192" s="9" t="n">
        <v>23.35</v>
      </c>
      <c r="P192" s="2" t="n">
        <f aca="false">RANK(E192,$E$2:$E$350,0)</f>
        <v>236</v>
      </c>
      <c r="Q192" s="2" t="str">
        <f aca="false">IF(E192&gt;=30,"بسیار بالا",IF(E192&gt;=20,"بالا",IF(E192&gt;=13,"متوسط",IF(E192&gt;=8,"پایین","بسیار پایین"))))</f>
        <v>پایین</v>
      </c>
      <c r="R192" s="10" t="n">
        <v>179.7</v>
      </c>
      <c r="S192" s="11" t="n">
        <v>0.068</v>
      </c>
      <c r="T192" s="8" t="n">
        <v>72</v>
      </c>
      <c r="U192" s="2" t="s">
        <v>54</v>
      </c>
      <c r="V192" s="2" t="s">
        <v>295</v>
      </c>
      <c r="W192" s="2" t="n">
        <v>0.99</v>
      </c>
      <c r="X192" s="12" t="s">
        <v>46</v>
      </c>
    </row>
    <row r="193" customFormat="false" ht="16.4" hidden="false" customHeight="false" outlineLevel="0" collapsed="false">
      <c r="A193" s="2" t="n">
        <v>192</v>
      </c>
      <c r="B193" s="2" t="n">
        <v>12</v>
      </c>
      <c r="C193" s="2" t="s">
        <v>296</v>
      </c>
      <c r="D193" s="8" t="n">
        <v>15128</v>
      </c>
      <c r="E193" s="9" t="n">
        <v>11.01</v>
      </c>
      <c r="F193" s="9" t="n">
        <v>10.96</v>
      </c>
      <c r="G193" s="9" t="n">
        <v>11.03</v>
      </c>
      <c r="H193" s="9" t="n">
        <v>10.8</v>
      </c>
      <c r="I193" s="9" t="n">
        <f aca="false">E193-H193</f>
        <v>0.209999999999999</v>
      </c>
      <c r="J193" s="8" t="n">
        <f aca="false">ROUND(D193*E193/100,0)</f>
        <v>1666</v>
      </c>
      <c r="K193" s="9" t="n">
        <v>20.49</v>
      </c>
      <c r="L193" s="9" t="n">
        <v>22.53</v>
      </c>
      <c r="M193" s="9" t="n">
        <v>92.29</v>
      </c>
      <c r="N193" s="9" t="n">
        <v>63.3</v>
      </c>
      <c r="O193" s="9" t="n">
        <v>22.76</v>
      </c>
      <c r="P193" s="2" t="n">
        <f aca="false">RANK(E193,$E$2:$E$350,0)</f>
        <v>241</v>
      </c>
      <c r="Q193" s="2" t="str">
        <f aca="false">IF(E193&gt;=30,"بسیار بالا",IF(E193&gt;=20,"بالا",IF(E193&gt;=13,"متوسط",IF(E193&gt;=8,"پایین","بسیار پایین"))))</f>
        <v>پایین</v>
      </c>
      <c r="R193" s="10" t="n">
        <v>179.5</v>
      </c>
      <c r="S193" s="11" t="n">
        <v>0.042</v>
      </c>
      <c r="T193" s="8" t="n">
        <v>57</v>
      </c>
      <c r="U193" s="2" t="s">
        <v>45</v>
      </c>
      <c r="V193" s="2" t="s">
        <v>296</v>
      </c>
      <c r="W193" s="2" t="n">
        <v>0.98</v>
      </c>
      <c r="X193" s="12" t="s">
        <v>46</v>
      </c>
    </row>
    <row r="194" customFormat="false" ht="16.4" hidden="false" customHeight="false" outlineLevel="0" collapsed="false">
      <c r="A194" s="2" t="n">
        <v>193</v>
      </c>
      <c r="B194" s="2" t="n">
        <v>12</v>
      </c>
      <c r="C194" s="2" t="s">
        <v>297</v>
      </c>
      <c r="D194" s="8" t="n">
        <v>24479</v>
      </c>
      <c r="E194" s="9" t="n">
        <v>10.44</v>
      </c>
      <c r="F194" s="9" t="n">
        <v>10.27</v>
      </c>
      <c r="G194" s="9" t="n">
        <v>10.57</v>
      </c>
      <c r="H194" s="9" t="n">
        <v>10.8</v>
      </c>
      <c r="I194" s="9" t="n">
        <f aca="false">E194-H194</f>
        <v>-0.360000000000001</v>
      </c>
      <c r="J194" s="8" t="n">
        <f aca="false">ROUND(D194*E194/100,0)</f>
        <v>2556</v>
      </c>
      <c r="K194" s="9" t="n">
        <v>19.54</v>
      </c>
      <c r="L194" s="9" t="n">
        <v>21.69</v>
      </c>
      <c r="M194" s="9" t="n">
        <v>91.97</v>
      </c>
      <c r="N194" s="9" t="n">
        <v>61.3</v>
      </c>
      <c r="O194" s="9" t="n">
        <v>21.82</v>
      </c>
      <c r="P194" s="2" t="n">
        <f aca="false">RANK(E194,$E$2:$E$350,0)</f>
        <v>247</v>
      </c>
      <c r="Q194" s="2" t="str">
        <f aca="false">IF(E194&gt;=30,"بسیار بالا",IF(E194&gt;=20,"بالا",IF(E194&gt;=13,"متوسط",IF(E194&gt;=8,"پایین","بسیار پایین"))))</f>
        <v>پایین</v>
      </c>
      <c r="R194" s="10"/>
      <c r="S194" s="11" t="n">
        <v>0</v>
      </c>
      <c r="T194" s="8" t="n">
        <v>0</v>
      </c>
      <c r="U194" s="2" t="s">
        <v>64</v>
      </c>
      <c r="V194" s="12" t="s">
        <v>65</v>
      </c>
      <c r="W194" s="2" t="n">
        <v>0</v>
      </c>
      <c r="X194" s="12" t="s">
        <v>66</v>
      </c>
    </row>
    <row r="195" customFormat="false" ht="16.4" hidden="false" customHeight="false" outlineLevel="0" collapsed="false">
      <c r="A195" s="2" t="n">
        <v>194</v>
      </c>
      <c r="B195" s="2" t="n">
        <v>12</v>
      </c>
      <c r="C195" s="2" t="s">
        <v>298</v>
      </c>
      <c r="D195" s="8" t="n">
        <v>11318</v>
      </c>
      <c r="E195" s="9" t="n">
        <v>10.44</v>
      </c>
      <c r="F195" s="9" t="n">
        <v>10.27</v>
      </c>
      <c r="G195" s="9" t="n">
        <v>10.57</v>
      </c>
      <c r="H195" s="9" t="n">
        <v>10.8</v>
      </c>
      <c r="I195" s="9" t="n">
        <f aca="false">E195-H195</f>
        <v>-0.360000000000001</v>
      </c>
      <c r="J195" s="8" t="n">
        <f aca="false">ROUND(D195*E195/100,0)</f>
        <v>1182</v>
      </c>
      <c r="K195" s="9" t="n">
        <v>19.54</v>
      </c>
      <c r="L195" s="9" t="n">
        <v>21.69</v>
      </c>
      <c r="M195" s="9" t="n">
        <v>91.97</v>
      </c>
      <c r="N195" s="9" t="n">
        <v>61.3</v>
      </c>
      <c r="O195" s="9" t="n">
        <v>21.82</v>
      </c>
      <c r="P195" s="2" t="n">
        <f aca="false">RANK(E195,$E$2:$E$350,0)</f>
        <v>247</v>
      </c>
      <c r="Q195" s="2" t="str">
        <f aca="false">IF(E195&gt;=30,"بسیار بالا",IF(E195&gt;=20,"بالا",IF(E195&gt;=13,"متوسط",IF(E195&gt;=8,"پایین","بسیار پایین"))))</f>
        <v>پایین</v>
      </c>
      <c r="R195" s="10"/>
      <c r="S195" s="11" t="n">
        <v>0</v>
      </c>
      <c r="T195" s="8" t="n">
        <v>0</v>
      </c>
      <c r="U195" s="2" t="s">
        <v>64</v>
      </c>
      <c r="V195" s="12" t="s">
        <v>65</v>
      </c>
      <c r="W195" s="2" t="n">
        <v>0</v>
      </c>
      <c r="X195" s="12" t="s">
        <v>66</v>
      </c>
    </row>
    <row r="196" customFormat="false" ht="16.4" hidden="false" customHeight="false" outlineLevel="0" collapsed="false">
      <c r="A196" s="2" t="n">
        <v>195</v>
      </c>
      <c r="B196" s="2" t="n">
        <v>12</v>
      </c>
      <c r="C196" s="2" t="s">
        <v>299</v>
      </c>
      <c r="D196" s="8" t="n">
        <v>19355</v>
      </c>
      <c r="E196" s="9" t="n">
        <v>9.61</v>
      </c>
      <c r="F196" s="9" t="n">
        <v>9.3</v>
      </c>
      <c r="G196" s="9" t="n">
        <v>9.91</v>
      </c>
      <c r="H196" s="9" t="n">
        <v>10.8</v>
      </c>
      <c r="I196" s="9" t="n">
        <f aca="false">E196-H196</f>
        <v>-1.19</v>
      </c>
      <c r="J196" s="8" t="n">
        <f aca="false">ROUND(D196*E196/100,0)</f>
        <v>1860</v>
      </c>
      <c r="K196" s="9" t="n">
        <v>18.14</v>
      </c>
      <c r="L196" s="9" t="n">
        <v>20.44</v>
      </c>
      <c r="M196" s="9" t="n">
        <v>91.45</v>
      </c>
      <c r="N196" s="9" t="n">
        <v>58.16</v>
      </c>
      <c r="O196" s="9" t="n">
        <v>20.44</v>
      </c>
      <c r="P196" s="2" t="n">
        <f aca="false">RANK(E196,$E$2:$E$350,0)</f>
        <v>254</v>
      </c>
      <c r="Q196" s="2" t="str">
        <f aca="false">IF(E196&gt;=30,"بسیار بالا",IF(E196&gt;=20,"بالا",IF(E196&gt;=13,"متوسط",IF(E196&gt;=8,"پایین","بسیار پایین"))))</f>
        <v>پایین</v>
      </c>
      <c r="R196" s="10" t="n">
        <v>162.9</v>
      </c>
      <c r="S196" s="11" t="n">
        <v>-0.064</v>
      </c>
      <c r="T196" s="8" t="n">
        <v>47</v>
      </c>
      <c r="U196" s="2" t="s">
        <v>45</v>
      </c>
      <c r="V196" s="2" t="s">
        <v>299</v>
      </c>
      <c r="W196" s="2" t="n">
        <v>0.98</v>
      </c>
      <c r="X196" s="12" t="s">
        <v>46</v>
      </c>
    </row>
    <row r="197" customFormat="false" ht="16.4" hidden="false" customHeight="false" outlineLevel="0" collapsed="false">
      <c r="A197" s="2" t="n">
        <v>196</v>
      </c>
      <c r="B197" s="2" t="n">
        <v>12</v>
      </c>
      <c r="C197" s="2" t="s">
        <v>300</v>
      </c>
      <c r="D197" s="8" t="n">
        <v>24584</v>
      </c>
      <c r="E197" s="9" t="n">
        <v>9.54</v>
      </c>
      <c r="F197" s="9" t="n">
        <v>9.21</v>
      </c>
      <c r="G197" s="9" t="n">
        <v>9.86</v>
      </c>
      <c r="H197" s="9" t="n">
        <v>10.8</v>
      </c>
      <c r="I197" s="9" t="n">
        <f aca="false">E197-H197</f>
        <v>-1.26</v>
      </c>
      <c r="J197" s="8" t="n">
        <f aca="false">ROUND(D197*E197/100,0)</f>
        <v>2345</v>
      </c>
      <c r="K197" s="9" t="n">
        <v>18.02</v>
      </c>
      <c r="L197" s="9" t="n">
        <v>20.33</v>
      </c>
      <c r="M197" s="9" t="n">
        <v>91.4</v>
      </c>
      <c r="N197" s="9" t="n">
        <v>57.87</v>
      </c>
      <c r="O197" s="9" t="n">
        <v>20.32</v>
      </c>
      <c r="P197" s="2" t="n">
        <f aca="false">RANK(E197,$E$2:$E$350,0)</f>
        <v>255</v>
      </c>
      <c r="Q197" s="2" t="str">
        <f aca="false">IF(E197&gt;=30,"بسیار بالا",IF(E197&gt;=20,"بالا",IF(E197&gt;=13,"متوسط",IF(E197&gt;=8,"پایین","بسیار پایین"))))</f>
        <v>پایین</v>
      </c>
      <c r="R197" s="10" t="n">
        <v>161.9</v>
      </c>
      <c r="S197" s="11" t="n">
        <v>-0.07</v>
      </c>
      <c r="T197" s="8" t="n">
        <v>71</v>
      </c>
      <c r="U197" s="2" t="s">
        <v>54</v>
      </c>
      <c r="V197" s="2" t="s">
        <v>301</v>
      </c>
      <c r="W197" s="2" t="n">
        <v>0.99</v>
      </c>
      <c r="X197" s="12" t="s">
        <v>46</v>
      </c>
    </row>
    <row r="198" customFormat="false" ht="16.4" hidden="false" customHeight="false" outlineLevel="0" collapsed="false">
      <c r="A198" s="2" t="n">
        <v>197</v>
      </c>
      <c r="B198" s="2" t="n">
        <v>12</v>
      </c>
      <c r="C198" s="2" t="s">
        <v>302</v>
      </c>
      <c r="D198" s="8" t="n">
        <v>26623</v>
      </c>
      <c r="E198" s="9" t="n">
        <v>7.4</v>
      </c>
      <c r="F198" s="9" t="n">
        <v>6.76</v>
      </c>
      <c r="G198" s="9" t="n">
        <v>8.08</v>
      </c>
      <c r="H198" s="9" t="n">
        <v>10.8</v>
      </c>
      <c r="I198" s="9" t="n">
        <f aca="false">E198-H198</f>
        <v>-3.4</v>
      </c>
      <c r="J198" s="8" t="n">
        <f aca="false">ROUND(D198*E198/100,0)</f>
        <v>1970</v>
      </c>
      <c r="K198" s="9" t="n">
        <v>14.29</v>
      </c>
      <c r="L198" s="9" t="n">
        <v>16.88</v>
      </c>
      <c r="M198" s="9" t="n">
        <v>89.65</v>
      </c>
      <c r="N198" s="9" t="n">
        <v>48.05</v>
      </c>
      <c r="O198" s="9" t="n">
        <v>16.55</v>
      </c>
      <c r="P198" s="2" t="n">
        <f aca="false">RANK(E198,$E$2:$E$350,0)</f>
        <v>282</v>
      </c>
      <c r="Q198" s="2" t="str">
        <f aca="false">IF(E198&gt;=30,"بسیار بالا",IF(E198&gt;=20,"بالا",IF(E198&gt;=13,"متوسط",IF(E198&gt;=8,"پایین","بسیار پایین"))))</f>
        <v>بسیار پایین</v>
      </c>
      <c r="R198" s="10" t="n">
        <v>128.6</v>
      </c>
      <c r="S198" s="11" t="n">
        <v>-0.264</v>
      </c>
      <c r="T198" s="8" t="n">
        <v>75</v>
      </c>
      <c r="U198" s="2" t="s">
        <v>45</v>
      </c>
      <c r="V198" s="2" t="s">
        <v>302</v>
      </c>
      <c r="W198" s="2" t="n">
        <v>0.98</v>
      </c>
      <c r="X198" s="12" t="s">
        <v>46</v>
      </c>
    </row>
    <row r="199" customFormat="false" ht="16.4" hidden="false" customHeight="false" outlineLevel="0" collapsed="false">
      <c r="A199" s="2" t="n">
        <v>198</v>
      </c>
      <c r="B199" s="2" t="n">
        <v>12</v>
      </c>
      <c r="C199" s="2" t="s">
        <v>303</v>
      </c>
      <c r="D199" s="8" t="n">
        <v>25040</v>
      </c>
      <c r="E199" s="9" t="n">
        <v>6.45</v>
      </c>
      <c r="F199" s="9" t="n">
        <v>5.71</v>
      </c>
      <c r="G199" s="9" t="n">
        <v>7.25</v>
      </c>
      <c r="H199" s="9" t="n">
        <v>10.8</v>
      </c>
      <c r="I199" s="9" t="n">
        <f aca="false">E199-H199</f>
        <v>-4.35</v>
      </c>
      <c r="J199" s="8" t="n">
        <f aca="false">ROUND(D199*E199/100,0)</f>
        <v>1615</v>
      </c>
      <c r="K199" s="9" t="n">
        <v>12.56</v>
      </c>
      <c r="L199" s="9" t="n">
        <v>15.24</v>
      </c>
      <c r="M199" s="9" t="n">
        <v>88.58</v>
      </c>
      <c r="N199" s="9" t="n">
        <v>42.79</v>
      </c>
      <c r="O199" s="9" t="n">
        <v>14.78</v>
      </c>
      <c r="P199" s="2" t="n">
        <f aca="false">RANK(E199,$E$2:$E$350,0)</f>
        <v>297</v>
      </c>
      <c r="Q199" s="2" t="str">
        <f aca="false">IF(E199&gt;=30,"بسیار بالا",IF(E199&gt;=20,"بالا",IF(E199&gt;=13,"متوسط",IF(E199&gt;=8,"پایین","بسیار پایین"))))</f>
        <v>بسیار پایین</v>
      </c>
      <c r="R199" s="10" t="n">
        <v>116</v>
      </c>
      <c r="S199" s="11" t="n">
        <v>-0.368</v>
      </c>
      <c r="T199" s="8" t="n">
        <v>67</v>
      </c>
      <c r="U199" s="2" t="s">
        <v>45</v>
      </c>
      <c r="V199" s="2" t="s">
        <v>304</v>
      </c>
      <c r="W199" s="2" t="n">
        <v>0.99</v>
      </c>
      <c r="X199" s="12" t="s">
        <v>46</v>
      </c>
    </row>
    <row r="200" customFormat="false" ht="16.4" hidden="false" customHeight="false" outlineLevel="0" collapsed="false">
      <c r="A200" s="2" t="n">
        <v>199</v>
      </c>
      <c r="B200" s="2" t="n">
        <v>12</v>
      </c>
      <c r="C200" s="2" t="s">
        <v>305</v>
      </c>
      <c r="D200" s="8" t="n">
        <v>2049</v>
      </c>
      <c r="E200" s="9" t="n">
        <v>5.9</v>
      </c>
      <c r="F200" s="9" t="n">
        <v>5.12</v>
      </c>
      <c r="G200" s="9" t="n">
        <v>6.77</v>
      </c>
      <c r="H200" s="9" t="n">
        <v>10.8</v>
      </c>
      <c r="I200" s="9" t="n">
        <f aca="false">E200-H200</f>
        <v>-4.9</v>
      </c>
      <c r="J200" s="8" t="n">
        <f aca="false">ROUND(D200*E200/100,0)</f>
        <v>121</v>
      </c>
      <c r="K200" s="9" t="n">
        <v>11.56</v>
      </c>
      <c r="L200" s="9" t="n">
        <v>14.26</v>
      </c>
      <c r="M200" s="9" t="n">
        <v>87.86</v>
      </c>
      <c r="N200" s="9" t="n">
        <v>39.53</v>
      </c>
      <c r="O200" s="9" t="n">
        <v>13.73</v>
      </c>
      <c r="P200" s="2" t="n">
        <f aca="false">RANK(E200,$E$2:$E$350,0)</f>
        <v>312</v>
      </c>
      <c r="Q200" s="2" t="str">
        <f aca="false">IF(E200&gt;=30,"بسیار بالا",IF(E200&gt;=20,"بالا",IF(E200&gt;=13,"متوسط",IF(E200&gt;=8,"پایین","بسیار پایین"))))</f>
        <v>بسیار پایین</v>
      </c>
      <c r="R200" s="10" t="n">
        <v>92.8</v>
      </c>
      <c r="S200" s="11" t="n">
        <v>-0.435</v>
      </c>
      <c r="T200" s="8" t="n">
        <v>2</v>
      </c>
      <c r="U200" s="2" t="s">
        <v>54</v>
      </c>
      <c r="V200" s="2" t="s">
        <v>306</v>
      </c>
      <c r="W200" s="2" t="n">
        <v>0.71</v>
      </c>
      <c r="X200" s="12" t="s">
        <v>112</v>
      </c>
    </row>
    <row r="201" customFormat="false" ht="16.4" hidden="false" customHeight="false" outlineLevel="0" collapsed="false">
      <c r="A201" s="2" t="n">
        <v>200</v>
      </c>
      <c r="B201" s="2" t="n">
        <v>13</v>
      </c>
      <c r="C201" s="2" t="s">
        <v>307</v>
      </c>
      <c r="D201" s="8" t="n">
        <v>26396</v>
      </c>
      <c r="E201" s="9" t="n">
        <v>19.61</v>
      </c>
      <c r="F201" s="9" t="n">
        <v>18.78</v>
      </c>
      <c r="G201" s="9" t="n">
        <v>20.44</v>
      </c>
      <c r="H201" s="9" t="n">
        <v>15.8</v>
      </c>
      <c r="I201" s="9" t="n">
        <f aca="false">E201-H201</f>
        <v>3.81</v>
      </c>
      <c r="J201" s="8" t="n">
        <f aca="false">ROUND(D201*E201/100,0)</f>
        <v>5176</v>
      </c>
      <c r="K201" s="9" t="n">
        <v>32.9</v>
      </c>
      <c r="L201" s="9" t="n">
        <v>32.12</v>
      </c>
      <c r="M201" s="9" t="n">
        <v>96.67</v>
      </c>
      <c r="N201" s="9" t="n">
        <v>77.82</v>
      </c>
      <c r="O201" s="9" t="n">
        <v>32.81</v>
      </c>
      <c r="P201" s="2" t="n">
        <f aca="false">RANK(E201,$E$2:$E$350,0)</f>
        <v>122</v>
      </c>
      <c r="Q201" s="2" t="str">
        <f aca="false">IF(E201&gt;=30,"بسیار بالا",IF(E201&gt;=20,"بالا",IF(E201&gt;=13,"متوسط",IF(E201&gt;=8,"پایین","بسیار پایین"))))</f>
        <v>متوسط</v>
      </c>
      <c r="R201" s="10" t="n">
        <v>249.8</v>
      </c>
      <c r="S201" s="11" t="n">
        <v>0.194</v>
      </c>
      <c r="T201" s="8" t="n">
        <v>91</v>
      </c>
      <c r="U201" s="2" t="s">
        <v>45</v>
      </c>
      <c r="V201" s="2" t="s">
        <v>308</v>
      </c>
      <c r="W201" s="2" t="n">
        <v>0.98</v>
      </c>
      <c r="X201" s="12" t="s">
        <v>46</v>
      </c>
    </row>
    <row r="202" customFormat="false" ht="16.4" hidden="false" customHeight="false" outlineLevel="0" collapsed="false">
      <c r="A202" s="2" t="n">
        <v>201</v>
      </c>
      <c r="B202" s="2" t="n">
        <v>13</v>
      </c>
      <c r="C202" s="2" t="s">
        <v>309</v>
      </c>
      <c r="D202" s="8" t="n">
        <v>20504</v>
      </c>
      <c r="E202" s="9" t="n">
        <v>19.61</v>
      </c>
      <c r="F202" s="9" t="n">
        <v>18.78</v>
      </c>
      <c r="G202" s="9" t="n">
        <v>20.44</v>
      </c>
      <c r="H202" s="9" t="n">
        <v>15.8</v>
      </c>
      <c r="I202" s="9" t="n">
        <f aca="false">E202-H202</f>
        <v>3.81</v>
      </c>
      <c r="J202" s="8" t="n">
        <f aca="false">ROUND(D202*E202/100,0)</f>
        <v>4021</v>
      </c>
      <c r="K202" s="9" t="n">
        <v>32.9</v>
      </c>
      <c r="L202" s="9" t="n">
        <v>32.12</v>
      </c>
      <c r="M202" s="9" t="n">
        <v>96.67</v>
      </c>
      <c r="N202" s="9" t="n">
        <v>77.82</v>
      </c>
      <c r="O202" s="9" t="n">
        <v>32.81</v>
      </c>
      <c r="P202" s="2" t="n">
        <f aca="false">RANK(E202,$E$2:$E$350,0)</f>
        <v>122</v>
      </c>
      <c r="Q202" s="2" t="str">
        <f aca="false">IF(E202&gt;=30,"بسیار بالا",IF(E202&gt;=20,"بالا",IF(E202&gt;=13,"متوسط",IF(E202&gt;=8,"پایین","بسیار پایین"))))</f>
        <v>متوسط</v>
      </c>
      <c r="R202" s="10" t="n">
        <v>249.8</v>
      </c>
      <c r="S202" s="11" t="n">
        <v>0.194</v>
      </c>
      <c r="T202" s="8" t="n">
        <v>91</v>
      </c>
      <c r="U202" s="2" t="s">
        <v>45</v>
      </c>
      <c r="V202" s="2" t="s">
        <v>308</v>
      </c>
      <c r="W202" s="2" t="n">
        <v>0.98</v>
      </c>
      <c r="X202" s="12" t="s">
        <v>46</v>
      </c>
    </row>
    <row r="203" customFormat="false" ht="16.4" hidden="false" customHeight="false" outlineLevel="0" collapsed="false">
      <c r="A203" s="2" t="n">
        <v>202</v>
      </c>
      <c r="B203" s="2" t="n">
        <v>13</v>
      </c>
      <c r="C203" s="2" t="s">
        <v>310</v>
      </c>
      <c r="D203" s="8" t="n">
        <v>22585</v>
      </c>
      <c r="E203" s="9" t="n">
        <v>17.24</v>
      </c>
      <c r="F203" s="9" t="n">
        <v>16.96</v>
      </c>
      <c r="G203" s="9" t="n">
        <v>17.5</v>
      </c>
      <c r="H203" s="9" t="n">
        <v>15.8</v>
      </c>
      <c r="I203" s="9" t="n">
        <f aca="false">E203-H203</f>
        <v>1.44</v>
      </c>
      <c r="J203" s="8" t="n">
        <f aca="false">ROUND(D203*E203/100,0)</f>
        <v>3894</v>
      </c>
      <c r="K203" s="9" t="n">
        <v>29.52</v>
      </c>
      <c r="L203" s="9" t="n">
        <v>29.36</v>
      </c>
      <c r="M203" s="9" t="n">
        <v>96.27</v>
      </c>
      <c r="N203" s="9" t="n">
        <v>73.69</v>
      </c>
      <c r="O203" s="9" t="n">
        <v>29.74</v>
      </c>
      <c r="P203" s="2" t="n">
        <f aca="false">RANK(E203,$E$2:$E$350,0)</f>
        <v>147</v>
      </c>
      <c r="Q203" s="2" t="str">
        <f aca="false">IF(E203&gt;=30,"بسیار بالا",IF(E203&gt;=20,"بالا",IF(E203&gt;=13,"متوسط",IF(E203&gt;=8,"پایین","بسیار پایین"))))</f>
        <v>متوسط</v>
      </c>
      <c r="R203" s="10" t="n">
        <v>225.6</v>
      </c>
      <c r="S203" s="11" t="n">
        <v>0.084</v>
      </c>
      <c r="T203" s="8" t="n">
        <v>78</v>
      </c>
      <c r="U203" s="2" t="s">
        <v>45</v>
      </c>
      <c r="V203" s="2" t="s">
        <v>310</v>
      </c>
      <c r="W203" s="2" t="n">
        <v>0.99</v>
      </c>
      <c r="X203" s="12" t="s">
        <v>46</v>
      </c>
    </row>
    <row r="204" customFormat="false" ht="16.4" hidden="false" customHeight="false" outlineLevel="0" collapsed="false">
      <c r="A204" s="2" t="n">
        <v>203</v>
      </c>
      <c r="B204" s="2" t="n">
        <v>13</v>
      </c>
      <c r="C204" s="2" t="s">
        <v>311</v>
      </c>
      <c r="D204" s="8" t="n">
        <v>32812</v>
      </c>
      <c r="E204" s="9" t="n">
        <v>16.39</v>
      </c>
      <c r="F204" s="9" t="n">
        <v>16.3</v>
      </c>
      <c r="G204" s="9" t="n">
        <v>16.47</v>
      </c>
      <c r="H204" s="9" t="n">
        <v>15.8</v>
      </c>
      <c r="I204" s="9" t="n">
        <f aca="false">E204-H204</f>
        <v>0.59</v>
      </c>
      <c r="J204" s="8" t="n">
        <f aca="false">ROUND(D204*E204/100,0)</f>
        <v>5378</v>
      </c>
      <c r="K204" s="9" t="n">
        <v>28.27</v>
      </c>
      <c r="L204" s="9" t="n">
        <v>28.33</v>
      </c>
      <c r="M204" s="9" t="n">
        <v>96.11</v>
      </c>
      <c r="N204" s="9" t="n">
        <v>71.98</v>
      </c>
      <c r="O204" s="9" t="n">
        <v>28.61</v>
      </c>
      <c r="P204" s="2" t="n">
        <f aca="false">RANK(E204,$E$2:$E$350,0)</f>
        <v>161</v>
      </c>
      <c r="Q204" s="2" t="str">
        <f aca="false">IF(E204&gt;=30,"بسیار بالا",IF(E204&gt;=20,"بالا",IF(E204&gt;=13,"متوسط",IF(E204&gt;=8,"پایین","بسیار پایین"))))</f>
        <v>متوسط</v>
      </c>
      <c r="R204" s="10" t="n">
        <v>214.7</v>
      </c>
      <c r="S204" s="11" t="n">
        <v>0.041</v>
      </c>
      <c r="T204" s="8" t="n">
        <v>82</v>
      </c>
      <c r="U204" s="2" t="s">
        <v>45</v>
      </c>
      <c r="V204" s="2" t="s">
        <v>311</v>
      </c>
      <c r="W204" s="2" t="n">
        <v>0.99</v>
      </c>
      <c r="X204" s="12" t="s">
        <v>46</v>
      </c>
    </row>
    <row r="205" customFormat="false" ht="16.4" hidden="false" customHeight="false" outlineLevel="0" collapsed="false">
      <c r="A205" s="2" t="n">
        <v>204</v>
      </c>
      <c r="B205" s="2" t="n">
        <v>13</v>
      </c>
      <c r="C205" s="2" t="s">
        <v>312</v>
      </c>
      <c r="D205" s="8" t="n">
        <v>17131</v>
      </c>
      <c r="E205" s="9" t="n">
        <v>16.29</v>
      </c>
      <c r="F205" s="9" t="n">
        <v>16.22</v>
      </c>
      <c r="G205" s="9" t="n">
        <v>16.34</v>
      </c>
      <c r="H205" s="9" t="n">
        <v>15.8</v>
      </c>
      <c r="I205" s="9" t="n">
        <f aca="false">E205-H205</f>
        <v>0.489999999999998</v>
      </c>
      <c r="J205" s="8" t="n">
        <f aca="false">ROUND(D205*E205/100,0)</f>
        <v>2791</v>
      </c>
      <c r="K205" s="9" t="n">
        <v>28.12</v>
      </c>
      <c r="L205" s="9" t="n">
        <v>28.21</v>
      </c>
      <c r="M205" s="9" t="n">
        <v>96.09</v>
      </c>
      <c r="N205" s="9" t="n">
        <v>71.76</v>
      </c>
      <c r="O205" s="9" t="n">
        <v>28.47</v>
      </c>
      <c r="P205" s="2" t="n">
        <f aca="false">RANK(E205,$E$2:$E$350,0)</f>
        <v>162</v>
      </c>
      <c r="Q205" s="2" t="str">
        <f aca="false">IF(E205&gt;=30,"بسیار بالا",IF(E205&gt;=20,"بالا",IF(E205&gt;=13,"متوسط",IF(E205&gt;=8,"پایین","بسیار پایین"))))</f>
        <v>متوسط</v>
      </c>
      <c r="R205" s="10" t="n">
        <v>219.7</v>
      </c>
      <c r="S205" s="11" t="n">
        <v>0.036</v>
      </c>
      <c r="T205" s="8" t="n">
        <v>90</v>
      </c>
      <c r="U205" s="2" t="s">
        <v>45</v>
      </c>
      <c r="V205" s="2" t="s">
        <v>151</v>
      </c>
      <c r="W205" s="2" t="n">
        <v>0.99</v>
      </c>
      <c r="X205" s="12" t="s">
        <v>46</v>
      </c>
    </row>
    <row r="206" customFormat="false" ht="16.4" hidden="false" customHeight="false" outlineLevel="0" collapsed="false">
      <c r="A206" s="2" t="n">
        <v>205</v>
      </c>
      <c r="B206" s="2" t="n">
        <v>13</v>
      </c>
      <c r="C206" s="2" t="s">
        <v>313</v>
      </c>
      <c r="D206" s="8" t="n">
        <v>22750</v>
      </c>
      <c r="E206" s="9" t="n">
        <v>16.11</v>
      </c>
      <c r="F206" s="9" t="n">
        <v>16.08</v>
      </c>
      <c r="G206" s="9" t="n">
        <v>16.13</v>
      </c>
      <c r="H206" s="9" t="n">
        <v>15.8</v>
      </c>
      <c r="I206" s="9" t="n">
        <f aca="false">E206-H206</f>
        <v>0.309999999999999</v>
      </c>
      <c r="J206" s="8" t="n">
        <f aca="false">ROUND(D206*E206/100,0)</f>
        <v>3665</v>
      </c>
      <c r="K206" s="9" t="n">
        <v>27.86</v>
      </c>
      <c r="L206" s="9" t="n">
        <v>27.99</v>
      </c>
      <c r="M206" s="9" t="n">
        <v>96.05</v>
      </c>
      <c r="N206" s="9" t="n">
        <v>71.38</v>
      </c>
      <c r="O206" s="9" t="n">
        <v>28.23</v>
      </c>
      <c r="P206" s="2" t="n">
        <f aca="false">RANK(E206,$E$2:$E$350,0)</f>
        <v>166</v>
      </c>
      <c r="Q206" s="2" t="str">
        <f aca="false">IF(E206&gt;=30,"بسیار بالا",IF(E206&gt;=20,"بالا",IF(E206&gt;=13,"متوسط",IF(E206&gt;=8,"پایین","بسیار پایین"))))</f>
        <v>متوسط</v>
      </c>
      <c r="R206" s="10" t="n">
        <v>210.4</v>
      </c>
      <c r="S206" s="11" t="n">
        <v>0.027</v>
      </c>
      <c r="T206" s="8" t="n">
        <v>80</v>
      </c>
      <c r="U206" s="2" t="s">
        <v>45</v>
      </c>
      <c r="V206" s="2" t="s">
        <v>313</v>
      </c>
      <c r="W206" s="2" t="n">
        <v>0.99</v>
      </c>
      <c r="X206" s="12" t="s">
        <v>46</v>
      </c>
    </row>
    <row r="207" customFormat="false" ht="16.4" hidden="false" customHeight="false" outlineLevel="0" collapsed="false">
      <c r="A207" s="2" t="n">
        <v>206</v>
      </c>
      <c r="B207" s="2" t="n">
        <v>13</v>
      </c>
      <c r="C207" s="2" t="s">
        <v>314</v>
      </c>
      <c r="D207" s="8" t="n">
        <v>19915</v>
      </c>
      <c r="E207" s="9" t="n">
        <v>15.72</v>
      </c>
      <c r="F207" s="9" t="n">
        <v>15.65</v>
      </c>
      <c r="G207" s="9" t="n">
        <v>15.77</v>
      </c>
      <c r="H207" s="9" t="n">
        <v>15.8</v>
      </c>
      <c r="I207" s="9" t="n">
        <f aca="false">E207-H207</f>
        <v>-0.0800000000000001</v>
      </c>
      <c r="J207" s="8" t="n">
        <f aca="false">ROUND(D207*E207/100,0)</f>
        <v>3131</v>
      </c>
      <c r="K207" s="9" t="n">
        <v>27.27</v>
      </c>
      <c r="L207" s="9" t="n">
        <v>27.51</v>
      </c>
      <c r="M207" s="9" t="n">
        <v>95.97</v>
      </c>
      <c r="N207" s="9" t="n">
        <v>70.52</v>
      </c>
      <c r="O207" s="9" t="n">
        <v>27.69</v>
      </c>
      <c r="P207" s="2" t="n">
        <f aca="false">RANK(E207,$E$2:$E$350,0)</f>
        <v>169</v>
      </c>
      <c r="Q207" s="2" t="str">
        <f aca="false">IF(E207&gt;=30,"بسیار بالا",IF(E207&gt;=20,"بالا",IF(E207&gt;=13,"متوسط",IF(E207&gt;=8,"پایین","بسیار پایین"))))</f>
        <v>متوسط</v>
      </c>
      <c r="R207" s="10" t="n">
        <v>207.1</v>
      </c>
      <c r="S207" s="11" t="n">
        <v>0.006</v>
      </c>
      <c r="T207" s="8" t="n">
        <v>85</v>
      </c>
      <c r="U207" s="2" t="s">
        <v>45</v>
      </c>
      <c r="V207" s="2" t="s">
        <v>314</v>
      </c>
      <c r="W207" s="2" t="n">
        <v>0.98</v>
      </c>
      <c r="X207" s="12" t="s">
        <v>46</v>
      </c>
    </row>
    <row r="208" customFormat="false" ht="16.4" hidden="false" customHeight="false" outlineLevel="0" collapsed="false">
      <c r="A208" s="2" t="n">
        <v>207</v>
      </c>
      <c r="B208" s="2" t="n">
        <v>13</v>
      </c>
      <c r="C208" s="2" t="s">
        <v>315</v>
      </c>
      <c r="D208" s="8" t="n">
        <v>26706</v>
      </c>
      <c r="E208" s="9" t="n">
        <v>15.6</v>
      </c>
      <c r="F208" s="9" t="n">
        <v>15.51</v>
      </c>
      <c r="G208" s="9" t="n">
        <v>15.68</v>
      </c>
      <c r="H208" s="9" t="n">
        <v>15.8</v>
      </c>
      <c r="I208" s="9" t="n">
        <f aca="false">E208-H208</f>
        <v>-0.200000000000001</v>
      </c>
      <c r="J208" s="8" t="n">
        <f aca="false">ROUND(D208*E208/100,0)</f>
        <v>4166</v>
      </c>
      <c r="K208" s="9" t="n">
        <v>27.1</v>
      </c>
      <c r="L208" s="9" t="n">
        <v>27.36</v>
      </c>
      <c r="M208" s="9" t="n">
        <v>95.94</v>
      </c>
      <c r="N208" s="9" t="n">
        <v>70.26</v>
      </c>
      <c r="O208" s="9" t="n">
        <v>27.54</v>
      </c>
      <c r="P208" s="2" t="n">
        <f aca="false">RANK(E208,$E$2:$E$350,0)</f>
        <v>174</v>
      </c>
      <c r="Q208" s="2" t="str">
        <f aca="false">IF(E208&gt;=30,"بسیار بالا",IF(E208&gt;=20,"بالا",IF(E208&gt;=13,"متوسط",IF(E208&gt;=8,"پایین","بسیار پایین"))))</f>
        <v>متوسط</v>
      </c>
      <c r="R208" s="10"/>
      <c r="S208" s="11" t="n">
        <v>0</v>
      </c>
      <c r="T208" s="8" t="n">
        <v>0</v>
      </c>
      <c r="U208" s="2" t="s">
        <v>64</v>
      </c>
      <c r="V208" s="12" t="s">
        <v>65</v>
      </c>
      <c r="W208" s="2" t="n">
        <v>0</v>
      </c>
      <c r="X208" s="12" t="s">
        <v>66</v>
      </c>
    </row>
    <row r="209" customFormat="false" ht="16.4" hidden="false" customHeight="false" outlineLevel="0" collapsed="false">
      <c r="A209" s="2" t="n">
        <v>208</v>
      </c>
      <c r="B209" s="2" t="n">
        <v>13</v>
      </c>
      <c r="C209" s="2" t="s">
        <v>316</v>
      </c>
      <c r="D209" s="8" t="n">
        <v>3459</v>
      </c>
      <c r="E209" s="9" t="n">
        <v>15.6</v>
      </c>
      <c r="F209" s="9" t="n">
        <v>15.51</v>
      </c>
      <c r="G209" s="9" t="n">
        <v>15.68</v>
      </c>
      <c r="H209" s="9" t="n">
        <v>15.8</v>
      </c>
      <c r="I209" s="9" t="n">
        <f aca="false">E209-H209</f>
        <v>-0.200000000000001</v>
      </c>
      <c r="J209" s="8" t="n">
        <f aca="false">ROUND(D209*E209/100,0)</f>
        <v>540</v>
      </c>
      <c r="K209" s="9" t="n">
        <v>27.1</v>
      </c>
      <c r="L209" s="9" t="n">
        <v>27.36</v>
      </c>
      <c r="M209" s="9" t="n">
        <v>95.94</v>
      </c>
      <c r="N209" s="9" t="n">
        <v>70.26</v>
      </c>
      <c r="O209" s="9" t="n">
        <v>27.54</v>
      </c>
      <c r="P209" s="2" t="n">
        <f aca="false">RANK(E209,$E$2:$E$350,0)</f>
        <v>174</v>
      </c>
      <c r="Q209" s="2" t="str">
        <f aca="false">IF(E209&gt;=30,"بسیار بالا",IF(E209&gt;=20,"بالا",IF(E209&gt;=13,"متوسط",IF(E209&gt;=8,"پایین","بسیار پایین"))))</f>
        <v>متوسط</v>
      </c>
      <c r="R209" s="10"/>
      <c r="S209" s="11" t="n">
        <v>0</v>
      </c>
      <c r="T209" s="8" t="n">
        <v>0</v>
      </c>
      <c r="U209" s="2" t="s">
        <v>64</v>
      </c>
      <c r="V209" s="12" t="s">
        <v>65</v>
      </c>
      <c r="W209" s="2" t="n">
        <v>0</v>
      </c>
      <c r="X209" s="12" t="s">
        <v>66</v>
      </c>
    </row>
    <row r="210" customFormat="false" ht="16.4" hidden="false" customHeight="false" outlineLevel="0" collapsed="false">
      <c r="A210" s="2" t="n">
        <v>209</v>
      </c>
      <c r="B210" s="2" t="n">
        <v>13</v>
      </c>
      <c r="C210" s="2" t="s">
        <v>317</v>
      </c>
      <c r="D210" s="8" t="n">
        <v>1415</v>
      </c>
      <c r="E210" s="9" t="n">
        <v>13.75</v>
      </c>
      <c r="F210" s="9" t="n">
        <v>13.3</v>
      </c>
      <c r="G210" s="9" t="n">
        <v>14.2</v>
      </c>
      <c r="H210" s="9" t="n">
        <v>15.8</v>
      </c>
      <c r="I210" s="9" t="n">
        <f aca="false">E210-H210</f>
        <v>-2.05</v>
      </c>
      <c r="J210" s="8" t="n">
        <f aca="false">ROUND(D210*E210/100,0)</f>
        <v>195</v>
      </c>
      <c r="K210" s="9" t="n">
        <v>24.28</v>
      </c>
      <c r="L210" s="9" t="n">
        <v>25.01</v>
      </c>
      <c r="M210" s="9" t="n">
        <v>95.5</v>
      </c>
      <c r="N210" s="9" t="n">
        <v>65.66</v>
      </c>
      <c r="O210" s="9" t="n">
        <v>24.94</v>
      </c>
      <c r="P210" s="2" t="n">
        <f aca="false">RANK(E210,$E$2:$E$350,0)</f>
        <v>204</v>
      </c>
      <c r="Q210" s="2" t="str">
        <f aca="false">IF(E210&gt;=30,"بسیار بالا",IF(E210&gt;=20,"بالا",IF(E210&gt;=13,"متوسط",IF(E210&gt;=8,"پایین","بسیار پایین"))))</f>
        <v>متوسط</v>
      </c>
      <c r="R210" s="10" t="n">
        <v>160</v>
      </c>
      <c r="S210" s="11" t="n">
        <v>-0.104</v>
      </c>
      <c r="T210" s="8" t="n">
        <v>9</v>
      </c>
      <c r="U210" s="2" t="s">
        <v>54</v>
      </c>
      <c r="V210" s="2" t="s">
        <v>318</v>
      </c>
      <c r="W210" s="2" t="n">
        <v>0.92</v>
      </c>
      <c r="X210" s="12" t="s">
        <v>112</v>
      </c>
    </row>
    <row r="211" customFormat="false" ht="16.4" hidden="false" customHeight="false" outlineLevel="0" collapsed="false">
      <c r="A211" s="2" t="n">
        <v>210</v>
      </c>
      <c r="B211" s="2" t="n">
        <v>13</v>
      </c>
      <c r="C211" s="2" t="s">
        <v>319</v>
      </c>
      <c r="D211" s="8" t="n">
        <v>16578</v>
      </c>
      <c r="E211" s="9" t="n">
        <v>12.21</v>
      </c>
      <c r="F211" s="9" t="n">
        <v>11.51</v>
      </c>
      <c r="G211" s="9" t="n">
        <v>12.94</v>
      </c>
      <c r="H211" s="9" t="n">
        <v>15.8</v>
      </c>
      <c r="I211" s="9" t="n">
        <f aca="false">E211-H211</f>
        <v>-3.59</v>
      </c>
      <c r="J211" s="8" t="n">
        <f aca="false">ROUND(D211*E211/100,0)</f>
        <v>2024</v>
      </c>
      <c r="K211" s="9" t="n">
        <v>21.86</v>
      </c>
      <c r="L211" s="9" t="n">
        <v>22.97</v>
      </c>
      <c r="M211" s="9" t="n">
        <v>95.04</v>
      </c>
      <c r="N211" s="9" t="n">
        <v>61.15</v>
      </c>
      <c r="O211" s="9" t="n">
        <v>22.7</v>
      </c>
      <c r="P211" s="2" t="n">
        <f aca="false">RANK(E211,$E$2:$E$350,0)</f>
        <v>220</v>
      </c>
      <c r="Q211" s="2" t="str">
        <f aca="false">IF(E211&gt;=30,"بسیار بالا",IF(E211&gt;=20,"بالا",IF(E211&gt;=13,"متوسط",IF(E211&gt;=8,"پایین","بسیار پایین"))))</f>
        <v>پایین</v>
      </c>
      <c r="R211" s="10" t="n">
        <v>179.7</v>
      </c>
      <c r="S211" s="11" t="n">
        <v>-0.199</v>
      </c>
      <c r="T211" s="8" t="n">
        <v>90</v>
      </c>
      <c r="U211" s="2" t="s">
        <v>45</v>
      </c>
      <c r="V211" s="2" t="s">
        <v>320</v>
      </c>
      <c r="W211" s="2" t="n">
        <v>0.99</v>
      </c>
      <c r="X211" s="12" t="s">
        <v>46</v>
      </c>
    </row>
    <row r="212" customFormat="false" ht="16.4" hidden="false" customHeight="false" outlineLevel="0" collapsed="false">
      <c r="A212" s="2" t="n">
        <v>211</v>
      </c>
      <c r="B212" s="2" t="n">
        <v>13</v>
      </c>
      <c r="C212" s="2" t="s">
        <v>321</v>
      </c>
      <c r="D212" s="8" t="n">
        <v>16068</v>
      </c>
      <c r="E212" s="9" t="n">
        <v>11.38</v>
      </c>
      <c r="F212" s="9" t="n">
        <v>10.55</v>
      </c>
      <c r="G212" s="9" t="n">
        <v>12.25</v>
      </c>
      <c r="H212" s="9" t="n">
        <v>15.8</v>
      </c>
      <c r="I212" s="9" t="n">
        <f aca="false">E212-H212</f>
        <v>-4.42</v>
      </c>
      <c r="J212" s="8" t="n">
        <f aca="false">ROUND(D212*E212/100,0)</f>
        <v>1829</v>
      </c>
      <c r="K212" s="9" t="n">
        <v>20.52</v>
      </c>
      <c r="L212" s="9" t="n">
        <v>21.82</v>
      </c>
      <c r="M212" s="9" t="n">
        <v>94.75</v>
      </c>
      <c r="N212" s="9" t="n">
        <v>58.39</v>
      </c>
      <c r="O212" s="9" t="n">
        <v>21.45</v>
      </c>
      <c r="P212" s="2" t="n">
        <f aca="false">RANK(E212,$E$2:$E$350,0)</f>
        <v>236</v>
      </c>
      <c r="Q212" s="2" t="str">
        <f aca="false">IF(E212&gt;=30,"بسیار بالا",IF(E212&gt;=20,"بالا",IF(E212&gt;=13,"متوسط",IF(E212&gt;=8,"پایین","بسیار پایین"))))</f>
        <v>پایین</v>
      </c>
      <c r="R212" s="10" t="n">
        <v>165.2</v>
      </c>
      <c r="S212" s="11" t="n">
        <v>-0.256</v>
      </c>
      <c r="T212" s="8" t="n">
        <v>89</v>
      </c>
      <c r="U212" s="2" t="s">
        <v>54</v>
      </c>
      <c r="V212" s="2" t="s">
        <v>322</v>
      </c>
      <c r="W212" s="2" t="n">
        <v>0.99</v>
      </c>
      <c r="X212" s="12" t="s">
        <v>46</v>
      </c>
    </row>
    <row r="213" customFormat="false" ht="16.4" hidden="false" customHeight="false" outlineLevel="0" collapsed="false">
      <c r="A213" s="2" t="n">
        <v>212</v>
      </c>
      <c r="B213" s="2" t="n">
        <v>13</v>
      </c>
      <c r="C213" s="2" t="s">
        <v>323</v>
      </c>
      <c r="D213" s="8" t="n">
        <v>22406</v>
      </c>
      <c r="E213" s="9" t="n">
        <v>11.12</v>
      </c>
      <c r="F213" s="9" t="n">
        <v>10.26</v>
      </c>
      <c r="G213" s="9" t="n">
        <v>12.03</v>
      </c>
      <c r="H213" s="9" t="n">
        <v>15.8</v>
      </c>
      <c r="I213" s="9" t="n">
        <f aca="false">E213-H213</f>
        <v>-4.68</v>
      </c>
      <c r="J213" s="8" t="n">
        <f aca="false">ROUND(D213*E213/100,0)</f>
        <v>2492</v>
      </c>
      <c r="K213" s="9" t="n">
        <v>20.11</v>
      </c>
      <c r="L213" s="9" t="n">
        <v>21.47</v>
      </c>
      <c r="M213" s="9" t="n">
        <v>94.66</v>
      </c>
      <c r="N213" s="9" t="n">
        <v>57.51</v>
      </c>
      <c r="O213" s="9" t="n">
        <v>21.06</v>
      </c>
      <c r="P213" s="2" t="n">
        <f aca="false">RANK(E213,$E$2:$E$350,0)</f>
        <v>240</v>
      </c>
      <c r="Q213" s="2" t="str">
        <f aca="false">IF(E213&gt;=30,"بسیار بالا",IF(E213&gt;=20,"بالا",IF(E213&gt;=13,"متوسط",IF(E213&gt;=8,"پایین","بسیار پایین"))))</f>
        <v>پایین</v>
      </c>
      <c r="R213" s="10" t="n">
        <v>164.2</v>
      </c>
      <c r="S213" s="11" t="n">
        <v>-0.274</v>
      </c>
      <c r="T213" s="8" t="n">
        <v>82</v>
      </c>
      <c r="U213" s="2" t="s">
        <v>45</v>
      </c>
      <c r="V213" s="2" t="s">
        <v>323</v>
      </c>
      <c r="W213" s="2" t="n">
        <v>0.99</v>
      </c>
      <c r="X213" s="12" t="s">
        <v>46</v>
      </c>
    </row>
    <row r="214" customFormat="false" ht="16.4" hidden="false" customHeight="false" outlineLevel="0" collapsed="false">
      <c r="A214" s="2" t="n">
        <v>213</v>
      </c>
      <c r="B214" s="2" t="n">
        <v>14</v>
      </c>
      <c r="C214" s="2" t="s">
        <v>324</v>
      </c>
      <c r="D214" s="8" t="n">
        <v>41127</v>
      </c>
      <c r="E214" s="9" t="n">
        <v>17.92</v>
      </c>
      <c r="F214" s="9" t="n">
        <v>16.53</v>
      </c>
      <c r="G214" s="9" t="n">
        <v>19.38</v>
      </c>
      <c r="H214" s="9" t="n">
        <v>12</v>
      </c>
      <c r="I214" s="9" t="n">
        <f aca="false">E214-H214</f>
        <v>5.92</v>
      </c>
      <c r="J214" s="8" t="n">
        <f aca="false">ROUND(D214*E214/100,0)</f>
        <v>7370</v>
      </c>
      <c r="K214" s="9" t="n">
        <v>31.33</v>
      </c>
      <c r="L214" s="9" t="n">
        <v>29.71</v>
      </c>
      <c r="M214" s="9" t="n">
        <v>96.71</v>
      </c>
      <c r="N214" s="9" t="n">
        <v>75.85</v>
      </c>
      <c r="O214" s="9" t="n">
        <v>29.66</v>
      </c>
      <c r="P214" s="2" t="n">
        <f aca="false">RANK(E214,$E$2:$E$350,0)</f>
        <v>139</v>
      </c>
      <c r="Q214" s="2" t="str">
        <f aca="false">IF(E214&gt;=30,"بسیار بالا",IF(E214&gt;=20,"بالا",IF(E214&gt;=13,"متوسط",IF(E214&gt;=8,"پایین","بسیار پایین"))))</f>
        <v>متوسط</v>
      </c>
      <c r="R214" s="10" t="n">
        <v>262</v>
      </c>
      <c r="S214" s="11" t="n">
        <v>0.342</v>
      </c>
      <c r="T214" s="8" t="n">
        <v>86</v>
      </c>
      <c r="U214" s="2" t="s">
        <v>45</v>
      </c>
      <c r="V214" s="2" t="s">
        <v>324</v>
      </c>
      <c r="W214" s="2" t="n">
        <v>0.99</v>
      </c>
      <c r="X214" s="12" t="s">
        <v>46</v>
      </c>
    </row>
    <row r="215" customFormat="false" ht="16.4" hidden="false" customHeight="false" outlineLevel="0" collapsed="false">
      <c r="A215" s="2" t="n">
        <v>214</v>
      </c>
      <c r="B215" s="2" t="n">
        <v>14</v>
      </c>
      <c r="C215" s="2" t="s">
        <v>325</v>
      </c>
      <c r="D215" s="8" t="n">
        <v>31417</v>
      </c>
      <c r="E215" s="9" t="n">
        <v>13.4</v>
      </c>
      <c r="F215" s="9" t="n">
        <v>13.12</v>
      </c>
      <c r="G215" s="9" t="n">
        <v>13.66</v>
      </c>
      <c r="H215" s="9" t="n">
        <v>12</v>
      </c>
      <c r="I215" s="9" t="n">
        <f aca="false">E215-H215</f>
        <v>1.4</v>
      </c>
      <c r="J215" s="8" t="n">
        <f aca="false">ROUND(D215*E215/100,0)</f>
        <v>4210</v>
      </c>
      <c r="K215" s="9" t="n">
        <v>24.43</v>
      </c>
      <c r="L215" s="9" t="n">
        <v>24.14</v>
      </c>
      <c r="M215" s="9" t="n">
        <v>95.79</v>
      </c>
      <c r="N215" s="9" t="n">
        <v>65.75</v>
      </c>
      <c r="O215" s="9" t="n">
        <v>23.58</v>
      </c>
      <c r="P215" s="2" t="n">
        <f aca="false">RANK(E215,$E$2:$E$350,0)</f>
        <v>208</v>
      </c>
      <c r="Q215" s="2" t="str">
        <f aca="false">IF(E215&gt;=30,"بسیار بالا",IF(E215&gt;=20,"بالا",IF(E215&gt;=13,"متوسط",IF(E215&gt;=8,"پایین","بسیار پایین"))))</f>
        <v>متوسط</v>
      </c>
      <c r="R215" s="10" t="n">
        <v>208</v>
      </c>
      <c r="S215" s="11" t="n">
        <v>0.1</v>
      </c>
      <c r="T215" s="8" t="n">
        <v>84</v>
      </c>
      <c r="U215" s="2" t="s">
        <v>45</v>
      </c>
      <c r="V215" s="2" t="s">
        <v>325</v>
      </c>
      <c r="W215" s="2" t="n">
        <v>0.99</v>
      </c>
      <c r="X215" s="12" t="s">
        <v>46</v>
      </c>
    </row>
    <row r="216" customFormat="false" ht="16.4" hidden="false" customHeight="false" outlineLevel="0" collapsed="false">
      <c r="A216" s="2" t="n">
        <v>215</v>
      </c>
      <c r="B216" s="2" t="n">
        <v>14</v>
      </c>
      <c r="C216" s="2" t="s">
        <v>326</v>
      </c>
      <c r="D216" s="8" t="n">
        <v>22330</v>
      </c>
      <c r="E216" s="9" t="n">
        <v>13.35</v>
      </c>
      <c r="F216" s="9" t="n">
        <v>13.08</v>
      </c>
      <c r="G216" s="9" t="n">
        <v>13.6</v>
      </c>
      <c r="H216" s="9" t="n">
        <v>12</v>
      </c>
      <c r="I216" s="9" t="n">
        <f aca="false">E216-H216</f>
        <v>1.35</v>
      </c>
      <c r="J216" s="8" t="n">
        <f aca="false">ROUND(D216*E216/100,0)</f>
        <v>2981</v>
      </c>
      <c r="K216" s="9" t="n">
        <v>24.35</v>
      </c>
      <c r="L216" s="9" t="n">
        <v>24.08</v>
      </c>
      <c r="M216" s="9" t="n">
        <v>95.78</v>
      </c>
      <c r="N216" s="9" t="n">
        <v>65.61</v>
      </c>
      <c r="O216" s="9" t="n">
        <v>23.51</v>
      </c>
      <c r="P216" s="2" t="n">
        <f aca="false">RANK(E216,$E$2:$E$350,0)</f>
        <v>209</v>
      </c>
      <c r="Q216" s="2" t="str">
        <f aca="false">IF(E216&gt;=30,"بسیار بالا",IF(E216&gt;=20,"بالا",IF(E216&gt;=13,"متوسط",IF(E216&gt;=8,"پایین","بسیار پایین"))))</f>
        <v>متوسط</v>
      </c>
      <c r="R216" s="10" t="n">
        <v>182.5</v>
      </c>
      <c r="S216" s="11" t="n">
        <v>0.097</v>
      </c>
      <c r="T216" s="8" t="n">
        <v>79</v>
      </c>
      <c r="U216" s="2" t="s">
        <v>45</v>
      </c>
      <c r="V216" s="2" t="s">
        <v>326</v>
      </c>
      <c r="W216" s="2" t="n">
        <v>0.99</v>
      </c>
      <c r="X216" s="12" t="s">
        <v>46</v>
      </c>
    </row>
    <row r="217" customFormat="false" ht="16.4" hidden="false" customHeight="false" outlineLevel="0" collapsed="false">
      <c r="A217" s="2" t="n">
        <v>216</v>
      </c>
      <c r="B217" s="2" t="n">
        <v>14</v>
      </c>
      <c r="C217" s="2" t="s">
        <v>327</v>
      </c>
      <c r="D217" s="8" t="n">
        <v>24744</v>
      </c>
      <c r="E217" s="9" t="n">
        <v>12.88</v>
      </c>
      <c r="F217" s="9" t="n">
        <v>12.72</v>
      </c>
      <c r="G217" s="9" t="n">
        <v>13.03</v>
      </c>
      <c r="H217" s="9" t="n">
        <v>12</v>
      </c>
      <c r="I217" s="9" t="n">
        <f aca="false">E217-H217</f>
        <v>0.880000000000001</v>
      </c>
      <c r="J217" s="8" t="n">
        <f aca="false">ROUND(D217*E217/100,0)</f>
        <v>3187</v>
      </c>
      <c r="K217" s="9" t="n">
        <v>23.6</v>
      </c>
      <c r="L217" s="9" t="n">
        <v>23.47</v>
      </c>
      <c r="M217" s="9" t="n">
        <v>95.66</v>
      </c>
      <c r="N217" s="9" t="n">
        <v>64.28</v>
      </c>
      <c r="O217" s="9" t="n">
        <v>22.85</v>
      </c>
      <c r="P217" s="2" t="n">
        <f aca="false">RANK(E217,$E$2:$E$350,0)</f>
        <v>213</v>
      </c>
      <c r="Q217" s="2" t="str">
        <f aca="false">IF(E217&gt;=30,"بسیار بالا",IF(E217&gt;=20,"بالا",IF(E217&gt;=13,"متوسط",IF(E217&gt;=8,"پایین","بسیار پایین"))))</f>
        <v>پایین</v>
      </c>
      <c r="R217" s="10" t="n">
        <v>197.4</v>
      </c>
      <c r="S217" s="11" t="n">
        <v>0.068</v>
      </c>
      <c r="T217" s="8" t="n">
        <v>77</v>
      </c>
      <c r="U217" s="2" t="s">
        <v>45</v>
      </c>
      <c r="V217" s="2" t="s">
        <v>328</v>
      </c>
      <c r="W217" s="2" t="n">
        <v>0.99</v>
      </c>
      <c r="X217" s="12" t="s">
        <v>46</v>
      </c>
    </row>
    <row r="218" customFormat="false" ht="16.4" hidden="false" customHeight="false" outlineLevel="0" collapsed="false">
      <c r="A218" s="2" t="n">
        <v>217</v>
      </c>
      <c r="B218" s="2" t="n">
        <v>14</v>
      </c>
      <c r="C218" s="2" t="s">
        <v>329</v>
      </c>
      <c r="D218" s="8" t="n">
        <v>37422</v>
      </c>
      <c r="E218" s="9" t="n">
        <v>11.83</v>
      </c>
      <c r="F218" s="9" t="n">
        <v>11.75</v>
      </c>
      <c r="G218" s="9" t="n">
        <v>11.89</v>
      </c>
      <c r="H218" s="9" t="n">
        <v>12</v>
      </c>
      <c r="I218" s="9" t="n">
        <f aca="false">E218-H218</f>
        <v>-0.17</v>
      </c>
      <c r="J218" s="8" t="n">
        <f aca="false">ROUND(D218*E218/100,0)</f>
        <v>4427</v>
      </c>
      <c r="K218" s="9" t="n">
        <v>21.89</v>
      </c>
      <c r="L218" s="9" t="n">
        <v>22.06</v>
      </c>
      <c r="M218" s="9" t="n">
        <v>95.35</v>
      </c>
      <c r="N218" s="9" t="n">
        <v>61.03</v>
      </c>
      <c r="O218" s="9" t="n">
        <v>21.33</v>
      </c>
      <c r="P218" s="2" t="n">
        <f aca="false">RANK(E218,$E$2:$E$350,0)</f>
        <v>222</v>
      </c>
      <c r="Q218" s="2" t="str">
        <f aca="false">IF(E218&gt;=30,"بسیار بالا",IF(E218&gt;=20,"بالا",IF(E218&gt;=13,"متوسط",IF(E218&gt;=8,"پایین","بسیار پایین"))))</f>
        <v>پایین</v>
      </c>
      <c r="R218" s="10"/>
      <c r="S218" s="11" t="n">
        <v>0</v>
      </c>
      <c r="T218" s="8" t="n">
        <v>0</v>
      </c>
      <c r="U218" s="2" t="s">
        <v>64</v>
      </c>
      <c r="V218" s="12" t="s">
        <v>65</v>
      </c>
      <c r="W218" s="2" t="n">
        <v>0</v>
      </c>
      <c r="X218" s="12" t="s">
        <v>66</v>
      </c>
    </row>
    <row r="219" customFormat="false" ht="16.4" hidden="false" customHeight="false" outlineLevel="0" collapsed="false">
      <c r="A219" s="2" t="n">
        <v>218</v>
      </c>
      <c r="B219" s="2" t="n">
        <v>14</v>
      </c>
      <c r="C219" s="2" t="s">
        <v>330</v>
      </c>
      <c r="D219" s="8" t="n">
        <v>28570</v>
      </c>
      <c r="E219" s="9" t="n">
        <v>11.83</v>
      </c>
      <c r="F219" s="9" t="n">
        <v>11.75</v>
      </c>
      <c r="G219" s="9" t="n">
        <v>11.89</v>
      </c>
      <c r="H219" s="9" t="n">
        <v>12</v>
      </c>
      <c r="I219" s="9" t="n">
        <f aca="false">E219-H219</f>
        <v>-0.17</v>
      </c>
      <c r="J219" s="8" t="n">
        <f aca="false">ROUND(D219*E219/100,0)</f>
        <v>3380</v>
      </c>
      <c r="K219" s="9" t="n">
        <v>21.89</v>
      </c>
      <c r="L219" s="9" t="n">
        <v>22.06</v>
      </c>
      <c r="M219" s="9" t="n">
        <v>95.35</v>
      </c>
      <c r="N219" s="9" t="n">
        <v>61.03</v>
      </c>
      <c r="O219" s="9" t="n">
        <v>21.33</v>
      </c>
      <c r="P219" s="2" t="n">
        <f aca="false">RANK(E219,$E$2:$E$350,0)</f>
        <v>222</v>
      </c>
      <c r="Q219" s="2" t="str">
        <f aca="false">IF(E219&gt;=30,"بسیار بالا",IF(E219&gt;=20,"بالا",IF(E219&gt;=13,"متوسط",IF(E219&gt;=8,"پایین","بسیار پایین"))))</f>
        <v>پایین</v>
      </c>
      <c r="R219" s="10"/>
      <c r="S219" s="11" t="n">
        <v>0</v>
      </c>
      <c r="T219" s="8" t="n">
        <v>0</v>
      </c>
      <c r="U219" s="2" t="s">
        <v>64</v>
      </c>
      <c r="V219" s="12" t="s">
        <v>65</v>
      </c>
      <c r="W219" s="2" t="n">
        <v>0</v>
      </c>
      <c r="X219" s="12" t="s">
        <v>66</v>
      </c>
    </row>
    <row r="220" customFormat="false" ht="16.4" hidden="false" customHeight="false" outlineLevel="0" collapsed="false">
      <c r="A220" s="2" t="n">
        <v>219</v>
      </c>
      <c r="B220" s="2" t="n">
        <v>14</v>
      </c>
      <c r="C220" s="2" t="s">
        <v>153</v>
      </c>
      <c r="D220" s="8" t="n">
        <v>24682</v>
      </c>
      <c r="E220" s="9" t="n">
        <v>11.83</v>
      </c>
      <c r="F220" s="9" t="n">
        <v>11.75</v>
      </c>
      <c r="G220" s="9" t="n">
        <v>11.89</v>
      </c>
      <c r="H220" s="9" t="n">
        <v>12</v>
      </c>
      <c r="I220" s="9" t="n">
        <f aca="false">E220-H220</f>
        <v>-0.17</v>
      </c>
      <c r="J220" s="8" t="n">
        <f aca="false">ROUND(D220*E220/100,0)</f>
        <v>2920</v>
      </c>
      <c r="K220" s="9" t="n">
        <v>21.89</v>
      </c>
      <c r="L220" s="9" t="n">
        <v>22.06</v>
      </c>
      <c r="M220" s="9" t="n">
        <v>95.35</v>
      </c>
      <c r="N220" s="9" t="n">
        <v>61.03</v>
      </c>
      <c r="O220" s="9" t="n">
        <v>21.33</v>
      </c>
      <c r="P220" s="2" t="n">
        <f aca="false">RANK(E220,$E$2:$E$350,0)</f>
        <v>222</v>
      </c>
      <c r="Q220" s="2" t="str">
        <f aca="false">IF(E220&gt;=30,"بسیار بالا",IF(E220&gt;=20,"بالا",IF(E220&gt;=13,"متوسط",IF(E220&gt;=8,"پایین","بسیار پایین"))))</f>
        <v>پایین</v>
      </c>
      <c r="R220" s="10"/>
      <c r="S220" s="11" t="n">
        <v>0</v>
      </c>
      <c r="T220" s="8" t="n">
        <v>0</v>
      </c>
      <c r="U220" s="2" t="s">
        <v>64</v>
      </c>
      <c r="V220" s="12" t="s">
        <v>65</v>
      </c>
      <c r="W220" s="2" t="n">
        <v>0</v>
      </c>
      <c r="X220" s="12" t="s">
        <v>66</v>
      </c>
    </row>
    <row r="221" customFormat="false" ht="16.4" hidden="false" customHeight="false" outlineLevel="0" collapsed="false">
      <c r="A221" s="2" t="n">
        <v>220</v>
      </c>
      <c r="B221" s="2" t="n">
        <v>14</v>
      </c>
      <c r="C221" s="2" t="s">
        <v>331</v>
      </c>
      <c r="D221" s="8" t="n">
        <v>23985</v>
      </c>
      <c r="E221" s="9" t="n">
        <v>11.83</v>
      </c>
      <c r="F221" s="9" t="n">
        <v>11.75</v>
      </c>
      <c r="G221" s="9" t="n">
        <v>11.89</v>
      </c>
      <c r="H221" s="9" t="n">
        <v>12</v>
      </c>
      <c r="I221" s="9" t="n">
        <f aca="false">E221-H221</f>
        <v>-0.17</v>
      </c>
      <c r="J221" s="8" t="n">
        <f aca="false">ROUND(D221*E221/100,0)</f>
        <v>2837</v>
      </c>
      <c r="K221" s="9" t="n">
        <v>21.89</v>
      </c>
      <c r="L221" s="9" t="n">
        <v>22.06</v>
      </c>
      <c r="M221" s="9" t="n">
        <v>95.35</v>
      </c>
      <c r="N221" s="9" t="n">
        <v>61.03</v>
      </c>
      <c r="O221" s="9" t="n">
        <v>21.33</v>
      </c>
      <c r="P221" s="2" t="n">
        <f aca="false">RANK(E221,$E$2:$E$350,0)</f>
        <v>222</v>
      </c>
      <c r="Q221" s="2" t="str">
        <f aca="false">IF(E221&gt;=30,"بسیار بالا",IF(E221&gt;=20,"بالا",IF(E221&gt;=13,"متوسط",IF(E221&gt;=8,"پایین","بسیار پایین"))))</f>
        <v>پایین</v>
      </c>
      <c r="R221" s="10"/>
      <c r="S221" s="11" t="n">
        <v>0</v>
      </c>
      <c r="T221" s="8" t="n">
        <v>0</v>
      </c>
      <c r="U221" s="2" t="s">
        <v>64</v>
      </c>
      <c r="V221" s="12" t="s">
        <v>65</v>
      </c>
      <c r="W221" s="2" t="n">
        <v>0</v>
      </c>
      <c r="X221" s="12" t="s">
        <v>66</v>
      </c>
    </row>
    <row r="222" customFormat="false" ht="16.4" hidden="false" customHeight="false" outlineLevel="0" collapsed="false">
      <c r="A222" s="2" t="n">
        <v>221</v>
      </c>
      <c r="B222" s="2" t="n">
        <v>14</v>
      </c>
      <c r="C222" s="2" t="s">
        <v>332</v>
      </c>
      <c r="D222" s="8" t="n">
        <v>22237</v>
      </c>
      <c r="E222" s="9" t="n">
        <v>11.83</v>
      </c>
      <c r="F222" s="9" t="n">
        <v>11.75</v>
      </c>
      <c r="G222" s="9" t="n">
        <v>11.89</v>
      </c>
      <c r="H222" s="9" t="n">
        <v>12</v>
      </c>
      <c r="I222" s="9" t="n">
        <f aca="false">E222-H222</f>
        <v>-0.17</v>
      </c>
      <c r="J222" s="8" t="n">
        <f aca="false">ROUND(D222*E222/100,0)</f>
        <v>2631</v>
      </c>
      <c r="K222" s="9" t="n">
        <v>21.89</v>
      </c>
      <c r="L222" s="9" t="n">
        <v>22.06</v>
      </c>
      <c r="M222" s="9" t="n">
        <v>95.35</v>
      </c>
      <c r="N222" s="9" t="n">
        <v>61.03</v>
      </c>
      <c r="O222" s="9" t="n">
        <v>21.33</v>
      </c>
      <c r="P222" s="2" t="n">
        <f aca="false">RANK(E222,$E$2:$E$350,0)</f>
        <v>222</v>
      </c>
      <c r="Q222" s="2" t="str">
        <f aca="false">IF(E222&gt;=30,"بسیار بالا",IF(E222&gt;=20,"بالا",IF(E222&gt;=13,"متوسط",IF(E222&gt;=8,"پایین","بسیار پایین"))))</f>
        <v>پایین</v>
      </c>
      <c r="R222" s="10"/>
      <c r="S222" s="11" t="n">
        <v>0</v>
      </c>
      <c r="T222" s="8" t="n">
        <v>0</v>
      </c>
      <c r="U222" s="2" t="s">
        <v>64</v>
      </c>
      <c r="V222" s="12" t="s">
        <v>65</v>
      </c>
      <c r="W222" s="2" t="n">
        <v>0</v>
      </c>
      <c r="X222" s="12" t="s">
        <v>66</v>
      </c>
    </row>
    <row r="223" customFormat="false" ht="16.4" hidden="false" customHeight="false" outlineLevel="0" collapsed="false">
      <c r="A223" s="2" t="n">
        <v>222</v>
      </c>
      <c r="B223" s="2" t="n">
        <v>14</v>
      </c>
      <c r="C223" s="2" t="s">
        <v>333</v>
      </c>
      <c r="D223" s="8" t="n">
        <v>22166</v>
      </c>
      <c r="E223" s="9" t="n">
        <v>11.83</v>
      </c>
      <c r="F223" s="9" t="n">
        <v>11.75</v>
      </c>
      <c r="G223" s="9" t="n">
        <v>11.89</v>
      </c>
      <c r="H223" s="9" t="n">
        <v>12</v>
      </c>
      <c r="I223" s="9" t="n">
        <f aca="false">E223-H223</f>
        <v>-0.17</v>
      </c>
      <c r="J223" s="8" t="n">
        <f aca="false">ROUND(D223*E223/100,0)</f>
        <v>2622</v>
      </c>
      <c r="K223" s="9" t="n">
        <v>21.89</v>
      </c>
      <c r="L223" s="9" t="n">
        <v>22.06</v>
      </c>
      <c r="M223" s="9" t="n">
        <v>95.35</v>
      </c>
      <c r="N223" s="9" t="n">
        <v>61.03</v>
      </c>
      <c r="O223" s="9" t="n">
        <v>21.33</v>
      </c>
      <c r="P223" s="2" t="n">
        <f aca="false">RANK(E223,$E$2:$E$350,0)</f>
        <v>222</v>
      </c>
      <c r="Q223" s="2" t="str">
        <f aca="false">IF(E223&gt;=30,"بسیار بالا",IF(E223&gt;=20,"بالا",IF(E223&gt;=13,"متوسط",IF(E223&gt;=8,"پایین","بسیار پایین"))))</f>
        <v>پایین</v>
      </c>
      <c r="R223" s="10"/>
      <c r="S223" s="11" t="n">
        <v>0</v>
      </c>
      <c r="T223" s="8" t="n">
        <v>0</v>
      </c>
      <c r="U223" s="2" t="s">
        <v>64</v>
      </c>
      <c r="V223" s="12" t="s">
        <v>65</v>
      </c>
      <c r="W223" s="2" t="n">
        <v>0</v>
      </c>
      <c r="X223" s="12" t="s">
        <v>66</v>
      </c>
    </row>
    <row r="224" customFormat="false" ht="16.4" hidden="false" customHeight="false" outlineLevel="0" collapsed="false">
      <c r="A224" s="2" t="n">
        <v>223</v>
      </c>
      <c r="B224" s="2" t="n">
        <v>14</v>
      </c>
      <c r="C224" s="2" t="s">
        <v>334</v>
      </c>
      <c r="D224" s="8" t="n">
        <v>21690</v>
      </c>
      <c r="E224" s="9" t="n">
        <v>11.83</v>
      </c>
      <c r="F224" s="9" t="n">
        <v>11.75</v>
      </c>
      <c r="G224" s="9" t="n">
        <v>11.89</v>
      </c>
      <c r="H224" s="9" t="n">
        <v>12</v>
      </c>
      <c r="I224" s="9" t="n">
        <f aca="false">E224-H224</f>
        <v>-0.17</v>
      </c>
      <c r="J224" s="8" t="n">
        <f aca="false">ROUND(D224*E224/100,0)</f>
        <v>2566</v>
      </c>
      <c r="K224" s="9" t="n">
        <v>21.89</v>
      </c>
      <c r="L224" s="9" t="n">
        <v>22.06</v>
      </c>
      <c r="M224" s="9" t="n">
        <v>95.35</v>
      </c>
      <c r="N224" s="9" t="n">
        <v>61.03</v>
      </c>
      <c r="O224" s="9" t="n">
        <v>21.33</v>
      </c>
      <c r="P224" s="2" t="n">
        <f aca="false">RANK(E224,$E$2:$E$350,0)</f>
        <v>222</v>
      </c>
      <c r="Q224" s="2" t="str">
        <f aca="false">IF(E224&gt;=30,"بسیار بالا",IF(E224&gt;=20,"بالا",IF(E224&gt;=13,"متوسط",IF(E224&gt;=8,"پایین","بسیار پایین"))))</f>
        <v>پایین</v>
      </c>
      <c r="R224" s="10"/>
      <c r="S224" s="11" t="n">
        <v>0</v>
      </c>
      <c r="T224" s="8" t="n">
        <v>0</v>
      </c>
      <c r="U224" s="2" t="s">
        <v>64</v>
      </c>
      <c r="V224" s="12" t="s">
        <v>65</v>
      </c>
      <c r="W224" s="2" t="n">
        <v>0</v>
      </c>
      <c r="X224" s="12" t="s">
        <v>66</v>
      </c>
    </row>
    <row r="225" customFormat="false" ht="16.4" hidden="false" customHeight="false" outlineLevel="0" collapsed="false">
      <c r="A225" s="2" t="n">
        <v>224</v>
      </c>
      <c r="B225" s="2" t="n">
        <v>14</v>
      </c>
      <c r="C225" s="2" t="s">
        <v>335</v>
      </c>
      <c r="D225" s="8" t="n">
        <v>18322</v>
      </c>
      <c r="E225" s="9" t="n">
        <v>11.83</v>
      </c>
      <c r="F225" s="9" t="n">
        <v>11.75</v>
      </c>
      <c r="G225" s="9" t="n">
        <v>11.89</v>
      </c>
      <c r="H225" s="9" t="n">
        <v>12</v>
      </c>
      <c r="I225" s="9" t="n">
        <f aca="false">E225-H225</f>
        <v>-0.17</v>
      </c>
      <c r="J225" s="8" t="n">
        <f aca="false">ROUND(D225*E225/100,0)</f>
        <v>2167</v>
      </c>
      <c r="K225" s="9" t="n">
        <v>21.89</v>
      </c>
      <c r="L225" s="9" t="n">
        <v>22.06</v>
      </c>
      <c r="M225" s="9" t="n">
        <v>95.35</v>
      </c>
      <c r="N225" s="9" t="n">
        <v>61.03</v>
      </c>
      <c r="O225" s="9" t="n">
        <v>21.33</v>
      </c>
      <c r="P225" s="2" t="n">
        <f aca="false">RANK(E225,$E$2:$E$350,0)</f>
        <v>222</v>
      </c>
      <c r="Q225" s="2" t="str">
        <f aca="false">IF(E225&gt;=30,"بسیار بالا",IF(E225&gt;=20,"بالا",IF(E225&gt;=13,"متوسط",IF(E225&gt;=8,"پایین","بسیار پایین"))))</f>
        <v>پایین</v>
      </c>
      <c r="R225" s="10"/>
      <c r="S225" s="11" t="n">
        <v>0</v>
      </c>
      <c r="T225" s="8" t="n">
        <v>0</v>
      </c>
      <c r="U225" s="2" t="s">
        <v>64</v>
      </c>
      <c r="V225" s="12" t="s">
        <v>65</v>
      </c>
      <c r="W225" s="2" t="n">
        <v>0</v>
      </c>
      <c r="X225" s="12" t="s">
        <v>66</v>
      </c>
    </row>
    <row r="226" customFormat="false" ht="16.4" hidden="false" customHeight="false" outlineLevel="0" collapsed="false">
      <c r="A226" s="2" t="n">
        <v>225</v>
      </c>
      <c r="B226" s="2" t="n">
        <v>14</v>
      </c>
      <c r="C226" s="2" t="s">
        <v>224</v>
      </c>
      <c r="D226" s="8" t="n">
        <v>18256</v>
      </c>
      <c r="E226" s="9" t="n">
        <v>11.83</v>
      </c>
      <c r="F226" s="9" t="n">
        <v>11.75</v>
      </c>
      <c r="G226" s="9" t="n">
        <v>11.89</v>
      </c>
      <c r="H226" s="9" t="n">
        <v>12</v>
      </c>
      <c r="I226" s="9" t="n">
        <f aca="false">E226-H226</f>
        <v>-0.17</v>
      </c>
      <c r="J226" s="8" t="n">
        <f aca="false">ROUND(D226*E226/100,0)</f>
        <v>2160</v>
      </c>
      <c r="K226" s="9" t="n">
        <v>21.89</v>
      </c>
      <c r="L226" s="9" t="n">
        <v>22.06</v>
      </c>
      <c r="M226" s="9" t="n">
        <v>95.35</v>
      </c>
      <c r="N226" s="9" t="n">
        <v>61.03</v>
      </c>
      <c r="O226" s="9" t="n">
        <v>21.33</v>
      </c>
      <c r="P226" s="2" t="n">
        <f aca="false">RANK(E226,$E$2:$E$350,0)</f>
        <v>222</v>
      </c>
      <c r="Q226" s="2" t="str">
        <f aca="false">IF(E226&gt;=30,"بسیار بالا",IF(E226&gt;=20,"بالا",IF(E226&gt;=13,"متوسط",IF(E226&gt;=8,"پایین","بسیار پایین"))))</f>
        <v>پایین</v>
      </c>
      <c r="R226" s="10"/>
      <c r="S226" s="11" t="n">
        <v>0</v>
      </c>
      <c r="T226" s="8" t="n">
        <v>0</v>
      </c>
      <c r="U226" s="2" t="s">
        <v>64</v>
      </c>
      <c r="V226" s="12" t="s">
        <v>65</v>
      </c>
      <c r="W226" s="2" t="n">
        <v>0</v>
      </c>
      <c r="X226" s="12" t="s">
        <v>66</v>
      </c>
    </row>
    <row r="227" customFormat="false" ht="16.4" hidden="false" customHeight="false" outlineLevel="0" collapsed="false">
      <c r="A227" s="2" t="n">
        <v>226</v>
      </c>
      <c r="B227" s="2" t="n">
        <v>14</v>
      </c>
      <c r="C227" s="2" t="s">
        <v>168</v>
      </c>
      <c r="D227" s="8" t="n">
        <v>15985</v>
      </c>
      <c r="E227" s="9" t="n">
        <v>11.83</v>
      </c>
      <c r="F227" s="9" t="n">
        <v>11.75</v>
      </c>
      <c r="G227" s="9" t="n">
        <v>11.89</v>
      </c>
      <c r="H227" s="9" t="n">
        <v>12</v>
      </c>
      <c r="I227" s="9" t="n">
        <f aca="false">E227-H227</f>
        <v>-0.17</v>
      </c>
      <c r="J227" s="8" t="n">
        <f aca="false">ROUND(D227*E227/100,0)</f>
        <v>1891</v>
      </c>
      <c r="K227" s="9" t="n">
        <v>21.89</v>
      </c>
      <c r="L227" s="9" t="n">
        <v>22.06</v>
      </c>
      <c r="M227" s="9" t="n">
        <v>95.35</v>
      </c>
      <c r="N227" s="9" t="n">
        <v>61.03</v>
      </c>
      <c r="O227" s="9" t="n">
        <v>21.33</v>
      </c>
      <c r="P227" s="2" t="n">
        <f aca="false">RANK(E227,$E$2:$E$350,0)</f>
        <v>222</v>
      </c>
      <c r="Q227" s="2" t="str">
        <f aca="false">IF(E227&gt;=30,"بسیار بالا",IF(E227&gt;=20,"بالا",IF(E227&gt;=13,"متوسط",IF(E227&gt;=8,"پایین","بسیار پایین"))))</f>
        <v>پایین</v>
      </c>
      <c r="R227" s="10"/>
      <c r="S227" s="11" t="n">
        <v>0</v>
      </c>
      <c r="T227" s="8" t="n">
        <v>0</v>
      </c>
      <c r="U227" s="2" t="s">
        <v>64</v>
      </c>
      <c r="V227" s="12" t="s">
        <v>65</v>
      </c>
      <c r="W227" s="2" t="n">
        <v>0</v>
      </c>
      <c r="X227" s="12" t="s">
        <v>66</v>
      </c>
    </row>
    <row r="228" customFormat="false" ht="16.4" hidden="false" customHeight="false" outlineLevel="0" collapsed="false">
      <c r="A228" s="2" t="n">
        <v>227</v>
      </c>
      <c r="B228" s="2" t="n">
        <v>14</v>
      </c>
      <c r="C228" s="2" t="s">
        <v>336</v>
      </c>
      <c r="D228" s="8" t="n">
        <v>11350</v>
      </c>
      <c r="E228" s="9" t="n">
        <v>11.83</v>
      </c>
      <c r="F228" s="9" t="n">
        <v>11.75</v>
      </c>
      <c r="G228" s="9" t="n">
        <v>11.89</v>
      </c>
      <c r="H228" s="9" t="n">
        <v>12</v>
      </c>
      <c r="I228" s="9" t="n">
        <f aca="false">E228-H228</f>
        <v>-0.17</v>
      </c>
      <c r="J228" s="8" t="n">
        <f aca="false">ROUND(D228*E228/100,0)</f>
        <v>1343</v>
      </c>
      <c r="K228" s="9" t="n">
        <v>21.89</v>
      </c>
      <c r="L228" s="9" t="n">
        <v>22.06</v>
      </c>
      <c r="M228" s="9" t="n">
        <v>95.35</v>
      </c>
      <c r="N228" s="9" t="n">
        <v>61.03</v>
      </c>
      <c r="O228" s="9" t="n">
        <v>21.33</v>
      </c>
      <c r="P228" s="2" t="n">
        <f aca="false">RANK(E228,$E$2:$E$350,0)</f>
        <v>222</v>
      </c>
      <c r="Q228" s="2" t="str">
        <f aca="false">IF(E228&gt;=30,"بسیار بالا",IF(E228&gt;=20,"بالا",IF(E228&gt;=13,"متوسط",IF(E228&gt;=8,"پایین","بسیار پایین"))))</f>
        <v>پایین</v>
      </c>
      <c r="R228" s="10"/>
      <c r="S228" s="11" t="n">
        <v>0</v>
      </c>
      <c r="T228" s="8" t="n">
        <v>0</v>
      </c>
      <c r="U228" s="2" t="s">
        <v>54</v>
      </c>
      <c r="V228" s="12" t="s">
        <v>65</v>
      </c>
      <c r="W228" s="2" t="n">
        <v>0</v>
      </c>
      <c r="X228" s="12" t="s">
        <v>66</v>
      </c>
    </row>
    <row r="229" customFormat="false" ht="16.4" hidden="false" customHeight="false" outlineLevel="0" collapsed="false">
      <c r="A229" s="2" t="n">
        <v>228</v>
      </c>
      <c r="B229" s="2" t="n">
        <v>14</v>
      </c>
      <c r="C229" s="2" t="s">
        <v>337</v>
      </c>
      <c r="D229" s="8" t="n">
        <v>20459</v>
      </c>
      <c r="E229" s="9" t="n">
        <v>11.29</v>
      </c>
      <c r="F229" s="9" t="n">
        <v>11.11</v>
      </c>
      <c r="G229" s="9" t="n">
        <v>11.47</v>
      </c>
      <c r="H229" s="9" t="n">
        <v>12</v>
      </c>
      <c r="I229" s="9" t="n">
        <f aca="false">E229-H229</f>
        <v>-0.710000000000001</v>
      </c>
      <c r="J229" s="8" t="n">
        <f aca="false">ROUND(D229*E229/100,0)</f>
        <v>2310</v>
      </c>
      <c r="K229" s="9" t="n">
        <v>21.02</v>
      </c>
      <c r="L229" s="9" t="n">
        <v>21.33</v>
      </c>
      <c r="M229" s="9" t="n">
        <v>95.17</v>
      </c>
      <c r="N229" s="9" t="n">
        <v>59.24</v>
      </c>
      <c r="O229" s="9" t="n">
        <v>20.55</v>
      </c>
      <c r="P229" s="2" t="n">
        <f aca="false">RANK(E229,$E$2:$E$350,0)</f>
        <v>239</v>
      </c>
      <c r="Q229" s="2" t="str">
        <f aca="false">IF(E229&gt;=30,"بسیار بالا",IF(E229&gt;=20,"بالا",IF(E229&gt;=13,"متوسط",IF(E229&gt;=8,"پایین","بسیار پایین"))))</f>
        <v>پایین</v>
      </c>
      <c r="R229" s="10" t="n">
        <v>174.6</v>
      </c>
      <c r="S229" s="11" t="n">
        <v>-0.036</v>
      </c>
      <c r="T229" s="8" t="n">
        <v>88</v>
      </c>
      <c r="U229" s="2" t="s">
        <v>45</v>
      </c>
      <c r="V229" s="2" t="s">
        <v>338</v>
      </c>
      <c r="W229" s="2" t="n">
        <v>0.99</v>
      </c>
      <c r="X229" s="12" t="s">
        <v>46</v>
      </c>
    </row>
    <row r="230" customFormat="false" ht="16.4" hidden="false" customHeight="false" outlineLevel="0" collapsed="false">
      <c r="A230" s="2" t="n">
        <v>229</v>
      </c>
      <c r="B230" s="2" t="n">
        <v>14</v>
      </c>
      <c r="C230" s="2" t="s">
        <v>339</v>
      </c>
      <c r="D230" s="8" t="n">
        <v>22317</v>
      </c>
      <c r="E230" s="9" t="n">
        <v>10.51</v>
      </c>
      <c r="F230" s="9" t="n">
        <v>10.17</v>
      </c>
      <c r="G230" s="9" t="n">
        <v>10.84</v>
      </c>
      <c r="H230" s="9" t="n">
        <v>12</v>
      </c>
      <c r="I230" s="9" t="n">
        <f aca="false">E230-H230</f>
        <v>-1.49</v>
      </c>
      <c r="J230" s="8" t="n">
        <f aca="false">ROUND(D230*E230/100,0)</f>
        <v>2346</v>
      </c>
      <c r="K230" s="9" t="n">
        <v>19.71</v>
      </c>
      <c r="L230" s="9" t="n">
        <v>20.24</v>
      </c>
      <c r="M230" s="9" t="n">
        <v>94.89</v>
      </c>
      <c r="N230" s="9" t="n">
        <v>56.43</v>
      </c>
      <c r="O230" s="9" t="n">
        <v>19.38</v>
      </c>
      <c r="P230" s="2" t="n">
        <f aca="false">RANK(E230,$E$2:$E$350,0)</f>
        <v>246</v>
      </c>
      <c r="Q230" s="2" t="str">
        <f aca="false">IF(E230&gt;=30,"بسیار بالا",IF(E230&gt;=20,"بالا",IF(E230&gt;=13,"متوسط",IF(E230&gt;=8,"پایین","بسیار پایین"))))</f>
        <v>پایین</v>
      </c>
      <c r="R230" s="10" t="n">
        <v>169.7</v>
      </c>
      <c r="S230" s="11" t="n">
        <v>-0.093</v>
      </c>
      <c r="T230" s="8" t="n">
        <v>86</v>
      </c>
      <c r="U230" s="2" t="s">
        <v>45</v>
      </c>
      <c r="V230" s="2" t="s">
        <v>339</v>
      </c>
      <c r="W230" s="2" t="n">
        <v>0.99</v>
      </c>
      <c r="X230" s="12" t="s">
        <v>46</v>
      </c>
    </row>
    <row r="231" customFormat="false" ht="16.4" hidden="false" customHeight="false" outlineLevel="0" collapsed="false">
      <c r="A231" s="2" t="n">
        <v>230</v>
      </c>
      <c r="B231" s="2" t="n">
        <v>14</v>
      </c>
      <c r="C231" s="2" t="s">
        <v>340</v>
      </c>
      <c r="D231" s="8" t="n">
        <v>11911</v>
      </c>
      <c r="E231" s="9" t="n">
        <v>10.02</v>
      </c>
      <c r="F231" s="9" t="n">
        <v>9.6</v>
      </c>
      <c r="G231" s="9" t="n">
        <v>10.44</v>
      </c>
      <c r="H231" s="9" t="n">
        <v>12</v>
      </c>
      <c r="I231" s="9" t="n">
        <f aca="false">E231-H231</f>
        <v>-1.98</v>
      </c>
      <c r="J231" s="8" t="n">
        <f aca="false">ROUND(D231*E231/100,0)</f>
        <v>1193</v>
      </c>
      <c r="K231" s="9" t="n">
        <v>18.88</v>
      </c>
      <c r="L231" s="9" t="n">
        <v>19.54</v>
      </c>
      <c r="M231" s="9" t="n">
        <v>94.7</v>
      </c>
      <c r="N231" s="9" t="n">
        <v>54.56</v>
      </c>
      <c r="O231" s="9" t="n">
        <v>18.64</v>
      </c>
      <c r="P231" s="2" t="n">
        <f aca="false">RANK(E231,$E$2:$E$350,0)</f>
        <v>249</v>
      </c>
      <c r="Q231" s="2" t="str">
        <f aca="false">IF(E231&gt;=30,"بسیار بالا",IF(E231&gt;=20,"بالا",IF(E231&gt;=13,"متوسط",IF(E231&gt;=8,"پایین","بسیار پایین"))))</f>
        <v>پایین</v>
      </c>
      <c r="R231" s="10" t="n">
        <v>164.5</v>
      </c>
      <c r="S231" s="11" t="n">
        <v>-0.13</v>
      </c>
      <c r="T231" s="8" t="n">
        <v>85</v>
      </c>
      <c r="U231" s="2" t="s">
        <v>45</v>
      </c>
      <c r="V231" s="2" t="s">
        <v>341</v>
      </c>
      <c r="W231" s="2" t="n">
        <v>0.99</v>
      </c>
      <c r="X231" s="12" t="s">
        <v>46</v>
      </c>
    </row>
    <row r="232" customFormat="false" ht="16.4" hidden="false" customHeight="false" outlineLevel="0" collapsed="false">
      <c r="A232" s="2" t="n">
        <v>231</v>
      </c>
      <c r="B232" s="2" t="n">
        <v>14</v>
      </c>
      <c r="C232" s="2" t="s">
        <v>342</v>
      </c>
      <c r="D232" s="8" t="n">
        <v>19787</v>
      </c>
      <c r="E232" s="9" t="n">
        <v>9.8</v>
      </c>
      <c r="F232" s="9" t="n">
        <v>9.35</v>
      </c>
      <c r="G232" s="9" t="n">
        <v>10.26</v>
      </c>
      <c r="H232" s="9" t="n">
        <v>12</v>
      </c>
      <c r="I232" s="9" t="n">
        <f aca="false">E232-H232</f>
        <v>-2.2</v>
      </c>
      <c r="J232" s="8" t="n">
        <f aca="false">ROUND(D232*E232/100,0)</f>
        <v>1939</v>
      </c>
      <c r="K232" s="9" t="n">
        <v>18.51</v>
      </c>
      <c r="L232" s="9" t="n">
        <v>19.23</v>
      </c>
      <c r="M232" s="9" t="n">
        <v>94.61</v>
      </c>
      <c r="N232" s="9" t="n">
        <v>53.69</v>
      </c>
      <c r="O232" s="9" t="n">
        <v>18.31</v>
      </c>
      <c r="P232" s="2" t="n">
        <f aca="false">RANK(E232,$E$2:$E$350,0)</f>
        <v>252</v>
      </c>
      <c r="Q232" s="2" t="str">
        <f aca="false">IF(E232&gt;=30,"بسیار بالا",IF(E232&gt;=20,"بالا",IF(E232&gt;=13,"متوسط",IF(E232&gt;=8,"پایین","بسیار پایین"))))</f>
        <v>پایین</v>
      </c>
      <c r="R232" s="10" t="n">
        <v>148.6</v>
      </c>
      <c r="S232" s="11" t="n">
        <v>-0.148</v>
      </c>
      <c r="T232" s="8" t="n">
        <v>69</v>
      </c>
      <c r="U232" s="2" t="s">
        <v>54</v>
      </c>
      <c r="V232" s="2" t="s">
        <v>343</v>
      </c>
      <c r="W232" s="2" t="n">
        <v>0.97</v>
      </c>
      <c r="X232" s="12" t="s">
        <v>46</v>
      </c>
    </row>
    <row r="233" customFormat="false" ht="16.4" hidden="false" customHeight="false" outlineLevel="0" collapsed="false">
      <c r="A233" s="2" t="n">
        <v>232</v>
      </c>
      <c r="B233" s="2" t="n">
        <v>14</v>
      </c>
      <c r="C233" s="2" t="s">
        <v>344</v>
      </c>
      <c r="D233" s="8" t="n">
        <v>24870</v>
      </c>
      <c r="E233" s="9" t="n">
        <v>9.43</v>
      </c>
      <c r="F233" s="9" t="n">
        <v>8.92</v>
      </c>
      <c r="G233" s="9" t="n">
        <v>9.96</v>
      </c>
      <c r="H233" s="9" t="n">
        <v>12</v>
      </c>
      <c r="I233" s="9" t="n">
        <f aca="false">E233-H233</f>
        <v>-2.57</v>
      </c>
      <c r="J233" s="8" t="n">
        <f aca="false">ROUND(D233*E233/100,0)</f>
        <v>2345</v>
      </c>
      <c r="K233" s="9" t="n">
        <v>17.88</v>
      </c>
      <c r="L233" s="9" t="n">
        <v>18.69</v>
      </c>
      <c r="M233" s="9" t="n">
        <v>94.44</v>
      </c>
      <c r="N233" s="9" t="n">
        <v>52.18</v>
      </c>
      <c r="O233" s="9" t="n">
        <v>17.74</v>
      </c>
      <c r="P233" s="2" t="n">
        <f aca="false">RANK(E233,$E$2:$E$350,0)</f>
        <v>257</v>
      </c>
      <c r="Q233" s="2" t="str">
        <f aca="false">IF(E233&gt;=30,"بسیار بالا",IF(E233&gt;=20,"بالا",IF(E233&gt;=13,"متوسط",IF(E233&gt;=8,"پایین","بسیار پایین"))))</f>
        <v>پایین</v>
      </c>
      <c r="R233" s="10" t="n">
        <v>149.1</v>
      </c>
      <c r="S233" s="11" t="n">
        <v>-0.177</v>
      </c>
      <c r="T233" s="8" t="n">
        <v>85</v>
      </c>
      <c r="U233" s="2" t="s">
        <v>45</v>
      </c>
      <c r="V233" s="2" t="s">
        <v>344</v>
      </c>
      <c r="W233" s="2" t="n">
        <v>0.99</v>
      </c>
      <c r="X233" s="12" t="s">
        <v>46</v>
      </c>
    </row>
    <row r="234" customFormat="false" ht="16.4" hidden="false" customHeight="false" outlineLevel="0" collapsed="false">
      <c r="A234" s="2" t="n">
        <v>233</v>
      </c>
      <c r="B234" s="2" t="n">
        <v>14</v>
      </c>
      <c r="C234" s="2" t="s">
        <v>345</v>
      </c>
      <c r="D234" s="8" t="n">
        <v>25474</v>
      </c>
      <c r="E234" s="9" t="n">
        <v>7.36</v>
      </c>
      <c r="F234" s="9" t="n">
        <v>6.59</v>
      </c>
      <c r="G234" s="9" t="n">
        <v>8.2</v>
      </c>
      <c r="H234" s="9" t="n">
        <v>12</v>
      </c>
      <c r="I234" s="9" t="n">
        <f aca="false">E234-H234</f>
        <v>-4.64</v>
      </c>
      <c r="J234" s="8" t="n">
        <f aca="false">ROUND(D234*E234/100,0)</f>
        <v>1875</v>
      </c>
      <c r="K234" s="9" t="n">
        <v>14.24</v>
      </c>
      <c r="L234" s="9" t="n">
        <v>15.54</v>
      </c>
      <c r="M234" s="9" t="n">
        <v>93.29</v>
      </c>
      <c r="N234" s="9" t="n">
        <v>42.57</v>
      </c>
      <c r="O234" s="9" t="n">
        <v>14.43</v>
      </c>
      <c r="P234" s="2" t="n">
        <f aca="false">RANK(E234,$E$2:$E$350,0)</f>
        <v>283</v>
      </c>
      <c r="Q234" s="2" t="str">
        <f aca="false">IF(E234&gt;=30,"بسیار بالا",IF(E234&gt;=20,"بالا",IF(E234&gt;=13,"متوسط",IF(E234&gt;=8,"پایین","بسیار پایین"))))</f>
        <v>بسیار پایین</v>
      </c>
      <c r="R234" s="10" t="n">
        <v>124.7</v>
      </c>
      <c r="S234" s="11" t="n">
        <v>-0.367</v>
      </c>
      <c r="T234" s="8" t="n">
        <v>88</v>
      </c>
      <c r="U234" s="2" t="s">
        <v>45</v>
      </c>
      <c r="V234" s="2" t="s">
        <v>345</v>
      </c>
      <c r="W234" s="2" t="n">
        <v>1</v>
      </c>
      <c r="X234" s="12" t="s">
        <v>46</v>
      </c>
    </row>
    <row r="235" customFormat="false" ht="16.4" hidden="false" customHeight="false" outlineLevel="0" collapsed="false">
      <c r="A235" s="2" t="n">
        <v>234</v>
      </c>
      <c r="B235" s="2" t="n">
        <v>15</v>
      </c>
      <c r="C235" s="2" t="s">
        <v>346</v>
      </c>
      <c r="D235" s="8" t="n">
        <v>28885</v>
      </c>
      <c r="E235" s="9" t="n">
        <v>24.76</v>
      </c>
      <c r="F235" s="9" t="n">
        <v>19.52</v>
      </c>
      <c r="G235" s="9" t="n">
        <v>30.62</v>
      </c>
      <c r="H235" s="9" t="n">
        <v>6.7</v>
      </c>
      <c r="I235" s="9" t="n">
        <f aca="false">E235-H235</f>
        <v>18.06</v>
      </c>
      <c r="J235" s="8" t="n">
        <f aca="false">ROUND(D235*E235/100,0)</f>
        <v>7152</v>
      </c>
      <c r="K235" s="9" t="n">
        <v>42.14</v>
      </c>
      <c r="L235" s="9" t="n">
        <v>39.62</v>
      </c>
      <c r="M235" s="9" t="n">
        <v>96.61</v>
      </c>
      <c r="N235" s="9" t="n">
        <v>88.06</v>
      </c>
      <c r="O235" s="9" t="n">
        <v>40.27</v>
      </c>
      <c r="P235" s="2" t="n">
        <f aca="false">RANK(E235,$E$2:$E$350,0)</f>
        <v>80</v>
      </c>
      <c r="Q235" s="2" t="str">
        <f aca="false">IF(E235&gt;=30,"بسیار بالا",IF(E235&gt;=20,"بالا",IF(E235&gt;=13,"متوسط",IF(E235&gt;=8,"پایین","بسیار پایین"))))</f>
        <v>بالا</v>
      </c>
      <c r="R235" s="10" t="n">
        <v>420</v>
      </c>
      <c r="S235" s="11" t="n">
        <v>1.143</v>
      </c>
      <c r="T235" s="8" t="n">
        <v>71</v>
      </c>
      <c r="U235" s="2" t="s">
        <v>54</v>
      </c>
      <c r="V235" s="2" t="s">
        <v>197</v>
      </c>
      <c r="W235" s="2" t="n">
        <v>0.98</v>
      </c>
      <c r="X235" s="12" t="s">
        <v>46</v>
      </c>
    </row>
    <row r="236" customFormat="false" ht="16.4" hidden="false" customHeight="false" outlineLevel="0" collapsed="false">
      <c r="A236" s="2" t="n">
        <v>235</v>
      </c>
      <c r="B236" s="2" t="n">
        <v>15</v>
      </c>
      <c r="C236" s="2" t="s">
        <v>347</v>
      </c>
      <c r="D236" s="8" t="n">
        <v>59587</v>
      </c>
      <c r="E236" s="9" t="n">
        <v>8.8</v>
      </c>
      <c r="F236" s="9" t="n">
        <v>8.46</v>
      </c>
      <c r="G236" s="9" t="n">
        <v>9.07</v>
      </c>
      <c r="H236" s="9" t="n">
        <v>6.7</v>
      </c>
      <c r="I236" s="9" t="n">
        <f aca="false">E236-H236</f>
        <v>2.1</v>
      </c>
      <c r="J236" s="8" t="n">
        <f aca="false">ROUND(D236*E236/100,0)</f>
        <v>5244</v>
      </c>
      <c r="K236" s="9" t="n">
        <v>17.62</v>
      </c>
      <c r="L236" s="9" t="n">
        <v>19.31</v>
      </c>
      <c r="M236" s="9" t="n">
        <v>91.99</v>
      </c>
      <c r="N236" s="9" t="n">
        <v>56.14</v>
      </c>
      <c r="O236" s="9" t="n">
        <v>18.16</v>
      </c>
      <c r="P236" s="2" t="n">
        <f aca="false">RANK(E236,$E$2:$E$350,0)</f>
        <v>259</v>
      </c>
      <c r="Q236" s="2" t="str">
        <f aca="false">IF(E236&gt;=30,"بسیار بالا",IF(E236&gt;=20,"بالا",IF(E236&gt;=13,"متوسط",IF(E236&gt;=8,"پایین","بسیار پایین"))))</f>
        <v>پایین</v>
      </c>
      <c r="R236" s="10" t="n">
        <v>173.9</v>
      </c>
      <c r="S236" s="11" t="n">
        <v>0.283</v>
      </c>
      <c r="T236" s="8" t="n">
        <v>70</v>
      </c>
      <c r="U236" s="2" t="s">
        <v>45</v>
      </c>
      <c r="V236" s="2" t="s">
        <v>347</v>
      </c>
      <c r="W236" s="2" t="n">
        <v>0.97</v>
      </c>
      <c r="X236" s="12" t="s">
        <v>46</v>
      </c>
    </row>
    <row r="237" customFormat="false" ht="16.4" hidden="false" customHeight="false" outlineLevel="0" collapsed="false">
      <c r="A237" s="2" t="n">
        <v>236</v>
      </c>
      <c r="B237" s="2" t="n">
        <v>15</v>
      </c>
      <c r="C237" s="2" t="s">
        <v>348</v>
      </c>
      <c r="D237" s="8" t="n">
        <v>10298</v>
      </c>
      <c r="E237" s="9" t="n">
        <v>8.73</v>
      </c>
      <c r="F237" s="9" t="n">
        <v>8.41</v>
      </c>
      <c r="G237" s="9" t="n">
        <v>8.98</v>
      </c>
      <c r="H237" s="9" t="n">
        <v>6.7</v>
      </c>
      <c r="I237" s="9" t="n">
        <f aca="false">E237-H237</f>
        <v>2.03</v>
      </c>
      <c r="J237" s="8" t="n">
        <f aca="false">ROUND(D237*E237/100,0)</f>
        <v>899</v>
      </c>
      <c r="K237" s="9" t="n">
        <v>17.49</v>
      </c>
      <c r="L237" s="9" t="n">
        <v>19.2</v>
      </c>
      <c r="M237" s="9" t="n">
        <v>91.94</v>
      </c>
      <c r="N237" s="9" t="n">
        <v>55.83</v>
      </c>
      <c r="O237" s="9" t="n">
        <v>18.04</v>
      </c>
      <c r="P237" s="2" t="n">
        <f aca="false">RANK(E237,$E$2:$E$350,0)</f>
        <v>260</v>
      </c>
      <c r="Q237" s="2" t="str">
        <f aca="false">IF(E237&gt;=30,"بسیار بالا",IF(E237&gt;=20,"بالا",IF(E237&gt;=13,"متوسط",IF(E237&gt;=8,"پایین","بسیار پایین"))))</f>
        <v>پایین</v>
      </c>
      <c r="R237" s="10" t="n">
        <v>200</v>
      </c>
      <c r="S237" s="11" t="n">
        <v>0.277</v>
      </c>
      <c r="T237" s="8" t="n">
        <v>40</v>
      </c>
      <c r="U237" s="2" t="s">
        <v>45</v>
      </c>
      <c r="V237" s="2" t="s">
        <v>348</v>
      </c>
      <c r="W237" s="2" t="n">
        <v>0.98</v>
      </c>
      <c r="X237" s="12" t="s">
        <v>46</v>
      </c>
    </row>
    <row r="238" customFormat="false" ht="16.4" hidden="false" customHeight="false" outlineLevel="0" collapsed="false">
      <c r="A238" s="2" t="n">
        <v>237</v>
      </c>
      <c r="B238" s="2" t="n">
        <v>15</v>
      </c>
      <c r="C238" s="2" t="s">
        <v>349</v>
      </c>
      <c r="D238" s="8" t="n">
        <v>45321</v>
      </c>
      <c r="E238" s="9" t="n">
        <v>7.11</v>
      </c>
      <c r="F238" s="9" t="n">
        <v>7</v>
      </c>
      <c r="G238" s="9" t="n">
        <v>7.15</v>
      </c>
      <c r="H238" s="9" t="n">
        <v>6.7</v>
      </c>
      <c r="I238" s="9" t="n">
        <f aca="false">E238-H238</f>
        <v>0.41</v>
      </c>
      <c r="J238" s="8" t="n">
        <f aca="false">ROUND(D238*E238/100,0)</f>
        <v>3222</v>
      </c>
      <c r="K238" s="9" t="n">
        <v>14.5</v>
      </c>
      <c r="L238" s="9" t="n">
        <v>16.51</v>
      </c>
      <c r="M238" s="9" t="n">
        <v>90.63</v>
      </c>
      <c r="N238" s="9" t="n">
        <v>47.9</v>
      </c>
      <c r="O238" s="9" t="n">
        <v>15.25</v>
      </c>
      <c r="P238" s="2" t="n">
        <f aca="false">RANK(E238,$E$2:$E$350,0)</f>
        <v>284</v>
      </c>
      <c r="Q238" s="2" t="str">
        <f aca="false">IF(E238&gt;=30,"بسیار بالا",IF(E238&gt;=20,"بالا",IF(E238&gt;=13,"متوسط",IF(E238&gt;=8,"پایین","بسیار پایین"))))</f>
        <v>بسیار پایین</v>
      </c>
      <c r="R238" s="10" t="n">
        <v>149.8</v>
      </c>
      <c r="S238" s="11" t="n">
        <v>0.12</v>
      </c>
      <c r="T238" s="8" t="n">
        <v>72</v>
      </c>
      <c r="U238" s="2" t="s">
        <v>54</v>
      </c>
      <c r="V238" s="2" t="s">
        <v>350</v>
      </c>
      <c r="W238" s="2" t="n">
        <v>0.99</v>
      </c>
      <c r="X238" s="12" t="s">
        <v>46</v>
      </c>
    </row>
    <row r="239" customFormat="false" ht="16.4" hidden="false" customHeight="false" outlineLevel="0" collapsed="false">
      <c r="A239" s="2" t="n">
        <v>238</v>
      </c>
      <c r="B239" s="2" t="n">
        <v>15</v>
      </c>
      <c r="C239" s="2" t="s">
        <v>351</v>
      </c>
      <c r="D239" s="8" t="n">
        <v>35085</v>
      </c>
      <c r="E239" s="9" t="n">
        <v>7.11</v>
      </c>
      <c r="F239" s="9" t="n">
        <v>7</v>
      </c>
      <c r="G239" s="9" t="n">
        <v>7.15</v>
      </c>
      <c r="H239" s="9" t="n">
        <v>6.7</v>
      </c>
      <c r="I239" s="9" t="n">
        <f aca="false">E239-H239</f>
        <v>0.41</v>
      </c>
      <c r="J239" s="8" t="n">
        <f aca="false">ROUND(D239*E239/100,0)</f>
        <v>2495</v>
      </c>
      <c r="K239" s="9" t="n">
        <v>14.5</v>
      </c>
      <c r="L239" s="9" t="n">
        <v>16.51</v>
      </c>
      <c r="M239" s="9" t="n">
        <v>90.63</v>
      </c>
      <c r="N239" s="9" t="n">
        <v>47.9</v>
      </c>
      <c r="O239" s="9" t="n">
        <v>15.25</v>
      </c>
      <c r="P239" s="2" t="n">
        <f aca="false">RANK(E239,$E$2:$E$350,0)</f>
        <v>284</v>
      </c>
      <c r="Q239" s="2" t="str">
        <f aca="false">IF(E239&gt;=30,"بسیار بالا",IF(E239&gt;=20,"بالا",IF(E239&gt;=13,"متوسط",IF(E239&gt;=8,"پایین","بسیار پایین"))))</f>
        <v>بسیار پایین</v>
      </c>
      <c r="R239" s="10" t="n">
        <v>149.8</v>
      </c>
      <c r="S239" s="11" t="n">
        <v>0.12</v>
      </c>
      <c r="T239" s="8" t="n">
        <v>72</v>
      </c>
      <c r="U239" s="2" t="s">
        <v>54</v>
      </c>
      <c r="V239" s="2" t="s">
        <v>350</v>
      </c>
      <c r="W239" s="2" t="n">
        <v>0.99</v>
      </c>
      <c r="X239" s="12" t="s">
        <v>46</v>
      </c>
    </row>
    <row r="240" customFormat="false" ht="16.4" hidden="false" customHeight="false" outlineLevel="0" collapsed="false">
      <c r="A240" s="2" t="n">
        <v>239</v>
      </c>
      <c r="B240" s="2" t="n">
        <v>15</v>
      </c>
      <c r="C240" s="2" t="s">
        <v>352</v>
      </c>
      <c r="D240" s="8" t="n">
        <v>74641</v>
      </c>
      <c r="E240" s="9" t="n">
        <v>6.11</v>
      </c>
      <c r="F240" s="9" t="n">
        <v>5.83</v>
      </c>
      <c r="G240" s="9" t="n">
        <v>6.35</v>
      </c>
      <c r="H240" s="9" t="n">
        <v>6.7</v>
      </c>
      <c r="I240" s="9" t="n">
        <f aca="false">E240-H240</f>
        <v>-0.59</v>
      </c>
      <c r="J240" s="8" t="n">
        <f aca="false">ROUND(D240*E240/100,0)</f>
        <v>4561</v>
      </c>
      <c r="K240" s="9" t="n">
        <v>12.61</v>
      </c>
      <c r="L240" s="9" t="n">
        <v>14.76</v>
      </c>
      <c r="M240" s="9" t="n">
        <v>89.56</v>
      </c>
      <c r="N240" s="9" t="n">
        <v>42.19</v>
      </c>
      <c r="O240" s="9" t="n">
        <v>13.45</v>
      </c>
      <c r="P240" s="2" t="n">
        <f aca="false">RANK(E240,$E$2:$E$350,0)</f>
        <v>304</v>
      </c>
      <c r="Q240" s="2" t="str">
        <f aca="false">IF(E240&gt;=30,"بسیار بالا",IF(E240&gt;=20,"بالا",IF(E240&gt;=13,"متوسط",IF(E240&gt;=8,"پایین","بسیار پایین"))))</f>
        <v>بسیار پایین</v>
      </c>
      <c r="R240" s="10" t="n">
        <v>129.8</v>
      </c>
      <c r="S240" s="11" t="n">
        <v>0.007</v>
      </c>
      <c r="T240" s="8" t="n">
        <v>72</v>
      </c>
      <c r="U240" s="2" t="s">
        <v>45</v>
      </c>
      <c r="V240" s="2" t="s">
        <v>352</v>
      </c>
      <c r="W240" s="2" t="n">
        <v>0.98</v>
      </c>
      <c r="X240" s="12" t="s">
        <v>46</v>
      </c>
    </row>
    <row r="241" customFormat="false" ht="16.4" hidden="false" customHeight="false" outlineLevel="0" collapsed="false">
      <c r="A241" s="2" t="n">
        <v>240</v>
      </c>
      <c r="B241" s="2" t="n">
        <v>15</v>
      </c>
      <c r="C241" s="2" t="s">
        <v>353</v>
      </c>
      <c r="D241" s="8" t="n">
        <v>42000</v>
      </c>
      <c r="E241" s="9" t="n">
        <v>6.06</v>
      </c>
      <c r="F241" s="9" t="n">
        <v>5.76</v>
      </c>
      <c r="G241" s="9" t="n">
        <v>6.3</v>
      </c>
      <c r="H241" s="9" t="n">
        <v>6.7</v>
      </c>
      <c r="I241" s="9" t="n">
        <f aca="false">E241-H241</f>
        <v>-0.640000000000001</v>
      </c>
      <c r="J241" s="8" t="n">
        <f aca="false">ROUND(D241*E241/100,0)</f>
        <v>2545</v>
      </c>
      <c r="K241" s="9" t="n">
        <v>12.5</v>
      </c>
      <c r="L241" s="9" t="n">
        <v>14.66</v>
      </c>
      <c r="M241" s="9" t="n">
        <v>89.49</v>
      </c>
      <c r="N241" s="9" t="n">
        <v>41.84</v>
      </c>
      <c r="O241" s="9" t="n">
        <v>13.34</v>
      </c>
      <c r="P241" s="2" t="n">
        <f aca="false">RANK(E241,$E$2:$E$350,0)</f>
        <v>306</v>
      </c>
      <c r="Q241" s="2" t="str">
        <f aca="false">IF(E241&gt;=30,"بسیار بالا",IF(E241&gt;=20,"بالا",IF(E241&gt;=13,"متوسط",IF(E241&gt;=8,"پایین","بسیار پایین"))))</f>
        <v>بسیار پایین</v>
      </c>
      <c r="R241" s="10"/>
      <c r="S241" s="11" t="n">
        <v>0</v>
      </c>
      <c r="T241" s="8" t="n">
        <v>0</v>
      </c>
      <c r="U241" s="2" t="s">
        <v>64</v>
      </c>
      <c r="V241" s="12" t="s">
        <v>65</v>
      </c>
      <c r="W241" s="2" t="n">
        <v>0</v>
      </c>
      <c r="X241" s="12" t="s">
        <v>66</v>
      </c>
    </row>
    <row r="242" customFormat="false" ht="16.4" hidden="false" customHeight="false" outlineLevel="0" collapsed="false">
      <c r="A242" s="2" t="n">
        <v>241</v>
      </c>
      <c r="B242" s="2" t="n">
        <v>15</v>
      </c>
      <c r="C242" s="2" t="s">
        <v>354</v>
      </c>
      <c r="D242" s="8" t="n">
        <v>17450</v>
      </c>
      <c r="E242" s="9" t="n">
        <v>6.06</v>
      </c>
      <c r="F242" s="9" t="n">
        <v>5.76</v>
      </c>
      <c r="G242" s="9" t="n">
        <v>6.3</v>
      </c>
      <c r="H242" s="9" t="n">
        <v>6.7</v>
      </c>
      <c r="I242" s="9" t="n">
        <f aca="false">E242-H242</f>
        <v>-0.640000000000001</v>
      </c>
      <c r="J242" s="8" t="n">
        <f aca="false">ROUND(D242*E242/100,0)</f>
        <v>1057</v>
      </c>
      <c r="K242" s="9" t="n">
        <v>12.5</v>
      </c>
      <c r="L242" s="9" t="n">
        <v>14.66</v>
      </c>
      <c r="M242" s="9" t="n">
        <v>89.49</v>
      </c>
      <c r="N242" s="9" t="n">
        <v>41.84</v>
      </c>
      <c r="O242" s="9" t="n">
        <v>13.34</v>
      </c>
      <c r="P242" s="2" t="n">
        <f aca="false">RANK(E242,$E$2:$E$350,0)</f>
        <v>306</v>
      </c>
      <c r="Q242" s="2" t="str">
        <f aca="false">IF(E242&gt;=30,"بسیار بالا",IF(E242&gt;=20,"بالا",IF(E242&gt;=13,"متوسط",IF(E242&gt;=8,"پایین","بسیار پایین"))))</f>
        <v>بسیار پایین</v>
      </c>
      <c r="R242" s="10"/>
      <c r="S242" s="11" t="n">
        <v>0</v>
      </c>
      <c r="T242" s="8" t="n">
        <v>0</v>
      </c>
      <c r="U242" s="2" t="s">
        <v>64</v>
      </c>
      <c r="V242" s="12" t="s">
        <v>65</v>
      </c>
      <c r="W242" s="2" t="n">
        <v>0</v>
      </c>
      <c r="X242" s="12" t="s">
        <v>66</v>
      </c>
    </row>
    <row r="243" customFormat="false" ht="16.4" hidden="false" customHeight="false" outlineLevel="0" collapsed="false">
      <c r="A243" s="2" t="n">
        <v>242</v>
      </c>
      <c r="B243" s="2" t="n">
        <v>15</v>
      </c>
      <c r="C243" s="2" t="s">
        <v>355</v>
      </c>
      <c r="D243" s="8" t="n">
        <v>14556</v>
      </c>
      <c r="E243" s="9" t="n">
        <v>6.06</v>
      </c>
      <c r="F243" s="9" t="n">
        <v>5.76</v>
      </c>
      <c r="G243" s="9" t="n">
        <v>6.3</v>
      </c>
      <c r="H243" s="9" t="n">
        <v>6.7</v>
      </c>
      <c r="I243" s="9" t="n">
        <f aca="false">E243-H243</f>
        <v>-0.640000000000001</v>
      </c>
      <c r="J243" s="8" t="n">
        <f aca="false">ROUND(D243*E243/100,0)</f>
        <v>882</v>
      </c>
      <c r="K243" s="9" t="n">
        <v>12.5</v>
      </c>
      <c r="L243" s="9" t="n">
        <v>14.66</v>
      </c>
      <c r="M243" s="9" t="n">
        <v>89.49</v>
      </c>
      <c r="N243" s="9" t="n">
        <v>41.84</v>
      </c>
      <c r="O243" s="9" t="n">
        <v>13.34</v>
      </c>
      <c r="P243" s="2" t="n">
        <f aca="false">RANK(E243,$E$2:$E$350,0)</f>
        <v>306</v>
      </c>
      <c r="Q243" s="2" t="str">
        <f aca="false">IF(E243&gt;=30,"بسیار بالا",IF(E243&gt;=20,"بالا",IF(E243&gt;=13,"متوسط",IF(E243&gt;=8,"پایین","بسیار پایین"))))</f>
        <v>بسیار پایین</v>
      </c>
      <c r="R243" s="10"/>
      <c r="S243" s="11" t="n">
        <v>0</v>
      </c>
      <c r="T243" s="8" t="n">
        <v>0</v>
      </c>
      <c r="U243" s="2" t="s">
        <v>64</v>
      </c>
      <c r="V243" s="12" t="s">
        <v>65</v>
      </c>
      <c r="W243" s="2" t="n">
        <v>0</v>
      </c>
      <c r="X243" s="12" t="s">
        <v>66</v>
      </c>
    </row>
    <row r="244" customFormat="false" ht="16.4" hidden="false" customHeight="false" outlineLevel="0" collapsed="false">
      <c r="A244" s="2" t="n">
        <v>243</v>
      </c>
      <c r="B244" s="2" t="n">
        <v>15</v>
      </c>
      <c r="C244" s="2" t="s">
        <v>356</v>
      </c>
      <c r="D244" s="8" t="n">
        <v>71434</v>
      </c>
      <c r="E244" s="9" t="n">
        <v>6.02</v>
      </c>
      <c r="F244" s="9" t="n">
        <v>5.72</v>
      </c>
      <c r="G244" s="9" t="n">
        <v>6.28</v>
      </c>
      <c r="H244" s="9" t="n">
        <v>6.7</v>
      </c>
      <c r="I244" s="9" t="n">
        <f aca="false">E244-H244</f>
        <v>-0.680000000000001</v>
      </c>
      <c r="J244" s="8" t="n">
        <f aca="false">ROUND(D244*E244/100,0)</f>
        <v>4300</v>
      </c>
      <c r="K244" s="9" t="n">
        <v>12.44</v>
      </c>
      <c r="L244" s="9" t="n">
        <v>14.6</v>
      </c>
      <c r="M244" s="9" t="n">
        <v>89.45</v>
      </c>
      <c r="N244" s="9" t="n">
        <v>41.64</v>
      </c>
      <c r="O244" s="9" t="n">
        <v>13.28</v>
      </c>
      <c r="P244" s="2" t="n">
        <f aca="false">RANK(E244,$E$2:$E$350,0)</f>
        <v>309</v>
      </c>
      <c r="Q244" s="2" t="str">
        <f aca="false">IF(E244&gt;=30,"بسیار بالا",IF(E244&gt;=20,"بالا",IF(E244&gt;=13,"متوسط",IF(E244&gt;=8,"پایین","بسیار پایین"))))</f>
        <v>بسیار پایین</v>
      </c>
      <c r="R244" s="10" t="n">
        <v>121.8</v>
      </c>
      <c r="S244" s="11" t="n">
        <v>-0.004</v>
      </c>
      <c r="T244" s="8" t="n">
        <v>84</v>
      </c>
      <c r="U244" s="2" t="s">
        <v>45</v>
      </c>
      <c r="V244" s="2" t="s">
        <v>356</v>
      </c>
      <c r="W244" s="2" t="n">
        <v>0.99</v>
      </c>
      <c r="X244" s="12" t="s">
        <v>46</v>
      </c>
    </row>
    <row r="245" customFormat="false" ht="16.4" hidden="false" customHeight="false" outlineLevel="0" collapsed="false">
      <c r="A245" s="2" t="n">
        <v>244</v>
      </c>
      <c r="B245" s="2" t="n">
        <v>15</v>
      </c>
      <c r="C245" s="2" t="s">
        <v>357</v>
      </c>
      <c r="D245" s="8" t="n">
        <v>27859</v>
      </c>
      <c r="E245" s="9" t="n">
        <v>5.2</v>
      </c>
      <c r="F245" s="9" t="n">
        <v>4.78</v>
      </c>
      <c r="G245" s="9" t="n">
        <v>5.59</v>
      </c>
      <c r="H245" s="9" t="n">
        <v>6.7</v>
      </c>
      <c r="I245" s="9" t="n">
        <f aca="false">E245-H245</f>
        <v>-1.5</v>
      </c>
      <c r="J245" s="8" t="n">
        <f aca="false">ROUND(D245*E245/100,0)</f>
        <v>1449</v>
      </c>
      <c r="K245" s="9" t="n">
        <v>10.84</v>
      </c>
      <c r="L245" s="9" t="n">
        <v>13.07</v>
      </c>
      <c r="M245" s="9" t="n">
        <v>88.31</v>
      </c>
      <c r="N245" s="9" t="n">
        <v>36.34</v>
      </c>
      <c r="O245" s="9" t="n">
        <v>11.74</v>
      </c>
      <c r="P245" s="2" t="n">
        <f aca="false">RANK(E245,$E$2:$E$350,0)</f>
        <v>329</v>
      </c>
      <c r="Q245" s="2" t="str">
        <f aca="false">IF(E245&gt;=30,"بسیار بالا",IF(E245&gt;=20,"بالا",IF(E245&gt;=13,"متوسط",IF(E245&gt;=8,"پایین","بسیار پایین"))))</f>
        <v>بسیار پایین</v>
      </c>
      <c r="R245" s="10" t="n">
        <v>115</v>
      </c>
      <c r="S245" s="11" t="n">
        <v>-0.114</v>
      </c>
      <c r="T245" s="8" t="n">
        <v>77</v>
      </c>
      <c r="U245" s="2" t="s">
        <v>45</v>
      </c>
      <c r="V245" s="2" t="s">
        <v>357</v>
      </c>
      <c r="W245" s="2" t="n">
        <v>1</v>
      </c>
      <c r="X245" s="12" t="s">
        <v>46</v>
      </c>
    </row>
    <row r="246" customFormat="false" ht="16.4" hidden="false" customHeight="false" outlineLevel="0" collapsed="false">
      <c r="A246" s="2" t="n">
        <v>245</v>
      </c>
      <c r="B246" s="2" t="n">
        <v>15</v>
      </c>
      <c r="C246" s="2" t="s">
        <v>358</v>
      </c>
      <c r="D246" s="8" t="n">
        <v>18254</v>
      </c>
      <c r="E246" s="9" t="n">
        <v>5.06</v>
      </c>
      <c r="F246" s="9" t="n">
        <v>4.63</v>
      </c>
      <c r="G246" s="9" t="n">
        <v>5.47</v>
      </c>
      <c r="H246" s="9" t="n">
        <v>6.7</v>
      </c>
      <c r="I246" s="9" t="n">
        <f aca="false">E246-H246</f>
        <v>-1.64</v>
      </c>
      <c r="J246" s="8" t="n">
        <f aca="false">ROUND(D246*E246/100,0)</f>
        <v>924</v>
      </c>
      <c r="K246" s="9" t="n">
        <v>10.57</v>
      </c>
      <c r="L246" s="9" t="n">
        <v>12.81</v>
      </c>
      <c r="M246" s="9" t="n">
        <v>88.09</v>
      </c>
      <c r="N246" s="9" t="n">
        <v>35.41</v>
      </c>
      <c r="O246" s="9" t="n">
        <v>11.47</v>
      </c>
      <c r="P246" s="2" t="n">
        <f aca="false">RANK(E246,$E$2:$E$350,0)</f>
        <v>331</v>
      </c>
      <c r="Q246" s="2" t="str">
        <f aca="false">IF(E246&gt;=30,"بسیار بالا",IF(E246&gt;=20,"بالا",IF(E246&gt;=13,"متوسط",IF(E246&gt;=8,"پایین","بسیار پایین"))))</f>
        <v>بسیار پایین</v>
      </c>
      <c r="R246" s="10" t="n">
        <v>109.7</v>
      </c>
      <c r="S246" s="11" t="n">
        <v>-0.134</v>
      </c>
      <c r="T246" s="8" t="n">
        <v>83</v>
      </c>
      <c r="U246" s="2" t="s">
        <v>54</v>
      </c>
      <c r="V246" s="2" t="s">
        <v>359</v>
      </c>
      <c r="W246" s="2" t="n">
        <v>1</v>
      </c>
      <c r="X246" s="12" t="s">
        <v>46</v>
      </c>
    </row>
    <row r="247" customFormat="false" ht="16.4" hidden="false" customHeight="false" outlineLevel="0" collapsed="false">
      <c r="A247" s="2" t="n">
        <v>246</v>
      </c>
      <c r="B247" s="2" t="n">
        <v>15</v>
      </c>
      <c r="C247" s="2" t="s">
        <v>360</v>
      </c>
      <c r="D247" s="8" t="n">
        <v>24396</v>
      </c>
      <c r="E247" s="9" t="n">
        <v>4.99</v>
      </c>
      <c r="F247" s="9" t="n">
        <v>4.54</v>
      </c>
      <c r="G247" s="9" t="n">
        <v>5.41</v>
      </c>
      <c r="H247" s="9" t="n">
        <v>6.7</v>
      </c>
      <c r="I247" s="9" t="n">
        <f aca="false">E247-H247</f>
        <v>-1.71</v>
      </c>
      <c r="J247" s="8" t="n">
        <f aca="false">ROUND(D247*E247/100,0)</f>
        <v>1217</v>
      </c>
      <c r="K247" s="9" t="n">
        <v>10.42</v>
      </c>
      <c r="L247" s="9" t="n">
        <v>12.66</v>
      </c>
      <c r="M247" s="9" t="n">
        <v>87.97</v>
      </c>
      <c r="N247" s="9" t="n">
        <v>34.9</v>
      </c>
      <c r="O247" s="9" t="n">
        <v>11.33</v>
      </c>
      <c r="P247" s="2" t="n">
        <f aca="false">RANK(E247,$E$2:$E$350,0)</f>
        <v>332</v>
      </c>
      <c r="Q247" s="2" t="str">
        <f aca="false">IF(E247&gt;=30,"بسیار بالا",IF(E247&gt;=20,"بالا",IF(E247&gt;=13,"متوسط",IF(E247&gt;=8,"پایین","بسیار پایین"))))</f>
        <v>بسیار پایین</v>
      </c>
      <c r="R247" s="10" t="n">
        <v>110</v>
      </c>
      <c r="S247" s="11" t="n">
        <v>-0.145</v>
      </c>
      <c r="T247" s="8" t="n">
        <v>82</v>
      </c>
      <c r="U247" s="2" t="s">
        <v>45</v>
      </c>
      <c r="V247" s="2" t="s">
        <v>361</v>
      </c>
      <c r="W247" s="2" t="n">
        <v>1</v>
      </c>
      <c r="X247" s="12" t="s">
        <v>46</v>
      </c>
    </row>
    <row r="248" customFormat="false" ht="16.4" hidden="false" customHeight="false" outlineLevel="0" collapsed="false">
      <c r="A248" s="2" t="n">
        <v>247</v>
      </c>
      <c r="B248" s="2" t="n">
        <v>15</v>
      </c>
      <c r="C248" s="2" t="s">
        <v>362</v>
      </c>
      <c r="D248" s="8" t="n">
        <v>25267</v>
      </c>
      <c r="E248" s="9" t="n">
        <v>4.8</v>
      </c>
      <c r="F248" s="9" t="n">
        <v>4.34</v>
      </c>
      <c r="G248" s="9" t="n">
        <v>5.25</v>
      </c>
      <c r="H248" s="9" t="n">
        <v>6.7</v>
      </c>
      <c r="I248" s="9" t="n">
        <f aca="false">E248-H248</f>
        <v>-1.9</v>
      </c>
      <c r="J248" s="8" t="n">
        <f aca="false">ROUND(D248*E248/100,0)</f>
        <v>1213</v>
      </c>
      <c r="K248" s="9" t="n">
        <v>10.05</v>
      </c>
      <c r="L248" s="9" t="n">
        <v>12.3</v>
      </c>
      <c r="M248" s="9" t="n">
        <v>87.65</v>
      </c>
      <c r="N248" s="9" t="n">
        <v>33.59</v>
      </c>
      <c r="O248" s="9" t="n">
        <v>10.96</v>
      </c>
      <c r="P248" s="2" t="n">
        <f aca="false">RANK(E248,$E$2:$E$350,0)</f>
        <v>335</v>
      </c>
      <c r="Q248" s="2" t="str">
        <f aca="false">IF(E248&gt;=30,"بسیار بالا",IF(E248&gt;=20,"بالا",IF(E248&gt;=13,"متوسط",IF(E248&gt;=8,"پایین","بسیار پایین"))))</f>
        <v>بسیار پایین</v>
      </c>
      <c r="R248" s="10" t="n">
        <v>102.9</v>
      </c>
      <c r="S248" s="11" t="n">
        <v>-0.173</v>
      </c>
      <c r="T248" s="8" t="n">
        <v>87</v>
      </c>
      <c r="U248" s="2" t="s">
        <v>45</v>
      </c>
      <c r="V248" s="2" t="s">
        <v>362</v>
      </c>
      <c r="W248" s="2" t="n">
        <v>0.98</v>
      </c>
      <c r="X248" s="12" t="s">
        <v>46</v>
      </c>
    </row>
    <row r="249" customFormat="false" ht="16.4" hidden="false" customHeight="false" outlineLevel="0" collapsed="false">
      <c r="A249" s="2" t="n">
        <v>248</v>
      </c>
      <c r="B249" s="2" t="n">
        <v>15</v>
      </c>
      <c r="C249" s="2" t="s">
        <v>363</v>
      </c>
      <c r="D249" s="8" t="n">
        <v>40493</v>
      </c>
      <c r="E249" s="9" t="n">
        <v>4.77</v>
      </c>
      <c r="F249" s="9" t="n">
        <v>4.3</v>
      </c>
      <c r="G249" s="9" t="n">
        <v>5.23</v>
      </c>
      <c r="H249" s="9" t="n">
        <v>6.7</v>
      </c>
      <c r="I249" s="9" t="n">
        <f aca="false">E249-H249</f>
        <v>-1.93</v>
      </c>
      <c r="J249" s="8" t="n">
        <f aca="false">ROUND(D249*E249/100,0)</f>
        <v>1932</v>
      </c>
      <c r="K249" s="9" t="n">
        <v>9.99</v>
      </c>
      <c r="L249" s="9" t="n">
        <v>12.24</v>
      </c>
      <c r="M249" s="9" t="n">
        <v>87.6</v>
      </c>
      <c r="N249" s="9" t="n">
        <v>33.4</v>
      </c>
      <c r="O249" s="9" t="n">
        <v>10.91</v>
      </c>
      <c r="P249" s="2" t="n">
        <f aca="false">RANK(E249,$E$2:$E$350,0)</f>
        <v>336</v>
      </c>
      <c r="Q249" s="2" t="str">
        <f aca="false">IF(E249&gt;=30,"بسیار بالا",IF(E249&gt;=20,"بالا",IF(E249&gt;=13,"متوسط",IF(E249&gt;=8,"پایین","بسیار پایین"))))</f>
        <v>بسیار پایین</v>
      </c>
      <c r="R249" s="10" t="n">
        <v>106</v>
      </c>
      <c r="S249" s="11" t="n">
        <v>-0.177</v>
      </c>
      <c r="T249" s="8" t="n">
        <v>88</v>
      </c>
      <c r="U249" s="2" t="s">
        <v>45</v>
      </c>
      <c r="V249" s="2" t="s">
        <v>364</v>
      </c>
      <c r="W249" s="2" t="n">
        <v>1</v>
      </c>
      <c r="X249" s="12" t="s">
        <v>46</v>
      </c>
    </row>
    <row r="250" customFormat="false" ht="16.4" hidden="false" customHeight="false" outlineLevel="0" collapsed="false">
      <c r="A250" s="2" t="n">
        <v>249</v>
      </c>
      <c r="B250" s="2" t="n">
        <v>15</v>
      </c>
      <c r="C250" s="2" t="s">
        <v>365</v>
      </c>
      <c r="D250" s="8" t="n">
        <v>20492</v>
      </c>
      <c r="E250" s="9" t="n">
        <v>4.73</v>
      </c>
      <c r="F250" s="9" t="n">
        <v>4.26</v>
      </c>
      <c r="G250" s="9" t="n">
        <v>5.19</v>
      </c>
      <c r="H250" s="9" t="n">
        <v>6.7</v>
      </c>
      <c r="I250" s="9" t="n">
        <f aca="false">E250-H250</f>
        <v>-1.97</v>
      </c>
      <c r="J250" s="8" t="n">
        <f aca="false">ROUND(D250*E250/100,0)</f>
        <v>969</v>
      </c>
      <c r="K250" s="9" t="n">
        <v>9.91</v>
      </c>
      <c r="L250" s="9" t="n">
        <v>12.17</v>
      </c>
      <c r="M250" s="9" t="n">
        <v>87.53</v>
      </c>
      <c r="N250" s="9" t="n">
        <v>33.12</v>
      </c>
      <c r="O250" s="9" t="n">
        <v>10.83</v>
      </c>
      <c r="P250" s="2" t="n">
        <f aca="false">RANK(E250,$E$2:$E$350,0)</f>
        <v>337</v>
      </c>
      <c r="Q250" s="2" t="str">
        <f aca="false">IF(E250&gt;=30,"بسیار بالا",IF(E250&gt;=20,"بالا",IF(E250&gt;=13,"متوسط",IF(E250&gt;=8,"پایین","بسیار پایین"))))</f>
        <v>بسیار پایین</v>
      </c>
      <c r="R250" s="10" t="n">
        <v>103.1</v>
      </c>
      <c r="S250" s="11" t="n">
        <v>-0.183</v>
      </c>
      <c r="T250" s="8" t="n">
        <v>81</v>
      </c>
      <c r="U250" s="2" t="s">
        <v>45</v>
      </c>
      <c r="V250" s="2" t="s">
        <v>365</v>
      </c>
      <c r="W250" s="2" t="n">
        <v>0.99</v>
      </c>
      <c r="X250" s="12" t="s">
        <v>46</v>
      </c>
    </row>
    <row r="251" customFormat="false" ht="16.4" hidden="false" customHeight="false" outlineLevel="0" collapsed="false">
      <c r="A251" s="2" t="n">
        <v>250</v>
      </c>
      <c r="B251" s="2" t="n">
        <v>15</v>
      </c>
      <c r="C251" s="2" t="s">
        <v>366</v>
      </c>
      <c r="D251" s="8" t="n">
        <v>13967</v>
      </c>
      <c r="E251" s="9" t="n">
        <v>4.06</v>
      </c>
      <c r="F251" s="9" t="n">
        <v>3.54</v>
      </c>
      <c r="G251" s="9" t="n">
        <v>4.61</v>
      </c>
      <c r="H251" s="9" t="n">
        <v>6.7</v>
      </c>
      <c r="I251" s="9" t="n">
        <f aca="false">E251-H251</f>
        <v>-2.64</v>
      </c>
      <c r="J251" s="8" t="n">
        <f aca="false">ROUND(D251*E251/100,0)</f>
        <v>567</v>
      </c>
      <c r="K251" s="9" t="n">
        <v>8.58</v>
      </c>
      <c r="L251" s="9" t="n">
        <v>10.83</v>
      </c>
      <c r="M251" s="9" t="n">
        <v>86.18</v>
      </c>
      <c r="N251" s="9" t="n">
        <v>28.28</v>
      </c>
      <c r="O251" s="9" t="n">
        <v>9.51</v>
      </c>
      <c r="P251" s="2" t="n">
        <f aca="false">RANK(E251,$E$2:$E$350,0)</f>
        <v>343</v>
      </c>
      <c r="Q251" s="2" t="str">
        <f aca="false">IF(E251&gt;=30,"بسیار بالا",IF(E251&gt;=20,"بالا",IF(E251&gt;=13,"متوسط",IF(E251&gt;=8,"پایین","بسیار پایین"))))</f>
        <v>بسیار پایین</v>
      </c>
      <c r="R251" s="10" t="n">
        <v>97.2</v>
      </c>
      <c r="S251" s="11" t="n">
        <v>-0.295</v>
      </c>
      <c r="T251" s="8" t="n">
        <v>99</v>
      </c>
      <c r="U251" s="2" t="s">
        <v>45</v>
      </c>
      <c r="V251" s="2" t="s">
        <v>367</v>
      </c>
      <c r="W251" s="2" t="n">
        <v>0.99</v>
      </c>
      <c r="X251" s="12" t="s">
        <v>46</v>
      </c>
    </row>
    <row r="252" customFormat="false" ht="16.4" hidden="false" customHeight="false" outlineLevel="0" collapsed="false">
      <c r="A252" s="2" t="n">
        <v>251</v>
      </c>
      <c r="B252" s="2" t="n">
        <v>15</v>
      </c>
      <c r="C252" s="2" t="s">
        <v>329</v>
      </c>
      <c r="D252" s="8" t="n">
        <v>65826</v>
      </c>
      <c r="E252" s="9" t="n">
        <v>2.99</v>
      </c>
      <c r="F252" s="9" t="n">
        <v>2.44</v>
      </c>
      <c r="G252" s="9" t="n">
        <v>3.63</v>
      </c>
      <c r="H252" s="9" t="n">
        <v>6.7</v>
      </c>
      <c r="I252" s="9" t="n">
        <f aca="false">E252-H252</f>
        <v>-3.71</v>
      </c>
      <c r="J252" s="8" t="n">
        <f aca="false">ROUND(D252*E252/100,0)</f>
        <v>1968</v>
      </c>
      <c r="K252" s="9" t="n">
        <v>6.4</v>
      </c>
      <c r="L252" s="9" t="n">
        <v>8.56</v>
      </c>
      <c r="M252" s="9" t="n">
        <v>83.15</v>
      </c>
      <c r="N252" s="9" t="n">
        <v>20.06</v>
      </c>
      <c r="O252" s="9" t="n">
        <v>7.31</v>
      </c>
      <c r="P252" s="2" t="n">
        <f aca="false">RANK(E252,$E$2:$E$350,0)</f>
        <v>348</v>
      </c>
      <c r="Q252" s="2" t="str">
        <f aca="false">IF(E252&gt;=30,"بسیار بالا",IF(E252&gt;=20,"بالا",IF(E252&gt;=13,"متوسط",IF(E252&gt;=8,"پایین","بسیار پایین"))))</f>
        <v>بسیار پایین</v>
      </c>
      <c r="R252" s="10" t="n">
        <v>74.7</v>
      </c>
      <c r="S252" s="11" t="n">
        <v>-0.517</v>
      </c>
      <c r="T252" s="8" t="n">
        <v>46</v>
      </c>
      <c r="U252" s="2" t="s">
        <v>54</v>
      </c>
      <c r="V252" s="2" t="s">
        <v>368</v>
      </c>
      <c r="W252" s="2" t="n">
        <v>0.98</v>
      </c>
      <c r="X252" s="12" t="s">
        <v>46</v>
      </c>
    </row>
    <row r="253" customFormat="false" ht="16.4" hidden="false" customHeight="false" outlineLevel="0" collapsed="false">
      <c r="A253" s="2" t="n">
        <v>252</v>
      </c>
      <c r="B253" s="2" t="n">
        <v>16</v>
      </c>
      <c r="C253" s="2" t="s">
        <v>369</v>
      </c>
      <c r="D253" s="8" t="n">
        <v>44318</v>
      </c>
      <c r="E253" s="9" t="n">
        <v>9.99</v>
      </c>
      <c r="F253" s="9" t="n">
        <v>9.34</v>
      </c>
      <c r="G253" s="9" t="n">
        <v>10.66</v>
      </c>
      <c r="H253" s="9" t="n">
        <v>7.1</v>
      </c>
      <c r="I253" s="9" t="n">
        <f aca="false">E253-H253</f>
        <v>2.89</v>
      </c>
      <c r="J253" s="8" t="n">
        <f aca="false">ROUND(D253*E253/100,0)</f>
        <v>4427</v>
      </c>
      <c r="K253" s="9" t="n">
        <v>19.07</v>
      </c>
      <c r="L253" s="9" t="n">
        <v>20.59</v>
      </c>
      <c r="M253" s="9" t="n">
        <v>93.11</v>
      </c>
      <c r="N253" s="9" t="n">
        <v>49.99</v>
      </c>
      <c r="O253" s="9" t="n">
        <v>19.96</v>
      </c>
      <c r="P253" s="2" t="n">
        <f aca="false">RANK(E253,$E$2:$E$350,0)</f>
        <v>251</v>
      </c>
      <c r="Q253" s="2" t="str">
        <f aca="false">IF(E253&gt;=30,"بسیار بالا",IF(E253&gt;=20,"بالا",IF(E253&gt;=13,"متوسط",IF(E253&gt;=8,"پایین","بسیار پایین"))))</f>
        <v>پایین</v>
      </c>
      <c r="R253" s="10" t="n">
        <v>187.5</v>
      </c>
      <c r="S253" s="11" t="n">
        <v>0.283</v>
      </c>
      <c r="T253" s="8" t="n">
        <v>81</v>
      </c>
      <c r="U253" s="2" t="s">
        <v>45</v>
      </c>
      <c r="V253" s="2" t="s">
        <v>370</v>
      </c>
      <c r="W253" s="2" t="n">
        <v>0.99</v>
      </c>
      <c r="X253" s="12" t="s">
        <v>46</v>
      </c>
    </row>
    <row r="254" customFormat="false" ht="16.4" hidden="false" customHeight="false" outlineLevel="0" collapsed="false">
      <c r="A254" s="2" t="n">
        <v>253</v>
      </c>
      <c r="B254" s="2" t="n">
        <v>16</v>
      </c>
      <c r="C254" s="2" t="s">
        <v>371</v>
      </c>
      <c r="D254" s="8" t="n">
        <v>50397</v>
      </c>
      <c r="E254" s="9" t="n">
        <v>8.41</v>
      </c>
      <c r="F254" s="9" t="n">
        <v>8.15</v>
      </c>
      <c r="G254" s="9" t="n">
        <v>8.65</v>
      </c>
      <c r="H254" s="9" t="n">
        <v>7.1</v>
      </c>
      <c r="I254" s="9" t="n">
        <f aca="false">E254-H254</f>
        <v>1.31</v>
      </c>
      <c r="J254" s="8" t="n">
        <f aca="false">ROUND(D254*E254/100,0)</f>
        <v>4238</v>
      </c>
      <c r="K254" s="9" t="n">
        <v>16.31</v>
      </c>
      <c r="L254" s="9" t="n">
        <v>18.15</v>
      </c>
      <c r="M254" s="9" t="n">
        <v>92.15</v>
      </c>
      <c r="N254" s="9" t="n">
        <v>43.25</v>
      </c>
      <c r="O254" s="9" t="n">
        <v>17.35</v>
      </c>
      <c r="P254" s="2" t="n">
        <f aca="false">RANK(E254,$E$2:$E$350,0)</f>
        <v>277</v>
      </c>
      <c r="Q254" s="2" t="str">
        <f aca="false">IF(E254&gt;=30,"بسیار بالا",IF(E254&gt;=20,"بالا",IF(E254&gt;=13,"متوسط",IF(E254&gt;=8,"پایین","بسیار پایین"))))</f>
        <v>پایین</v>
      </c>
      <c r="R254" s="10" t="n">
        <v>158.6</v>
      </c>
      <c r="S254" s="11" t="n">
        <v>0.149</v>
      </c>
      <c r="T254" s="8" t="n">
        <v>67</v>
      </c>
      <c r="U254" s="2" t="s">
        <v>54</v>
      </c>
      <c r="V254" s="2" t="s">
        <v>372</v>
      </c>
      <c r="W254" s="2" t="n">
        <v>0.98</v>
      </c>
      <c r="X254" s="12" t="s">
        <v>46</v>
      </c>
    </row>
    <row r="255" customFormat="false" ht="16.4" hidden="false" customHeight="false" outlineLevel="0" collapsed="false">
      <c r="A255" s="2" t="n">
        <v>254</v>
      </c>
      <c r="B255" s="2" t="n">
        <v>16</v>
      </c>
      <c r="C255" s="2" t="s">
        <v>301</v>
      </c>
      <c r="D255" s="8" t="n">
        <v>18517</v>
      </c>
      <c r="E255" s="9" t="n">
        <v>8.28</v>
      </c>
      <c r="F255" s="9" t="n">
        <v>8.05</v>
      </c>
      <c r="G255" s="9" t="n">
        <v>8.49</v>
      </c>
      <c r="H255" s="9" t="n">
        <v>7.1</v>
      </c>
      <c r="I255" s="9" t="n">
        <f aca="false">E255-H255</f>
        <v>1.18</v>
      </c>
      <c r="J255" s="8" t="n">
        <f aca="false">ROUND(D255*E255/100,0)</f>
        <v>1533</v>
      </c>
      <c r="K255" s="9" t="n">
        <v>16.08</v>
      </c>
      <c r="L255" s="9" t="n">
        <v>17.94</v>
      </c>
      <c r="M255" s="9" t="n">
        <v>92.06</v>
      </c>
      <c r="N255" s="9" t="n">
        <v>42.65</v>
      </c>
      <c r="O255" s="9" t="n">
        <v>17.13</v>
      </c>
      <c r="P255" s="2" t="n">
        <f aca="false">RANK(E255,$E$2:$E$350,0)</f>
        <v>278</v>
      </c>
      <c r="Q255" s="2" t="str">
        <f aca="false">IF(E255&gt;=30,"بسیار بالا",IF(E255&gt;=20,"بالا",IF(E255&gt;=13,"متوسط",IF(E255&gt;=8,"پایین","بسیار پایین"))))</f>
        <v>پایین</v>
      </c>
      <c r="R255" s="10" t="n">
        <v>161.9</v>
      </c>
      <c r="S255" s="11" t="n">
        <v>0.138</v>
      </c>
      <c r="T255" s="8" t="n">
        <v>71</v>
      </c>
      <c r="U255" s="2" t="s">
        <v>45</v>
      </c>
      <c r="V255" s="2" t="s">
        <v>301</v>
      </c>
      <c r="W255" s="2" t="n">
        <v>0.99</v>
      </c>
      <c r="X255" s="12" t="s">
        <v>46</v>
      </c>
    </row>
    <row r="256" customFormat="false" ht="16.4" hidden="false" customHeight="false" outlineLevel="0" collapsed="false">
      <c r="A256" s="2" t="n">
        <v>255</v>
      </c>
      <c r="B256" s="2" t="n">
        <v>16</v>
      </c>
      <c r="C256" s="2" t="s">
        <v>373</v>
      </c>
      <c r="D256" s="8" t="n">
        <v>10224</v>
      </c>
      <c r="E256" s="9" t="n">
        <v>6.91</v>
      </c>
      <c r="F256" s="9" t="n">
        <v>6.82</v>
      </c>
      <c r="G256" s="9" t="n">
        <v>6.98</v>
      </c>
      <c r="H256" s="9" t="n">
        <v>7.1</v>
      </c>
      <c r="I256" s="9" t="n">
        <f aca="false">E256-H256</f>
        <v>-0.19</v>
      </c>
      <c r="J256" s="8" t="n">
        <f aca="false">ROUND(D256*E256/100,0)</f>
        <v>706</v>
      </c>
      <c r="K256" s="9" t="n">
        <v>13.61</v>
      </c>
      <c r="L256" s="9" t="n">
        <v>15.69</v>
      </c>
      <c r="M256" s="9" t="n">
        <v>90.93</v>
      </c>
      <c r="N256" s="9" t="n">
        <v>35.98</v>
      </c>
      <c r="O256" s="9" t="n">
        <v>14.75</v>
      </c>
      <c r="P256" s="2" t="n">
        <f aca="false">RANK(E256,$E$2:$E$350,0)</f>
        <v>290</v>
      </c>
      <c r="Q256" s="2" t="str">
        <f aca="false">IF(E256&gt;=30,"بسیار بالا",IF(E256&gt;=20,"بالا",IF(E256&gt;=13,"متوسط",IF(E256&gt;=8,"پایین","بسیار پایین"))))</f>
        <v>بسیار پایین</v>
      </c>
      <c r="R256" s="10"/>
      <c r="S256" s="11" t="n">
        <v>0</v>
      </c>
      <c r="T256" s="8" t="n">
        <v>0</v>
      </c>
      <c r="U256" s="2" t="s">
        <v>64</v>
      </c>
      <c r="V256" s="12" t="s">
        <v>65</v>
      </c>
      <c r="W256" s="2" t="n">
        <v>0</v>
      </c>
      <c r="X256" s="12" t="s">
        <v>66</v>
      </c>
    </row>
    <row r="257" customFormat="false" ht="16.4" hidden="false" customHeight="false" outlineLevel="0" collapsed="false">
      <c r="A257" s="2" t="n">
        <v>256</v>
      </c>
      <c r="B257" s="2" t="n">
        <v>16</v>
      </c>
      <c r="C257" s="2" t="s">
        <v>374</v>
      </c>
      <c r="D257" s="8" t="n">
        <v>38015</v>
      </c>
      <c r="E257" s="9" t="n">
        <v>6</v>
      </c>
      <c r="F257" s="9" t="n">
        <v>5.74</v>
      </c>
      <c r="G257" s="9" t="n">
        <v>6.25</v>
      </c>
      <c r="H257" s="9" t="n">
        <v>7.1</v>
      </c>
      <c r="I257" s="9" t="n">
        <f aca="false">E257-H257</f>
        <v>-1.1</v>
      </c>
      <c r="J257" s="8" t="n">
        <f aca="false">ROUND(D257*E257/100,0)</f>
        <v>2281</v>
      </c>
      <c r="K257" s="9" t="n">
        <v>11.92</v>
      </c>
      <c r="L257" s="9" t="n">
        <v>14.11</v>
      </c>
      <c r="M257" s="9" t="n">
        <v>89.96</v>
      </c>
      <c r="N257" s="9" t="n">
        <v>31.17</v>
      </c>
      <c r="O257" s="9" t="n">
        <v>13.11</v>
      </c>
      <c r="P257" s="2" t="n">
        <f aca="false">RANK(E257,$E$2:$E$350,0)</f>
        <v>310</v>
      </c>
      <c r="Q257" s="2" t="str">
        <f aca="false">IF(E257&gt;=30,"بسیار بالا",IF(E257&gt;=20,"بالا",IF(E257&gt;=13,"متوسط",IF(E257&gt;=8,"پایین","بسیار پایین"))))</f>
        <v>بسیار پایین</v>
      </c>
      <c r="R257" s="10" t="n">
        <v>130.4</v>
      </c>
      <c r="S257" s="11" t="n">
        <v>-0.106</v>
      </c>
      <c r="T257" s="8" t="n">
        <v>84</v>
      </c>
      <c r="U257" s="2" t="s">
        <v>45</v>
      </c>
      <c r="V257" s="2" t="s">
        <v>374</v>
      </c>
      <c r="W257" s="2" t="n">
        <v>0.99</v>
      </c>
      <c r="X257" s="12" t="s">
        <v>46</v>
      </c>
    </row>
    <row r="258" customFormat="false" ht="16.4" hidden="false" customHeight="false" outlineLevel="0" collapsed="false">
      <c r="A258" s="2" t="n">
        <v>257</v>
      </c>
      <c r="B258" s="2" t="n">
        <v>16</v>
      </c>
      <c r="C258" s="2" t="s">
        <v>153</v>
      </c>
      <c r="D258" s="8" t="n">
        <v>48252</v>
      </c>
      <c r="E258" s="9" t="n">
        <v>5.78</v>
      </c>
      <c r="F258" s="9" t="n">
        <v>5.49</v>
      </c>
      <c r="G258" s="9" t="n">
        <v>6.07</v>
      </c>
      <c r="H258" s="9" t="n">
        <v>7.1</v>
      </c>
      <c r="I258" s="9" t="n">
        <f aca="false">E258-H258</f>
        <v>-1.32</v>
      </c>
      <c r="J258" s="8" t="n">
        <f aca="false">ROUND(D258*E258/100,0)</f>
        <v>2789</v>
      </c>
      <c r="K258" s="9" t="n">
        <v>11.52</v>
      </c>
      <c r="L258" s="9" t="n">
        <v>13.72</v>
      </c>
      <c r="M258" s="9" t="n">
        <v>89.69</v>
      </c>
      <c r="N258" s="9" t="n">
        <v>29.97</v>
      </c>
      <c r="O258" s="9" t="n">
        <v>12.71</v>
      </c>
      <c r="P258" s="2" t="n">
        <f aca="false">RANK(E258,$E$2:$E$350,0)</f>
        <v>317</v>
      </c>
      <c r="Q258" s="2" t="str">
        <f aca="false">IF(E258&gt;=30,"بسیار بالا",IF(E258&gt;=20,"بالا",IF(E258&gt;=13,"متوسط",IF(E258&gt;=8,"پایین","بسیار پایین"))))</f>
        <v>بسیار پایین</v>
      </c>
      <c r="R258" s="10" t="n">
        <v>117.3</v>
      </c>
      <c r="S258" s="11" t="n">
        <v>-0.134</v>
      </c>
      <c r="T258" s="8" t="n">
        <v>77</v>
      </c>
      <c r="U258" s="2" t="s">
        <v>54</v>
      </c>
      <c r="V258" s="2" t="s">
        <v>153</v>
      </c>
      <c r="W258" s="2" t="n">
        <v>0.99</v>
      </c>
      <c r="X258" s="12" t="s">
        <v>46</v>
      </c>
    </row>
    <row r="259" customFormat="false" ht="16.4" hidden="false" customHeight="false" outlineLevel="0" collapsed="false">
      <c r="A259" s="2" t="n">
        <v>258</v>
      </c>
      <c r="B259" s="2" t="n">
        <v>16</v>
      </c>
      <c r="C259" s="2" t="s">
        <v>375</v>
      </c>
      <c r="D259" s="8" t="n">
        <v>30345</v>
      </c>
      <c r="E259" s="9" t="n">
        <v>5.4</v>
      </c>
      <c r="F259" s="9" t="n">
        <v>5.06</v>
      </c>
      <c r="G259" s="9" t="n">
        <v>5.76</v>
      </c>
      <c r="H259" s="9" t="n">
        <v>7.1</v>
      </c>
      <c r="I259" s="9" t="n">
        <f aca="false">E259-H259</f>
        <v>-1.7</v>
      </c>
      <c r="J259" s="8" t="n">
        <f aca="false">ROUND(D259*E259/100,0)</f>
        <v>1639</v>
      </c>
      <c r="K259" s="9" t="n">
        <v>10.82</v>
      </c>
      <c r="L259" s="9" t="n">
        <v>13.05</v>
      </c>
      <c r="M259" s="9" t="n">
        <v>89.2</v>
      </c>
      <c r="N259" s="9" t="n">
        <v>27.9</v>
      </c>
      <c r="O259" s="9" t="n">
        <v>12.01</v>
      </c>
      <c r="P259" s="2" t="n">
        <f aca="false">RANK(E259,$E$2:$E$350,0)</f>
        <v>324</v>
      </c>
      <c r="Q259" s="2" t="str">
        <f aca="false">IF(E259&gt;=30,"بسیار بالا",IF(E259&gt;=20,"بالا",IF(E259&gt;=13,"متوسط",IF(E259&gt;=8,"پایین","بسیار پایین"))))</f>
        <v>بسیار پایین</v>
      </c>
      <c r="R259" s="10" t="n">
        <v>122.5</v>
      </c>
      <c r="S259" s="11" t="n">
        <v>-0.183</v>
      </c>
      <c r="T259" s="8" t="n">
        <v>72</v>
      </c>
      <c r="U259" s="2" t="s">
        <v>54</v>
      </c>
      <c r="V259" s="2" t="s">
        <v>376</v>
      </c>
      <c r="W259" s="2" t="n">
        <v>0.98</v>
      </c>
      <c r="X259" s="12" t="s">
        <v>46</v>
      </c>
    </row>
    <row r="260" customFormat="false" ht="16.4" hidden="false" customHeight="false" outlineLevel="0" collapsed="false">
      <c r="A260" s="2" t="n">
        <v>259</v>
      </c>
      <c r="B260" s="2" t="n">
        <v>16</v>
      </c>
      <c r="C260" s="2" t="s">
        <v>377</v>
      </c>
      <c r="D260" s="8" t="n">
        <v>17410</v>
      </c>
      <c r="E260" s="9" t="n">
        <v>5.4</v>
      </c>
      <c r="F260" s="9" t="n">
        <v>5.06</v>
      </c>
      <c r="G260" s="9" t="n">
        <v>5.76</v>
      </c>
      <c r="H260" s="9" t="n">
        <v>7.1</v>
      </c>
      <c r="I260" s="9" t="n">
        <f aca="false">E260-H260</f>
        <v>-1.7</v>
      </c>
      <c r="J260" s="8" t="n">
        <f aca="false">ROUND(D260*E260/100,0)</f>
        <v>940</v>
      </c>
      <c r="K260" s="9" t="n">
        <v>10.82</v>
      </c>
      <c r="L260" s="9" t="n">
        <v>13.05</v>
      </c>
      <c r="M260" s="9" t="n">
        <v>89.2</v>
      </c>
      <c r="N260" s="9" t="n">
        <v>27.9</v>
      </c>
      <c r="O260" s="9" t="n">
        <v>12.01</v>
      </c>
      <c r="P260" s="2" t="n">
        <f aca="false">RANK(E260,$E$2:$E$350,0)</f>
        <v>324</v>
      </c>
      <c r="Q260" s="2" t="str">
        <f aca="false">IF(E260&gt;=30,"بسیار بالا",IF(E260&gt;=20,"بالا",IF(E260&gt;=13,"متوسط",IF(E260&gt;=8,"پایین","بسیار پایین"))))</f>
        <v>بسیار پایین</v>
      </c>
      <c r="R260" s="10" t="n">
        <v>122.5</v>
      </c>
      <c r="S260" s="11" t="n">
        <v>-0.183</v>
      </c>
      <c r="T260" s="8" t="n">
        <v>72</v>
      </c>
      <c r="U260" s="2" t="s">
        <v>54</v>
      </c>
      <c r="V260" s="2" t="s">
        <v>376</v>
      </c>
      <c r="W260" s="2" t="n">
        <v>0.98</v>
      </c>
      <c r="X260" s="12" t="s">
        <v>46</v>
      </c>
    </row>
    <row r="261" customFormat="false" ht="16.4" hidden="false" customHeight="false" outlineLevel="0" collapsed="false">
      <c r="A261" s="2" t="n">
        <v>260</v>
      </c>
      <c r="B261" s="2" t="n">
        <v>16</v>
      </c>
      <c r="C261" s="2" t="s">
        <v>378</v>
      </c>
      <c r="D261" s="8" t="n">
        <v>10200</v>
      </c>
      <c r="E261" s="9" t="n">
        <v>4.42</v>
      </c>
      <c r="F261" s="9" t="n">
        <v>3.96</v>
      </c>
      <c r="G261" s="9" t="n">
        <v>4.92</v>
      </c>
      <c r="H261" s="9" t="n">
        <v>7.1</v>
      </c>
      <c r="I261" s="9" t="n">
        <f aca="false">E261-H261</f>
        <v>-2.68</v>
      </c>
      <c r="J261" s="8" t="n">
        <f aca="false">ROUND(D261*E261/100,0)</f>
        <v>451</v>
      </c>
      <c r="K261" s="9" t="n">
        <v>8.95</v>
      </c>
      <c r="L261" s="9" t="n">
        <v>11.21</v>
      </c>
      <c r="M261" s="9" t="n">
        <v>87.6</v>
      </c>
      <c r="N261" s="9" t="n">
        <v>22.27</v>
      </c>
      <c r="O261" s="9" t="n">
        <v>10.14</v>
      </c>
      <c r="P261" s="2" t="n">
        <f aca="false">RANK(E261,$E$2:$E$350,0)</f>
        <v>339</v>
      </c>
      <c r="Q261" s="2" t="str">
        <f aca="false">IF(E261&gt;=30,"بسیار بالا",IF(E261&gt;=20,"بالا",IF(E261&gt;=13,"متوسط",IF(E261&gt;=8,"پایین","بسیار پایین"))))</f>
        <v>بسیار پایین</v>
      </c>
      <c r="R261" s="10" t="n">
        <v>97.2</v>
      </c>
      <c r="S261" s="11" t="n">
        <v>-0.331</v>
      </c>
      <c r="T261" s="8" t="n">
        <v>13</v>
      </c>
      <c r="U261" s="2" t="s">
        <v>45</v>
      </c>
      <c r="V261" s="2" t="s">
        <v>379</v>
      </c>
      <c r="W261" s="2" t="n">
        <v>0.98</v>
      </c>
      <c r="X261" s="12" t="s">
        <v>50</v>
      </c>
    </row>
    <row r="262" customFormat="false" ht="16.4" hidden="false" customHeight="false" outlineLevel="0" collapsed="false">
      <c r="A262" s="2" t="n">
        <v>261</v>
      </c>
      <c r="B262" s="2" t="n">
        <v>17</v>
      </c>
      <c r="C262" s="2" t="s">
        <v>380</v>
      </c>
      <c r="D262" s="8" t="n">
        <v>22920</v>
      </c>
      <c r="E262" s="9" t="n">
        <v>10.67</v>
      </c>
      <c r="F262" s="9" t="n">
        <v>9.64</v>
      </c>
      <c r="G262" s="9" t="n">
        <v>11.75</v>
      </c>
      <c r="H262" s="9" t="n">
        <v>6.4</v>
      </c>
      <c r="I262" s="9" t="n">
        <f aca="false">E262-H262</f>
        <v>4.27</v>
      </c>
      <c r="J262" s="8" t="n">
        <f aca="false">ROUND(D262*E262/100,0)</f>
        <v>2446</v>
      </c>
      <c r="K262" s="9" t="n">
        <v>20.8</v>
      </c>
      <c r="L262" s="9" t="n">
        <v>22.42</v>
      </c>
      <c r="M262" s="9" t="n">
        <v>91.83</v>
      </c>
      <c r="N262" s="9" t="n">
        <v>53.3</v>
      </c>
      <c r="O262" s="9" t="n">
        <v>21.41</v>
      </c>
      <c r="P262" s="2" t="n">
        <f aca="false">RANK(E262,$E$2:$E$350,0)</f>
        <v>244</v>
      </c>
      <c r="Q262" s="2" t="str">
        <f aca="false">IF(E262&gt;=30,"بسیار بالا",IF(E262&gt;=20,"بالا",IF(E262&gt;=13,"متوسط",IF(E262&gt;=8,"پایین","بسیار پایین"))))</f>
        <v>پایین</v>
      </c>
      <c r="R262" s="10" t="n">
        <v>193.1</v>
      </c>
      <c r="S262" s="11" t="n">
        <v>0.416</v>
      </c>
      <c r="T262" s="8" t="n">
        <v>85</v>
      </c>
      <c r="U262" s="2" t="s">
        <v>54</v>
      </c>
      <c r="V262" s="2" t="s">
        <v>329</v>
      </c>
      <c r="W262" s="2" t="n">
        <v>0.98</v>
      </c>
      <c r="X262" s="12" t="s">
        <v>46</v>
      </c>
    </row>
    <row r="263" customFormat="false" ht="16.4" hidden="false" customHeight="false" outlineLevel="0" collapsed="false">
      <c r="A263" s="2" t="n">
        <v>262</v>
      </c>
      <c r="B263" s="2" t="n">
        <v>17</v>
      </c>
      <c r="C263" s="2" t="s">
        <v>381</v>
      </c>
      <c r="D263" s="8" t="n">
        <v>18554</v>
      </c>
      <c r="E263" s="9" t="n">
        <v>10.67</v>
      </c>
      <c r="F263" s="9" t="n">
        <v>9.64</v>
      </c>
      <c r="G263" s="9" t="n">
        <v>11.75</v>
      </c>
      <c r="H263" s="9" t="n">
        <v>6.4</v>
      </c>
      <c r="I263" s="9" t="n">
        <f aca="false">E263-H263</f>
        <v>4.27</v>
      </c>
      <c r="J263" s="8" t="n">
        <f aca="false">ROUND(D263*E263/100,0)</f>
        <v>1980</v>
      </c>
      <c r="K263" s="9" t="n">
        <v>20.8</v>
      </c>
      <c r="L263" s="9" t="n">
        <v>22.42</v>
      </c>
      <c r="M263" s="9" t="n">
        <v>91.83</v>
      </c>
      <c r="N263" s="9" t="n">
        <v>53.3</v>
      </c>
      <c r="O263" s="9" t="n">
        <v>21.41</v>
      </c>
      <c r="P263" s="2" t="n">
        <f aca="false">RANK(E263,$E$2:$E$350,0)</f>
        <v>244</v>
      </c>
      <c r="Q263" s="2" t="str">
        <f aca="false">IF(E263&gt;=30,"بسیار بالا",IF(E263&gt;=20,"بالا",IF(E263&gt;=13,"متوسط",IF(E263&gt;=8,"پایین","بسیار پایین"))))</f>
        <v>پایین</v>
      </c>
      <c r="R263" s="10" t="n">
        <v>193.1</v>
      </c>
      <c r="S263" s="11" t="n">
        <v>0.416</v>
      </c>
      <c r="T263" s="8" t="n">
        <v>85</v>
      </c>
      <c r="U263" s="2" t="s">
        <v>54</v>
      </c>
      <c r="V263" s="2" t="s">
        <v>329</v>
      </c>
      <c r="W263" s="2" t="n">
        <v>0.98</v>
      </c>
      <c r="X263" s="12" t="s">
        <v>46</v>
      </c>
    </row>
    <row r="264" customFormat="false" ht="16.4" hidden="false" customHeight="false" outlineLevel="0" collapsed="false">
      <c r="A264" s="2" t="n">
        <v>263</v>
      </c>
      <c r="B264" s="2" t="n">
        <v>17</v>
      </c>
      <c r="C264" s="2" t="s">
        <v>382</v>
      </c>
      <c r="D264" s="8" t="n">
        <v>22736</v>
      </c>
      <c r="E264" s="9" t="n">
        <v>7.01</v>
      </c>
      <c r="F264" s="9" t="n">
        <v>6.92</v>
      </c>
      <c r="G264" s="9" t="n">
        <v>7.08</v>
      </c>
      <c r="H264" s="9" t="n">
        <v>6.4</v>
      </c>
      <c r="I264" s="9" t="n">
        <f aca="false">E264-H264</f>
        <v>0.609999999999999</v>
      </c>
      <c r="J264" s="8" t="n">
        <f aca="false">ROUND(D264*E264/100,0)</f>
        <v>1594</v>
      </c>
      <c r="K264" s="9" t="n">
        <v>14.23</v>
      </c>
      <c r="L264" s="9" t="n">
        <v>16.53</v>
      </c>
      <c r="M264" s="9" t="n">
        <v>88.88</v>
      </c>
      <c r="N264" s="9" t="n">
        <v>37.18</v>
      </c>
      <c r="O264" s="9" t="n">
        <v>15.22</v>
      </c>
      <c r="P264" s="2" t="n">
        <f aca="false">RANK(E264,$E$2:$E$350,0)</f>
        <v>286</v>
      </c>
      <c r="Q264" s="2" t="str">
        <f aca="false">IF(E264&gt;=30,"بسیار بالا",IF(E264&gt;=20,"بالا",IF(E264&gt;=13,"متوسط",IF(E264&gt;=8,"پایین","بسیار پایین"))))</f>
        <v>بسیار پایین</v>
      </c>
      <c r="R264" s="10" t="n">
        <v>143.3</v>
      </c>
      <c r="S264" s="11" t="n">
        <v>0.094</v>
      </c>
      <c r="T264" s="8" t="n">
        <v>91</v>
      </c>
      <c r="U264" s="2" t="s">
        <v>45</v>
      </c>
      <c r="V264" s="2" t="s">
        <v>382</v>
      </c>
      <c r="W264" s="2" t="n">
        <v>0.99</v>
      </c>
      <c r="X264" s="12" t="s">
        <v>46</v>
      </c>
    </row>
    <row r="265" customFormat="false" ht="16.4" hidden="false" customHeight="false" outlineLevel="0" collapsed="false">
      <c r="A265" s="2" t="n">
        <v>264</v>
      </c>
      <c r="B265" s="2" t="n">
        <v>17</v>
      </c>
      <c r="C265" s="2" t="s">
        <v>383</v>
      </c>
      <c r="D265" s="8" t="n">
        <v>21417</v>
      </c>
      <c r="E265" s="9" t="n">
        <v>6.38</v>
      </c>
      <c r="F265" s="9" t="n">
        <v>6.32</v>
      </c>
      <c r="G265" s="9" t="n">
        <v>6.42</v>
      </c>
      <c r="H265" s="9" t="n">
        <v>6.4</v>
      </c>
      <c r="I265" s="9" t="n">
        <f aca="false">E265-H265</f>
        <v>-0.0200000000000005</v>
      </c>
      <c r="J265" s="8" t="n">
        <f aca="false">ROUND(D265*E265/100,0)</f>
        <v>1366</v>
      </c>
      <c r="K265" s="9" t="n">
        <v>13.04</v>
      </c>
      <c r="L265" s="9" t="n">
        <v>15.42</v>
      </c>
      <c r="M265" s="9" t="n">
        <v>88.12</v>
      </c>
      <c r="N265" s="9" t="n">
        <v>33.89</v>
      </c>
      <c r="O265" s="9" t="n">
        <v>14.08</v>
      </c>
      <c r="P265" s="2" t="n">
        <f aca="false">RANK(E265,$E$2:$E$350,0)</f>
        <v>298</v>
      </c>
      <c r="Q265" s="2" t="str">
        <f aca="false">IF(E265&gt;=30,"بسیار بالا",IF(E265&gt;=20,"بالا",IF(E265&gt;=13,"متوسط",IF(E265&gt;=8,"پایین","بسیار پایین"))))</f>
        <v>بسیار پایین</v>
      </c>
      <c r="R265" s="10" t="n">
        <v>132.9</v>
      </c>
      <c r="S265" s="11" t="n">
        <v>0.023</v>
      </c>
      <c r="T265" s="8" t="n">
        <v>84</v>
      </c>
      <c r="U265" s="2" t="s">
        <v>45</v>
      </c>
      <c r="V265" s="2" t="s">
        <v>383</v>
      </c>
      <c r="W265" s="2" t="n">
        <v>1</v>
      </c>
      <c r="X265" s="12" t="s">
        <v>46</v>
      </c>
    </row>
    <row r="266" customFormat="false" ht="16.4" hidden="false" customHeight="false" outlineLevel="0" collapsed="false">
      <c r="A266" s="2" t="n">
        <v>265</v>
      </c>
      <c r="B266" s="2" t="n">
        <v>17</v>
      </c>
      <c r="C266" s="2" t="s">
        <v>384</v>
      </c>
      <c r="D266" s="8" t="n">
        <v>21145</v>
      </c>
      <c r="E266" s="9" t="n">
        <v>6.37</v>
      </c>
      <c r="F266" s="9" t="n">
        <v>6.31</v>
      </c>
      <c r="G266" s="9" t="n">
        <v>6.42</v>
      </c>
      <c r="H266" s="9" t="n">
        <v>6.4</v>
      </c>
      <c r="I266" s="9" t="n">
        <f aca="false">E266-H266</f>
        <v>-0.0300000000000003</v>
      </c>
      <c r="J266" s="8" t="n">
        <f aca="false">ROUND(D266*E266/100,0)</f>
        <v>1347</v>
      </c>
      <c r="K266" s="9" t="n">
        <v>13.02</v>
      </c>
      <c r="L266" s="9" t="n">
        <v>15.4</v>
      </c>
      <c r="M266" s="9" t="n">
        <v>88.11</v>
      </c>
      <c r="N266" s="9" t="n">
        <v>33.84</v>
      </c>
      <c r="O266" s="9" t="n">
        <v>14.06</v>
      </c>
      <c r="P266" s="2" t="n">
        <f aca="false">RANK(E266,$E$2:$E$350,0)</f>
        <v>299</v>
      </c>
      <c r="Q266" s="2" t="str">
        <f aca="false">IF(E266&gt;=30,"بسیار بالا",IF(E266&gt;=20,"بالا",IF(E266&gt;=13,"متوسط",IF(E266&gt;=8,"پایین","بسیار پایین"))))</f>
        <v>بسیار پایین</v>
      </c>
      <c r="R266" s="10" t="n">
        <v>133.3</v>
      </c>
      <c r="S266" s="11" t="n">
        <v>0.022</v>
      </c>
      <c r="T266" s="8" t="n">
        <v>88</v>
      </c>
      <c r="U266" s="2" t="s">
        <v>45</v>
      </c>
      <c r="V266" s="2" t="s">
        <v>384</v>
      </c>
      <c r="W266" s="2" t="n">
        <v>0.99</v>
      </c>
      <c r="X266" s="12" t="s">
        <v>46</v>
      </c>
    </row>
    <row r="267" customFormat="false" ht="16.4" hidden="false" customHeight="false" outlineLevel="0" collapsed="false">
      <c r="A267" s="2" t="n">
        <v>266</v>
      </c>
      <c r="B267" s="2" t="n">
        <v>17</v>
      </c>
      <c r="C267" s="2" t="s">
        <v>385</v>
      </c>
      <c r="D267" s="8" t="n">
        <v>25174</v>
      </c>
      <c r="E267" s="9" t="n">
        <v>5.91</v>
      </c>
      <c r="F267" s="9" t="n">
        <v>5.75</v>
      </c>
      <c r="G267" s="9" t="n">
        <v>6.05</v>
      </c>
      <c r="H267" s="9" t="n">
        <v>6.4</v>
      </c>
      <c r="I267" s="9" t="n">
        <f aca="false">E267-H267</f>
        <v>-0.49</v>
      </c>
      <c r="J267" s="8" t="n">
        <f aca="false">ROUND(D267*E267/100,0)</f>
        <v>1488</v>
      </c>
      <c r="K267" s="9" t="n">
        <v>12.14</v>
      </c>
      <c r="L267" s="9" t="n">
        <v>14.56</v>
      </c>
      <c r="M267" s="9" t="n">
        <v>87.47</v>
      </c>
      <c r="N267" s="9" t="n">
        <v>31.31</v>
      </c>
      <c r="O267" s="9" t="n">
        <v>13.2</v>
      </c>
      <c r="P267" s="2" t="n">
        <f aca="false">RANK(E267,$E$2:$E$350,0)</f>
        <v>311</v>
      </c>
      <c r="Q267" s="2" t="str">
        <f aca="false">IF(E267&gt;=30,"بسیار بالا",IF(E267&gt;=20,"بالا",IF(E267&gt;=13,"متوسط",IF(E267&gt;=8,"پایین","بسیار پایین"))))</f>
        <v>بسیار پایین</v>
      </c>
      <c r="R267" s="10" t="n">
        <v>125.8</v>
      </c>
      <c r="S267" s="11" t="n">
        <v>-0.034</v>
      </c>
      <c r="T267" s="8" t="n">
        <v>88</v>
      </c>
      <c r="U267" s="2" t="s">
        <v>45</v>
      </c>
      <c r="V267" s="2" t="s">
        <v>385</v>
      </c>
      <c r="W267" s="2" t="n">
        <v>0.99</v>
      </c>
      <c r="X267" s="12" t="s">
        <v>46</v>
      </c>
    </row>
    <row r="268" customFormat="false" ht="16.4" hidden="false" customHeight="false" outlineLevel="0" collapsed="false">
      <c r="A268" s="2" t="n">
        <v>267</v>
      </c>
      <c r="B268" s="2" t="n">
        <v>17</v>
      </c>
      <c r="C268" s="2" t="s">
        <v>386</v>
      </c>
      <c r="D268" s="8" t="n">
        <v>20420</v>
      </c>
      <c r="E268" s="9" t="n">
        <v>5.61</v>
      </c>
      <c r="F268" s="9" t="n">
        <v>5.4</v>
      </c>
      <c r="G268" s="9" t="n">
        <v>5.8</v>
      </c>
      <c r="H268" s="9" t="n">
        <v>6.4</v>
      </c>
      <c r="I268" s="9" t="n">
        <f aca="false">E268-H268</f>
        <v>-0.79</v>
      </c>
      <c r="J268" s="8" t="n">
        <f aca="false">ROUND(D268*E268/100,0)</f>
        <v>1146</v>
      </c>
      <c r="K268" s="9" t="n">
        <v>11.56</v>
      </c>
      <c r="L268" s="9" t="n">
        <v>14</v>
      </c>
      <c r="M268" s="9" t="n">
        <v>87.01</v>
      </c>
      <c r="N268" s="9" t="n">
        <v>29.63</v>
      </c>
      <c r="O268" s="9" t="n">
        <v>12.64</v>
      </c>
      <c r="P268" s="2" t="n">
        <f aca="false">RANK(E268,$E$2:$E$350,0)</f>
        <v>318</v>
      </c>
      <c r="Q268" s="2" t="str">
        <f aca="false">IF(E268&gt;=30,"بسیار بالا",IF(E268&gt;=20,"بالا",IF(E268&gt;=13,"متوسط",IF(E268&gt;=8,"پایین","بسیار پایین"))))</f>
        <v>بسیار پایین</v>
      </c>
      <c r="R268" s="10" t="n">
        <v>115.4</v>
      </c>
      <c r="S268" s="11" t="n">
        <v>-0.073</v>
      </c>
      <c r="T268" s="8" t="n">
        <v>83</v>
      </c>
      <c r="U268" s="2" t="s">
        <v>45</v>
      </c>
      <c r="V268" s="2" t="s">
        <v>386</v>
      </c>
      <c r="W268" s="2" t="n">
        <v>1</v>
      </c>
      <c r="X268" s="12" t="s">
        <v>46</v>
      </c>
    </row>
    <row r="269" customFormat="false" ht="16.4" hidden="false" customHeight="false" outlineLevel="0" collapsed="false">
      <c r="A269" s="2" t="n">
        <v>268</v>
      </c>
      <c r="B269" s="2" t="n">
        <v>17</v>
      </c>
      <c r="C269" s="2" t="s">
        <v>387</v>
      </c>
      <c r="D269" s="8" t="n">
        <v>20061</v>
      </c>
      <c r="E269" s="9" t="n">
        <v>5.54</v>
      </c>
      <c r="F269" s="9" t="n">
        <v>5.32</v>
      </c>
      <c r="G269" s="9" t="n">
        <v>5.74</v>
      </c>
      <c r="H269" s="9" t="n">
        <v>6.4</v>
      </c>
      <c r="I269" s="9" t="n">
        <f aca="false">E269-H269</f>
        <v>-0.86</v>
      </c>
      <c r="J269" s="8" t="n">
        <f aca="false">ROUND(D269*E269/100,0)</f>
        <v>1111</v>
      </c>
      <c r="K269" s="9" t="n">
        <v>11.42</v>
      </c>
      <c r="L269" s="9" t="n">
        <v>13.86</v>
      </c>
      <c r="M269" s="9" t="n">
        <v>86.9</v>
      </c>
      <c r="N269" s="9" t="n">
        <v>29.23</v>
      </c>
      <c r="O269" s="9" t="n">
        <v>12.5</v>
      </c>
      <c r="P269" s="2" t="n">
        <f aca="false">RANK(E269,$E$2:$E$350,0)</f>
        <v>319</v>
      </c>
      <c r="Q269" s="2" t="str">
        <f aca="false">IF(E269&gt;=30,"بسیار بالا",IF(E269&gt;=20,"بالا",IF(E269&gt;=13,"متوسط",IF(E269&gt;=8,"پایین","بسیار پایین"))))</f>
        <v>بسیار پایین</v>
      </c>
      <c r="R269" s="10" t="n">
        <v>118.4</v>
      </c>
      <c r="S269" s="11" t="n">
        <v>-0.083</v>
      </c>
      <c r="T269" s="8" t="n">
        <v>84</v>
      </c>
      <c r="U269" s="2" t="s">
        <v>45</v>
      </c>
      <c r="V269" s="2" t="s">
        <v>387</v>
      </c>
      <c r="W269" s="2" t="n">
        <v>0.99</v>
      </c>
      <c r="X269" s="12" t="s">
        <v>46</v>
      </c>
    </row>
    <row r="270" customFormat="false" ht="16.4" hidden="false" customHeight="false" outlineLevel="0" collapsed="false">
      <c r="A270" s="2" t="n">
        <v>269</v>
      </c>
      <c r="B270" s="2" t="n">
        <v>17</v>
      </c>
      <c r="C270" s="2" t="s">
        <v>388</v>
      </c>
      <c r="D270" s="8" t="n">
        <v>15628</v>
      </c>
      <c r="E270" s="9" t="n">
        <v>5.43</v>
      </c>
      <c r="F270" s="9" t="n">
        <v>5.19</v>
      </c>
      <c r="G270" s="9" t="n">
        <v>5.65</v>
      </c>
      <c r="H270" s="9" t="n">
        <v>6.4</v>
      </c>
      <c r="I270" s="9" t="n">
        <f aca="false">E270-H270</f>
        <v>-0.970000000000001</v>
      </c>
      <c r="J270" s="8" t="n">
        <f aca="false">ROUND(D270*E270/100,0)</f>
        <v>849</v>
      </c>
      <c r="K270" s="9" t="n">
        <v>11.21</v>
      </c>
      <c r="L270" s="9" t="n">
        <v>13.65</v>
      </c>
      <c r="M270" s="9" t="n">
        <v>86.72</v>
      </c>
      <c r="N270" s="9" t="n">
        <v>28.6</v>
      </c>
      <c r="O270" s="9" t="n">
        <v>12.29</v>
      </c>
      <c r="P270" s="2" t="n">
        <f aca="false">RANK(E270,$E$2:$E$350,0)</f>
        <v>323</v>
      </c>
      <c r="Q270" s="2" t="str">
        <f aca="false">IF(E270&gt;=30,"بسیار بالا",IF(E270&gt;=20,"بالا",IF(E270&gt;=13,"متوسط",IF(E270&gt;=8,"پایین","بسیار پایین"))))</f>
        <v>بسیار پایین</v>
      </c>
      <c r="R270" s="10" t="n">
        <v>117.9</v>
      </c>
      <c r="S270" s="11" t="n">
        <v>-0.098</v>
      </c>
      <c r="T270" s="8" t="n">
        <v>88</v>
      </c>
      <c r="U270" s="2" t="s">
        <v>45</v>
      </c>
      <c r="V270" s="2" t="s">
        <v>388</v>
      </c>
      <c r="W270" s="2" t="n">
        <v>1</v>
      </c>
      <c r="X270" s="12" t="s">
        <v>46</v>
      </c>
    </row>
    <row r="271" customFormat="false" ht="16.4" hidden="false" customHeight="false" outlineLevel="0" collapsed="false">
      <c r="A271" s="2" t="n">
        <v>270</v>
      </c>
      <c r="B271" s="2" t="n">
        <v>17</v>
      </c>
      <c r="C271" s="2" t="s">
        <v>389</v>
      </c>
      <c r="D271" s="8" t="n">
        <v>25792</v>
      </c>
      <c r="E271" s="9" t="n">
        <v>5.4</v>
      </c>
      <c r="F271" s="9" t="n">
        <v>5.15</v>
      </c>
      <c r="G271" s="9" t="n">
        <v>5.63</v>
      </c>
      <c r="H271" s="9" t="n">
        <v>6.4</v>
      </c>
      <c r="I271" s="9" t="n">
        <f aca="false">E271-H271</f>
        <v>-1</v>
      </c>
      <c r="J271" s="8" t="n">
        <f aca="false">ROUND(D271*E271/100,0)</f>
        <v>1393</v>
      </c>
      <c r="K271" s="9" t="n">
        <v>11.15</v>
      </c>
      <c r="L271" s="9" t="n">
        <v>13.6</v>
      </c>
      <c r="M271" s="9" t="n">
        <v>86.67</v>
      </c>
      <c r="N271" s="9" t="n">
        <v>28.43</v>
      </c>
      <c r="O271" s="9" t="n">
        <v>12.24</v>
      </c>
      <c r="P271" s="2" t="n">
        <f aca="false">RANK(E271,$E$2:$E$350,0)</f>
        <v>324</v>
      </c>
      <c r="Q271" s="2" t="str">
        <f aca="false">IF(E271&gt;=30,"بسیار بالا",IF(E271&gt;=20,"بالا",IF(E271&gt;=13,"متوسط",IF(E271&gt;=8,"پایین","بسیار پایین"))))</f>
        <v>بسیار پایین</v>
      </c>
      <c r="R271" s="10" t="n">
        <v>116.4</v>
      </c>
      <c r="S271" s="11" t="n">
        <v>-0.102</v>
      </c>
      <c r="T271" s="8" t="n">
        <v>73</v>
      </c>
      <c r="U271" s="2" t="s">
        <v>45</v>
      </c>
      <c r="V271" s="2" t="s">
        <v>390</v>
      </c>
      <c r="W271" s="2" t="n">
        <v>1</v>
      </c>
      <c r="X271" s="12" t="s">
        <v>46</v>
      </c>
    </row>
    <row r="272" customFormat="false" ht="16.4" hidden="false" customHeight="false" outlineLevel="0" collapsed="false">
      <c r="A272" s="2" t="n">
        <v>271</v>
      </c>
      <c r="B272" s="2" t="n">
        <v>17</v>
      </c>
      <c r="C272" s="2" t="s">
        <v>391</v>
      </c>
      <c r="D272" s="8" t="n">
        <v>14553</v>
      </c>
      <c r="E272" s="9" t="n">
        <v>5.2</v>
      </c>
      <c r="F272" s="9" t="n">
        <v>4.93</v>
      </c>
      <c r="G272" s="9" t="n">
        <v>5.47</v>
      </c>
      <c r="H272" s="9" t="n">
        <v>6.4</v>
      </c>
      <c r="I272" s="9" t="n">
        <f aca="false">E272-H272</f>
        <v>-1.2</v>
      </c>
      <c r="J272" s="8" t="n">
        <f aca="false">ROUND(D272*E272/100,0)</f>
        <v>757</v>
      </c>
      <c r="K272" s="9" t="n">
        <v>10.77</v>
      </c>
      <c r="L272" s="9" t="n">
        <v>13.23</v>
      </c>
      <c r="M272" s="9" t="n">
        <v>86.33</v>
      </c>
      <c r="N272" s="9" t="n">
        <v>27.32</v>
      </c>
      <c r="O272" s="9" t="n">
        <v>11.86</v>
      </c>
      <c r="P272" s="2" t="n">
        <f aca="false">RANK(E272,$E$2:$E$350,0)</f>
        <v>329</v>
      </c>
      <c r="Q272" s="2" t="str">
        <f aca="false">IF(E272&gt;=30,"بسیار بالا",IF(E272&gt;=20,"بالا",IF(E272&gt;=13,"متوسط",IF(E272&gt;=8,"پایین","بسیار پایین"))))</f>
        <v>بسیار پایین</v>
      </c>
      <c r="R272" s="10" t="n">
        <v>114.7</v>
      </c>
      <c r="S272" s="11" t="n">
        <v>-0.129</v>
      </c>
      <c r="T272" s="8" t="n">
        <v>89</v>
      </c>
      <c r="U272" s="2" t="s">
        <v>45</v>
      </c>
      <c r="V272" s="2" t="s">
        <v>391</v>
      </c>
      <c r="W272" s="2" t="n">
        <v>1</v>
      </c>
      <c r="X272" s="12" t="s">
        <v>46</v>
      </c>
    </row>
    <row r="273" customFormat="false" ht="16.4" hidden="false" customHeight="false" outlineLevel="0" collapsed="false">
      <c r="A273" s="2" t="n">
        <v>272</v>
      </c>
      <c r="B273" s="2" t="n">
        <v>17</v>
      </c>
      <c r="C273" s="2" t="s">
        <v>392</v>
      </c>
      <c r="D273" s="8" t="n">
        <v>10860</v>
      </c>
      <c r="E273" s="9" t="n">
        <v>4.83</v>
      </c>
      <c r="F273" s="9" t="n">
        <v>4.5</v>
      </c>
      <c r="G273" s="9" t="n">
        <v>5.16</v>
      </c>
      <c r="H273" s="9" t="n">
        <v>6.4</v>
      </c>
      <c r="I273" s="9" t="n">
        <f aca="false">E273-H273</f>
        <v>-1.57</v>
      </c>
      <c r="J273" s="8" t="n">
        <f aca="false">ROUND(D273*E273/100,0)</f>
        <v>525</v>
      </c>
      <c r="K273" s="9" t="n">
        <v>10.04</v>
      </c>
      <c r="L273" s="9" t="n">
        <v>12.5</v>
      </c>
      <c r="M273" s="9" t="n">
        <v>85.63</v>
      </c>
      <c r="N273" s="9" t="n">
        <v>25.14</v>
      </c>
      <c r="O273" s="9" t="n">
        <v>11.14</v>
      </c>
      <c r="P273" s="2" t="n">
        <f aca="false">RANK(E273,$E$2:$E$350,0)</f>
        <v>333</v>
      </c>
      <c r="Q273" s="2" t="str">
        <f aca="false">IF(E273&gt;=30,"بسیار بالا",IF(E273&gt;=20,"بالا",IF(E273&gt;=13,"متوسط",IF(E273&gt;=8,"پایین","بسیار پایین"))))</f>
        <v>بسیار پایین</v>
      </c>
      <c r="R273" s="10" t="n">
        <v>106.7</v>
      </c>
      <c r="S273" s="11" t="n">
        <v>-0.184</v>
      </c>
      <c r="T273" s="8" t="n">
        <v>88</v>
      </c>
      <c r="U273" s="2" t="s">
        <v>45</v>
      </c>
      <c r="V273" s="2" t="s">
        <v>392</v>
      </c>
      <c r="W273" s="2" t="n">
        <v>1</v>
      </c>
      <c r="X273" s="12" t="s">
        <v>46</v>
      </c>
    </row>
    <row r="274" customFormat="false" ht="16.4" hidden="false" customHeight="false" outlineLevel="0" collapsed="false">
      <c r="A274" s="2" t="n">
        <v>273</v>
      </c>
      <c r="B274" s="2" t="n">
        <v>17</v>
      </c>
      <c r="C274" s="2" t="s">
        <v>393</v>
      </c>
      <c r="D274" s="8" t="n">
        <v>19359</v>
      </c>
      <c r="E274" s="9" t="n">
        <v>4.82</v>
      </c>
      <c r="F274" s="9" t="n">
        <v>4.49</v>
      </c>
      <c r="G274" s="9" t="n">
        <v>5.15</v>
      </c>
      <c r="H274" s="9" t="n">
        <v>6.4</v>
      </c>
      <c r="I274" s="9" t="n">
        <f aca="false">E274-H274</f>
        <v>-1.58</v>
      </c>
      <c r="J274" s="8" t="n">
        <f aca="false">ROUND(D274*E274/100,0)</f>
        <v>933</v>
      </c>
      <c r="K274" s="9" t="n">
        <v>10.03</v>
      </c>
      <c r="L274" s="9" t="n">
        <v>12.49</v>
      </c>
      <c r="M274" s="9" t="n">
        <v>85.62</v>
      </c>
      <c r="N274" s="9" t="n">
        <v>25.11</v>
      </c>
      <c r="O274" s="9" t="n">
        <v>11.13</v>
      </c>
      <c r="P274" s="2" t="n">
        <f aca="false">RANK(E274,$E$2:$E$350,0)</f>
        <v>334</v>
      </c>
      <c r="Q274" s="2" t="str">
        <f aca="false">IF(E274&gt;=30,"بسیار بالا",IF(E274&gt;=20,"بالا",IF(E274&gt;=13,"متوسط",IF(E274&gt;=8,"پایین","بسیار پایین"))))</f>
        <v>بسیار پایین</v>
      </c>
      <c r="R274" s="10" t="n">
        <v>103.3</v>
      </c>
      <c r="S274" s="11" t="n">
        <v>-0.185</v>
      </c>
      <c r="T274" s="8" t="n">
        <v>85</v>
      </c>
      <c r="U274" s="2" t="s">
        <v>45</v>
      </c>
      <c r="V274" s="2" t="s">
        <v>393</v>
      </c>
      <c r="W274" s="2" t="n">
        <v>1</v>
      </c>
      <c r="X274" s="12" t="s">
        <v>46</v>
      </c>
    </row>
    <row r="275" customFormat="false" ht="16.4" hidden="false" customHeight="false" outlineLevel="0" collapsed="false">
      <c r="A275" s="2" t="n">
        <v>274</v>
      </c>
      <c r="B275" s="2" t="n">
        <v>17</v>
      </c>
      <c r="C275" s="2" t="s">
        <v>394</v>
      </c>
      <c r="D275" s="8" t="n">
        <v>19735</v>
      </c>
      <c r="E275" s="9" t="n">
        <v>4.47</v>
      </c>
      <c r="F275" s="9" t="n">
        <v>4.1</v>
      </c>
      <c r="G275" s="9" t="n">
        <v>4.86</v>
      </c>
      <c r="H275" s="9" t="n">
        <v>6.4</v>
      </c>
      <c r="I275" s="9" t="n">
        <f aca="false">E275-H275</f>
        <v>-1.93</v>
      </c>
      <c r="J275" s="8" t="n">
        <f aca="false">ROUND(D275*E275/100,0)</f>
        <v>882</v>
      </c>
      <c r="K275" s="9" t="n">
        <v>9.34</v>
      </c>
      <c r="L275" s="9" t="n">
        <v>11.8</v>
      </c>
      <c r="M275" s="9" t="n">
        <v>84.89</v>
      </c>
      <c r="N275" s="9" t="n">
        <v>23.07</v>
      </c>
      <c r="O275" s="9" t="n">
        <v>10.44</v>
      </c>
      <c r="P275" s="2" t="n">
        <f aca="false">RANK(E275,$E$2:$E$350,0)</f>
        <v>338</v>
      </c>
      <c r="Q275" s="2" t="str">
        <f aca="false">IF(E275&gt;=30,"بسیار بالا",IF(E275&gt;=20,"بالا",IF(E275&gt;=13,"متوسط",IF(E275&gt;=8,"پایین","بسیار پایین"))))</f>
        <v>بسیار پایین</v>
      </c>
      <c r="R275" s="10" t="n">
        <v>97.3</v>
      </c>
      <c r="S275" s="11" t="n">
        <v>-0.24</v>
      </c>
      <c r="T275" s="8" t="n">
        <v>84</v>
      </c>
      <c r="U275" s="2" t="s">
        <v>45</v>
      </c>
      <c r="V275" s="2" t="s">
        <v>394</v>
      </c>
      <c r="W275" s="2" t="n">
        <v>0.99</v>
      </c>
      <c r="X275" s="12" t="s">
        <v>46</v>
      </c>
    </row>
    <row r="276" customFormat="false" ht="16.4" hidden="false" customHeight="false" outlineLevel="0" collapsed="false">
      <c r="A276" s="2" t="n">
        <v>275</v>
      </c>
      <c r="B276" s="2" t="n">
        <v>18</v>
      </c>
      <c r="C276" s="2" t="s">
        <v>395</v>
      </c>
      <c r="D276" s="8" t="n">
        <v>11694</v>
      </c>
      <c r="E276" s="9" t="n">
        <v>19.38</v>
      </c>
      <c r="F276" s="9" t="n">
        <v>15.68</v>
      </c>
      <c r="G276" s="9" t="n">
        <v>23.62</v>
      </c>
      <c r="H276" s="9" t="n">
        <v>6.5</v>
      </c>
      <c r="I276" s="9" t="n">
        <f aca="false">E276-H276</f>
        <v>12.88</v>
      </c>
      <c r="J276" s="8" t="n">
        <f aca="false">ROUND(D276*E276/100,0)</f>
        <v>2266</v>
      </c>
      <c r="K276" s="9" t="n">
        <v>34.66</v>
      </c>
      <c r="L276" s="9" t="n">
        <v>32.64</v>
      </c>
      <c r="M276" s="9" t="n">
        <v>95.86</v>
      </c>
      <c r="N276" s="9" t="n">
        <v>77.14</v>
      </c>
      <c r="O276" s="9" t="n">
        <v>33.84</v>
      </c>
      <c r="P276" s="2" t="n">
        <f aca="false">RANK(E276,$E$2:$E$350,0)</f>
        <v>125</v>
      </c>
      <c r="Q276" s="2" t="str">
        <f aca="false">IF(E276&gt;=30,"بسیار بالا",IF(E276&gt;=20,"بالا",IF(E276&gt;=13,"متوسط",IF(E276&gt;=8,"پایین","بسیار پایین"))))</f>
        <v>متوسط</v>
      </c>
      <c r="R276" s="10" t="n">
        <v>306.5</v>
      </c>
      <c r="S276" s="11" t="n">
        <v>0.9</v>
      </c>
      <c r="T276" s="8" t="n">
        <v>90</v>
      </c>
      <c r="U276" s="2" t="s">
        <v>45</v>
      </c>
      <c r="V276" s="2" t="s">
        <v>396</v>
      </c>
      <c r="W276" s="2" t="n">
        <v>0.99</v>
      </c>
      <c r="X276" s="12" t="s">
        <v>46</v>
      </c>
    </row>
    <row r="277" customFormat="false" ht="16.4" hidden="false" customHeight="false" outlineLevel="0" collapsed="false">
      <c r="A277" s="2" t="n">
        <v>276</v>
      </c>
      <c r="B277" s="2" t="n">
        <v>18</v>
      </c>
      <c r="C277" s="2" t="s">
        <v>397</v>
      </c>
      <c r="D277" s="8" t="n">
        <v>20071</v>
      </c>
      <c r="E277" s="9" t="n">
        <v>7.83</v>
      </c>
      <c r="F277" s="9" t="n">
        <v>7.58</v>
      </c>
      <c r="G277" s="9" t="n">
        <v>8.06</v>
      </c>
      <c r="H277" s="9" t="n">
        <v>6.5</v>
      </c>
      <c r="I277" s="9" t="n">
        <f aca="false">E277-H277</f>
        <v>1.33</v>
      </c>
      <c r="J277" s="8" t="n">
        <f aca="false">ROUND(D277*E277/100,0)</f>
        <v>1572</v>
      </c>
      <c r="K277" s="9" t="n">
        <v>15.81</v>
      </c>
      <c r="L277" s="9" t="n">
        <v>17.1</v>
      </c>
      <c r="M277" s="9" t="n">
        <v>91.48</v>
      </c>
      <c r="N277" s="9" t="n">
        <v>43.34</v>
      </c>
      <c r="O277" s="9" t="n">
        <v>16.63</v>
      </c>
      <c r="P277" s="2" t="n">
        <f aca="false">RANK(E277,$E$2:$E$350,0)</f>
        <v>279</v>
      </c>
      <c r="Q277" s="2" t="str">
        <f aca="false">IF(E277&gt;=30,"بسیار بالا",IF(E277&gt;=20,"بالا",IF(E277&gt;=13,"متوسط",IF(E277&gt;=8,"پایین","بسیار پایین"))))</f>
        <v>بسیار پایین</v>
      </c>
      <c r="R277" s="10" t="n">
        <v>147.1</v>
      </c>
      <c r="S277" s="11" t="n">
        <v>0.171</v>
      </c>
      <c r="T277" s="8" t="n">
        <v>86</v>
      </c>
      <c r="U277" s="2" t="s">
        <v>45</v>
      </c>
      <c r="V277" s="2" t="s">
        <v>397</v>
      </c>
      <c r="W277" s="2" t="n">
        <v>0.99</v>
      </c>
      <c r="X277" s="12" t="s">
        <v>46</v>
      </c>
    </row>
    <row r="278" customFormat="false" ht="16.4" hidden="false" customHeight="false" outlineLevel="0" collapsed="false">
      <c r="A278" s="2" t="n">
        <v>277</v>
      </c>
      <c r="B278" s="2" t="n">
        <v>18</v>
      </c>
      <c r="C278" s="2" t="s">
        <v>398</v>
      </c>
      <c r="D278" s="8" t="n">
        <v>26965</v>
      </c>
      <c r="E278" s="9" t="n">
        <v>7.79</v>
      </c>
      <c r="F278" s="9" t="n">
        <v>7.55</v>
      </c>
      <c r="G278" s="9" t="n">
        <v>8.01</v>
      </c>
      <c r="H278" s="9" t="n">
        <v>6.5</v>
      </c>
      <c r="I278" s="9" t="n">
        <f aca="false">E278-H278</f>
        <v>1.29</v>
      </c>
      <c r="J278" s="8" t="n">
        <f aca="false">ROUND(D278*E278/100,0)</f>
        <v>2101</v>
      </c>
      <c r="K278" s="9" t="n">
        <v>15.74</v>
      </c>
      <c r="L278" s="9" t="n">
        <v>17.03</v>
      </c>
      <c r="M278" s="9" t="n">
        <v>91.45</v>
      </c>
      <c r="N278" s="9" t="n">
        <v>43.15</v>
      </c>
      <c r="O278" s="9" t="n">
        <v>16.56</v>
      </c>
      <c r="P278" s="2" t="n">
        <f aca="false">RANK(E278,$E$2:$E$350,0)</f>
        <v>280</v>
      </c>
      <c r="Q278" s="2" t="str">
        <f aca="false">IF(E278&gt;=30,"بسیار بالا",IF(E278&gt;=20,"بالا",IF(E278&gt;=13,"متوسط",IF(E278&gt;=8,"پایین","بسیار پایین"))))</f>
        <v>بسیار پایین</v>
      </c>
      <c r="R278" s="10" t="n">
        <v>139.2</v>
      </c>
      <c r="S278" s="11" t="n">
        <v>0.167</v>
      </c>
      <c r="T278" s="8" t="n">
        <v>84</v>
      </c>
      <c r="U278" s="2" t="s">
        <v>45</v>
      </c>
      <c r="V278" s="2" t="s">
        <v>398</v>
      </c>
      <c r="W278" s="2" t="n">
        <v>0.99</v>
      </c>
      <c r="X278" s="12" t="s">
        <v>46</v>
      </c>
    </row>
    <row r="279" customFormat="false" ht="16.4" hidden="false" customHeight="false" outlineLevel="0" collapsed="false">
      <c r="A279" s="2" t="n">
        <v>278</v>
      </c>
      <c r="B279" s="2" t="n">
        <v>18</v>
      </c>
      <c r="C279" s="2" t="s">
        <v>399</v>
      </c>
      <c r="D279" s="8" t="n">
        <v>34720</v>
      </c>
      <c r="E279" s="9" t="n">
        <v>6.9</v>
      </c>
      <c r="F279" s="9" t="n">
        <v>6.86</v>
      </c>
      <c r="G279" s="9" t="n">
        <v>6.91</v>
      </c>
      <c r="H279" s="9" t="n">
        <v>6.5</v>
      </c>
      <c r="I279" s="9" t="n">
        <f aca="false">E279-H279</f>
        <v>0.4</v>
      </c>
      <c r="J279" s="8" t="n">
        <f aca="false">ROUND(D279*E279/100,0)</f>
        <v>2396</v>
      </c>
      <c r="K279" s="9" t="n">
        <v>14.07</v>
      </c>
      <c r="L279" s="9" t="n">
        <v>15.56</v>
      </c>
      <c r="M279" s="9" t="n">
        <v>90.66</v>
      </c>
      <c r="N279" s="9" t="n">
        <v>38.61</v>
      </c>
      <c r="O279" s="9" t="n">
        <v>14.98</v>
      </c>
      <c r="P279" s="2" t="n">
        <f aca="false">RANK(E279,$E$2:$E$350,0)</f>
        <v>291</v>
      </c>
      <c r="Q279" s="2" t="str">
        <f aca="false">IF(E279&gt;=30,"بسیار بالا",IF(E279&gt;=20,"بالا",IF(E279&gt;=13,"متوسط",IF(E279&gt;=8,"پایین","بسیار پایین"))))</f>
        <v>بسیار پایین</v>
      </c>
      <c r="R279" s="10" t="n">
        <v>135.2</v>
      </c>
      <c r="S279" s="11" t="n">
        <v>0.075</v>
      </c>
      <c r="T279" s="8" t="n">
        <v>91</v>
      </c>
      <c r="U279" s="2" t="s">
        <v>54</v>
      </c>
      <c r="V279" s="2" t="s">
        <v>400</v>
      </c>
      <c r="W279" s="2" t="n">
        <v>1</v>
      </c>
      <c r="X279" s="12" t="s">
        <v>46</v>
      </c>
    </row>
    <row r="280" customFormat="false" ht="16.4" hidden="false" customHeight="false" outlineLevel="0" collapsed="false">
      <c r="A280" s="2" t="n">
        <v>279</v>
      </c>
      <c r="B280" s="2" t="n">
        <v>18</v>
      </c>
      <c r="C280" s="2" t="s">
        <v>401</v>
      </c>
      <c r="D280" s="8" t="n">
        <v>31007</v>
      </c>
      <c r="E280" s="9" t="n">
        <v>6.9</v>
      </c>
      <c r="F280" s="9" t="n">
        <v>6.86</v>
      </c>
      <c r="G280" s="9" t="n">
        <v>6.91</v>
      </c>
      <c r="H280" s="9" t="n">
        <v>6.5</v>
      </c>
      <c r="I280" s="9" t="n">
        <f aca="false">E280-H280</f>
        <v>0.4</v>
      </c>
      <c r="J280" s="8" t="n">
        <f aca="false">ROUND(D280*E280/100,0)</f>
        <v>2139</v>
      </c>
      <c r="K280" s="9" t="n">
        <v>14.07</v>
      </c>
      <c r="L280" s="9" t="n">
        <v>15.56</v>
      </c>
      <c r="M280" s="9" t="n">
        <v>90.66</v>
      </c>
      <c r="N280" s="9" t="n">
        <v>38.61</v>
      </c>
      <c r="O280" s="9" t="n">
        <v>14.98</v>
      </c>
      <c r="P280" s="2" t="n">
        <f aca="false">RANK(E280,$E$2:$E$350,0)</f>
        <v>291</v>
      </c>
      <c r="Q280" s="2" t="str">
        <f aca="false">IF(E280&gt;=30,"بسیار بالا",IF(E280&gt;=20,"بالا",IF(E280&gt;=13,"متوسط",IF(E280&gt;=8,"پایین","بسیار پایین"))))</f>
        <v>بسیار پایین</v>
      </c>
      <c r="R280" s="10" t="n">
        <v>135.2</v>
      </c>
      <c r="S280" s="11" t="n">
        <v>0.075</v>
      </c>
      <c r="T280" s="8" t="n">
        <v>91</v>
      </c>
      <c r="U280" s="2" t="s">
        <v>54</v>
      </c>
      <c r="V280" s="2" t="s">
        <v>400</v>
      </c>
      <c r="W280" s="2" t="n">
        <v>1</v>
      </c>
      <c r="X280" s="12" t="s">
        <v>46</v>
      </c>
    </row>
    <row r="281" customFormat="false" ht="16.4" hidden="false" customHeight="false" outlineLevel="0" collapsed="false">
      <c r="A281" s="2" t="n">
        <v>280</v>
      </c>
      <c r="B281" s="2" t="n">
        <v>18</v>
      </c>
      <c r="C281" s="2" t="s">
        <v>167</v>
      </c>
      <c r="D281" s="8" t="n">
        <v>34739</v>
      </c>
      <c r="E281" s="9" t="n">
        <v>6.71</v>
      </c>
      <c r="F281" s="9" t="n">
        <v>6.68</v>
      </c>
      <c r="G281" s="9" t="n">
        <v>6.72</v>
      </c>
      <c r="H281" s="9" t="n">
        <v>6.5</v>
      </c>
      <c r="I281" s="9" t="n">
        <f aca="false">E281-H281</f>
        <v>0.21</v>
      </c>
      <c r="J281" s="8" t="n">
        <f aca="false">ROUND(D281*E281/100,0)</f>
        <v>2331</v>
      </c>
      <c r="K281" s="9" t="n">
        <v>13.72</v>
      </c>
      <c r="L281" s="9" t="n">
        <v>15.24</v>
      </c>
      <c r="M281" s="9" t="n">
        <v>90.47</v>
      </c>
      <c r="N281" s="9" t="n">
        <v>37.62</v>
      </c>
      <c r="O281" s="9" t="n">
        <v>14.64</v>
      </c>
      <c r="P281" s="2" t="n">
        <f aca="false">RANK(E281,$E$2:$E$350,0)</f>
        <v>293</v>
      </c>
      <c r="Q281" s="2" t="str">
        <f aca="false">IF(E281&gt;=30,"بسیار بالا",IF(E281&gt;=20,"بالا",IF(E281&gt;=13,"متوسط",IF(E281&gt;=8,"پایین","بسیار پایین"))))</f>
        <v>بسیار پایین</v>
      </c>
      <c r="R281" s="10" t="n">
        <v>131</v>
      </c>
      <c r="S281" s="11" t="n">
        <v>0.054</v>
      </c>
      <c r="T281" s="8" t="n">
        <v>85</v>
      </c>
      <c r="U281" s="2" t="s">
        <v>54</v>
      </c>
      <c r="V281" s="2" t="s">
        <v>402</v>
      </c>
      <c r="W281" s="2" t="n">
        <v>0.99</v>
      </c>
      <c r="X281" s="12" t="s">
        <v>46</v>
      </c>
    </row>
    <row r="282" customFormat="false" ht="16.4" hidden="false" customHeight="false" outlineLevel="0" collapsed="false">
      <c r="A282" s="2" t="n">
        <v>281</v>
      </c>
      <c r="B282" s="2" t="n">
        <v>18</v>
      </c>
      <c r="C282" s="2" t="s">
        <v>403</v>
      </c>
      <c r="D282" s="8" t="n">
        <v>35697</v>
      </c>
      <c r="E282" s="9" t="n">
        <v>6.46</v>
      </c>
      <c r="F282" s="9" t="n">
        <v>6.37</v>
      </c>
      <c r="G282" s="9" t="n">
        <v>6.51</v>
      </c>
      <c r="H282" s="9" t="n">
        <v>6.5</v>
      </c>
      <c r="I282" s="9" t="n">
        <f aca="false">E282-H282</f>
        <v>-0.04</v>
      </c>
      <c r="J282" s="8" t="n">
        <f aca="false">ROUND(D282*E282/100,0)</f>
        <v>2306</v>
      </c>
      <c r="K282" s="9" t="n">
        <v>13.23</v>
      </c>
      <c r="L282" s="9" t="n">
        <v>14.8</v>
      </c>
      <c r="M282" s="9" t="n">
        <v>90.2</v>
      </c>
      <c r="N282" s="9" t="n">
        <v>36.24</v>
      </c>
      <c r="O282" s="9" t="n">
        <v>14.17</v>
      </c>
      <c r="P282" s="2" t="n">
        <f aca="false">RANK(E282,$E$2:$E$350,0)</f>
        <v>296</v>
      </c>
      <c r="Q282" s="2" t="str">
        <f aca="false">IF(E282&gt;=30,"بسیار بالا",IF(E282&gt;=20,"بالا",IF(E282&gt;=13,"متوسط",IF(E282&gt;=8,"پایین","بسیار پایین"))))</f>
        <v>بسیار پایین</v>
      </c>
      <c r="R282" s="10" t="n">
        <v>127.5</v>
      </c>
      <c r="S282" s="11" t="n">
        <v>0.025</v>
      </c>
      <c r="T282" s="8" t="n">
        <v>75</v>
      </c>
      <c r="U282" s="2" t="s">
        <v>45</v>
      </c>
      <c r="V282" s="2" t="s">
        <v>403</v>
      </c>
      <c r="W282" s="2" t="n">
        <v>0.99</v>
      </c>
      <c r="X282" s="12" t="s">
        <v>46</v>
      </c>
    </row>
    <row r="283" customFormat="false" ht="16.4" hidden="false" customHeight="false" outlineLevel="0" collapsed="false">
      <c r="A283" s="2" t="n">
        <v>282</v>
      </c>
      <c r="B283" s="2" t="n">
        <v>18</v>
      </c>
      <c r="C283" s="2" t="s">
        <v>404</v>
      </c>
      <c r="D283" s="8" t="n">
        <v>8997</v>
      </c>
      <c r="E283" s="9" t="n">
        <v>6.24</v>
      </c>
      <c r="F283" s="9" t="n">
        <v>6.12</v>
      </c>
      <c r="G283" s="9" t="n">
        <v>6.34</v>
      </c>
      <c r="H283" s="9" t="n">
        <v>6.5</v>
      </c>
      <c r="I283" s="9" t="n">
        <f aca="false">E283-H283</f>
        <v>-0.26</v>
      </c>
      <c r="J283" s="8" t="n">
        <f aca="false">ROUND(D283*E283/100,0)</f>
        <v>561</v>
      </c>
      <c r="K283" s="9" t="n">
        <v>12.82</v>
      </c>
      <c r="L283" s="9" t="n">
        <v>14.43</v>
      </c>
      <c r="M283" s="9" t="n">
        <v>89.96</v>
      </c>
      <c r="N283" s="9" t="n">
        <v>35.05</v>
      </c>
      <c r="O283" s="9" t="n">
        <v>13.78</v>
      </c>
      <c r="P283" s="2" t="n">
        <f aca="false">RANK(E283,$E$2:$E$350,0)</f>
        <v>301</v>
      </c>
      <c r="Q283" s="2" t="str">
        <f aca="false">IF(E283&gt;=30,"بسیار بالا",IF(E283&gt;=20,"بالا",IF(E283&gt;=13,"متوسط",IF(E283&gt;=8,"پایین","بسیار پایین"))))</f>
        <v>بسیار پایین</v>
      </c>
      <c r="R283" s="10"/>
      <c r="S283" s="11" t="n">
        <v>0</v>
      </c>
      <c r="T283" s="8" t="n">
        <v>0</v>
      </c>
      <c r="U283" s="2" t="s">
        <v>64</v>
      </c>
      <c r="V283" s="12" t="s">
        <v>65</v>
      </c>
      <c r="W283" s="2" t="n">
        <v>0</v>
      </c>
      <c r="X283" s="12" t="s">
        <v>66</v>
      </c>
    </row>
    <row r="284" customFormat="false" ht="16.4" hidden="false" customHeight="false" outlineLevel="0" collapsed="false">
      <c r="A284" s="2" t="n">
        <v>283</v>
      </c>
      <c r="B284" s="2" t="n">
        <v>18</v>
      </c>
      <c r="C284" s="2" t="s">
        <v>405</v>
      </c>
      <c r="D284" s="8" t="n">
        <v>8217</v>
      </c>
      <c r="E284" s="9" t="n">
        <v>6.24</v>
      </c>
      <c r="F284" s="9" t="n">
        <v>6.12</v>
      </c>
      <c r="G284" s="9" t="n">
        <v>6.34</v>
      </c>
      <c r="H284" s="9" t="n">
        <v>6.5</v>
      </c>
      <c r="I284" s="9" t="n">
        <f aca="false">E284-H284</f>
        <v>-0.26</v>
      </c>
      <c r="J284" s="8" t="n">
        <f aca="false">ROUND(D284*E284/100,0)</f>
        <v>513</v>
      </c>
      <c r="K284" s="9" t="n">
        <v>12.82</v>
      </c>
      <c r="L284" s="9" t="n">
        <v>14.43</v>
      </c>
      <c r="M284" s="9" t="n">
        <v>89.96</v>
      </c>
      <c r="N284" s="9" t="n">
        <v>35.05</v>
      </c>
      <c r="O284" s="9" t="n">
        <v>13.78</v>
      </c>
      <c r="P284" s="2" t="n">
        <f aca="false">RANK(E284,$E$2:$E$350,0)</f>
        <v>301</v>
      </c>
      <c r="Q284" s="2" t="str">
        <f aca="false">IF(E284&gt;=30,"بسیار بالا",IF(E284&gt;=20,"بالا",IF(E284&gt;=13,"متوسط",IF(E284&gt;=8,"پایین","بسیار پایین"))))</f>
        <v>بسیار پایین</v>
      </c>
      <c r="R284" s="10"/>
      <c r="S284" s="11" t="n">
        <v>0</v>
      </c>
      <c r="T284" s="8" t="n">
        <v>0</v>
      </c>
      <c r="U284" s="2" t="s">
        <v>45</v>
      </c>
      <c r="V284" s="12" t="s">
        <v>65</v>
      </c>
      <c r="W284" s="2" t="n">
        <v>0</v>
      </c>
      <c r="X284" s="12" t="s">
        <v>66</v>
      </c>
    </row>
    <row r="285" customFormat="false" ht="16.4" hidden="false" customHeight="false" outlineLevel="0" collapsed="false">
      <c r="A285" s="2" t="n">
        <v>284</v>
      </c>
      <c r="B285" s="2" t="n">
        <v>18</v>
      </c>
      <c r="C285" s="2" t="s">
        <v>108</v>
      </c>
      <c r="D285" s="8" t="n">
        <v>6547</v>
      </c>
      <c r="E285" s="9" t="n">
        <v>6.24</v>
      </c>
      <c r="F285" s="9" t="n">
        <v>6.12</v>
      </c>
      <c r="G285" s="9" t="n">
        <v>6.34</v>
      </c>
      <c r="H285" s="9" t="n">
        <v>6.5</v>
      </c>
      <c r="I285" s="9" t="n">
        <f aca="false">E285-H285</f>
        <v>-0.26</v>
      </c>
      <c r="J285" s="8" t="n">
        <f aca="false">ROUND(D285*E285/100,0)</f>
        <v>409</v>
      </c>
      <c r="K285" s="9" t="n">
        <v>12.82</v>
      </c>
      <c r="L285" s="9" t="n">
        <v>14.43</v>
      </c>
      <c r="M285" s="9" t="n">
        <v>89.96</v>
      </c>
      <c r="N285" s="9" t="n">
        <v>35.05</v>
      </c>
      <c r="O285" s="9" t="n">
        <v>13.78</v>
      </c>
      <c r="P285" s="2" t="n">
        <f aca="false">RANK(E285,$E$2:$E$350,0)</f>
        <v>301</v>
      </c>
      <c r="Q285" s="2" t="str">
        <f aca="false">IF(E285&gt;=30,"بسیار بالا",IF(E285&gt;=20,"بالا",IF(E285&gt;=13,"متوسط",IF(E285&gt;=8,"پایین","بسیار پایین"))))</f>
        <v>بسیار پایین</v>
      </c>
      <c r="R285" s="10"/>
      <c r="S285" s="11" t="n">
        <v>0</v>
      </c>
      <c r="T285" s="8" t="n">
        <v>0</v>
      </c>
      <c r="U285" s="2" t="s">
        <v>64</v>
      </c>
      <c r="V285" s="12" t="s">
        <v>65</v>
      </c>
      <c r="W285" s="2" t="n">
        <v>0</v>
      </c>
      <c r="X285" s="12" t="s">
        <v>66</v>
      </c>
    </row>
    <row r="286" customFormat="false" ht="16.4" hidden="false" customHeight="false" outlineLevel="0" collapsed="false">
      <c r="A286" s="2" t="n">
        <v>285</v>
      </c>
      <c r="B286" s="2" t="n">
        <v>18</v>
      </c>
      <c r="C286" s="2" t="s">
        <v>406</v>
      </c>
      <c r="D286" s="8" t="n">
        <v>10188</v>
      </c>
      <c r="E286" s="9" t="n">
        <v>6.1</v>
      </c>
      <c r="F286" s="9" t="n">
        <v>5.95</v>
      </c>
      <c r="G286" s="9" t="n">
        <v>6.23</v>
      </c>
      <c r="H286" s="9" t="n">
        <v>6.5</v>
      </c>
      <c r="I286" s="9" t="n">
        <f aca="false">E286-H286</f>
        <v>-0.4</v>
      </c>
      <c r="J286" s="8" t="n">
        <f aca="false">ROUND(D286*E286/100,0)</f>
        <v>621</v>
      </c>
      <c r="K286" s="9" t="n">
        <v>12.55</v>
      </c>
      <c r="L286" s="9" t="n">
        <v>14.18</v>
      </c>
      <c r="M286" s="9" t="n">
        <v>89.8</v>
      </c>
      <c r="N286" s="9" t="n">
        <v>34.25</v>
      </c>
      <c r="O286" s="9" t="n">
        <v>13.52</v>
      </c>
      <c r="P286" s="2" t="n">
        <f aca="false">RANK(E286,$E$2:$E$350,0)</f>
        <v>305</v>
      </c>
      <c r="Q286" s="2" t="str">
        <f aca="false">IF(E286&gt;=30,"بسیار بالا",IF(E286&gt;=20,"بالا",IF(E286&gt;=13,"متوسط",IF(E286&gt;=8,"پایین","بسیار پایین"))))</f>
        <v>بسیار پایین</v>
      </c>
      <c r="R286" s="10" t="n">
        <v>121</v>
      </c>
      <c r="S286" s="11" t="n">
        <v>-0.017</v>
      </c>
      <c r="T286" s="8" t="n">
        <v>80</v>
      </c>
      <c r="U286" s="2" t="s">
        <v>45</v>
      </c>
      <c r="V286" s="2" t="s">
        <v>407</v>
      </c>
      <c r="W286" s="2" t="n">
        <v>0.99</v>
      </c>
      <c r="X286" s="12" t="s">
        <v>46</v>
      </c>
    </row>
    <row r="287" customFormat="false" ht="16.4" hidden="false" customHeight="false" outlineLevel="0" collapsed="false">
      <c r="A287" s="2" t="n">
        <v>286</v>
      </c>
      <c r="B287" s="2" t="n">
        <v>18</v>
      </c>
      <c r="C287" s="2" t="s">
        <v>408</v>
      </c>
      <c r="D287" s="8" t="n">
        <v>36772</v>
      </c>
      <c r="E287" s="9" t="n">
        <v>5.89</v>
      </c>
      <c r="F287" s="9" t="n">
        <v>5.7</v>
      </c>
      <c r="G287" s="9" t="n">
        <v>6.06</v>
      </c>
      <c r="H287" s="9" t="n">
        <v>6.5</v>
      </c>
      <c r="I287" s="9" t="n">
        <f aca="false">E287-H287</f>
        <v>-0.61</v>
      </c>
      <c r="J287" s="8" t="n">
        <f aca="false">ROUND(D287*E287/100,0)</f>
        <v>2166</v>
      </c>
      <c r="K287" s="9" t="n">
        <v>12.15</v>
      </c>
      <c r="L287" s="9" t="n">
        <v>13.82</v>
      </c>
      <c r="M287" s="9" t="n">
        <v>89.54</v>
      </c>
      <c r="N287" s="9" t="n">
        <v>33.07</v>
      </c>
      <c r="O287" s="9" t="n">
        <v>13.13</v>
      </c>
      <c r="P287" s="2" t="n">
        <f aca="false">RANK(E287,$E$2:$E$350,0)</f>
        <v>313</v>
      </c>
      <c r="Q287" s="2" t="str">
        <f aca="false">IF(E287&gt;=30,"بسیار بالا",IF(E287&gt;=20,"بالا",IF(E287&gt;=13,"متوسط",IF(E287&gt;=8,"پایین","بسیار پایین"))))</f>
        <v>بسیار پایین</v>
      </c>
      <c r="R287" s="10" t="n">
        <v>113.9</v>
      </c>
      <c r="S287" s="11" t="n">
        <v>-0.043</v>
      </c>
      <c r="T287" s="8" t="n">
        <v>89</v>
      </c>
      <c r="U287" s="2" t="s">
        <v>106</v>
      </c>
      <c r="V287" s="2" t="s">
        <v>409</v>
      </c>
      <c r="W287" s="2" t="n">
        <v>0.99</v>
      </c>
      <c r="X287" s="12" t="s">
        <v>50</v>
      </c>
    </row>
    <row r="288" customFormat="false" ht="16.4" hidden="false" customHeight="false" outlineLevel="0" collapsed="false">
      <c r="A288" s="2" t="n">
        <v>287</v>
      </c>
      <c r="B288" s="2" t="n">
        <v>18</v>
      </c>
      <c r="C288" s="2" t="s">
        <v>410</v>
      </c>
      <c r="D288" s="8" t="n">
        <v>30523</v>
      </c>
      <c r="E288" s="9" t="n">
        <v>5.89</v>
      </c>
      <c r="F288" s="9" t="n">
        <v>5.7</v>
      </c>
      <c r="G288" s="9" t="n">
        <v>6.06</v>
      </c>
      <c r="H288" s="9" t="n">
        <v>6.5</v>
      </c>
      <c r="I288" s="9" t="n">
        <f aca="false">E288-H288</f>
        <v>-0.61</v>
      </c>
      <c r="J288" s="8" t="n">
        <f aca="false">ROUND(D288*E288/100,0)</f>
        <v>1798</v>
      </c>
      <c r="K288" s="9" t="n">
        <v>12.15</v>
      </c>
      <c r="L288" s="9" t="n">
        <v>13.82</v>
      </c>
      <c r="M288" s="9" t="n">
        <v>89.54</v>
      </c>
      <c r="N288" s="9" t="n">
        <v>33.07</v>
      </c>
      <c r="O288" s="9" t="n">
        <v>13.13</v>
      </c>
      <c r="P288" s="2" t="n">
        <f aca="false">RANK(E288,$E$2:$E$350,0)</f>
        <v>313</v>
      </c>
      <c r="Q288" s="2" t="str">
        <f aca="false">IF(E288&gt;=30,"بسیار بالا",IF(E288&gt;=20,"بالا",IF(E288&gt;=13,"متوسط",IF(E288&gt;=8,"پایین","بسیار پایین"))))</f>
        <v>بسیار پایین</v>
      </c>
      <c r="R288" s="10" t="n">
        <v>113.9</v>
      </c>
      <c r="S288" s="11" t="n">
        <v>-0.043</v>
      </c>
      <c r="T288" s="8" t="n">
        <v>89</v>
      </c>
      <c r="U288" s="2" t="s">
        <v>45</v>
      </c>
      <c r="V288" s="2" t="s">
        <v>409</v>
      </c>
      <c r="W288" s="2" t="n">
        <v>0.99</v>
      </c>
      <c r="X288" s="12" t="s">
        <v>46</v>
      </c>
    </row>
    <row r="289" customFormat="false" ht="16.4" hidden="false" customHeight="false" outlineLevel="0" collapsed="false">
      <c r="A289" s="2" t="n">
        <v>288</v>
      </c>
      <c r="B289" s="2" t="n">
        <v>18</v>
      </c>
      <c r="C289" s="2" t="s">
        <v>411</v>
      </c>
      <c r="D289" s="8" t="n">
        <v>43277</v>
      </c>
      <c r="E289" s="9" t="n">
        <v>5.88</v>
      </c>
      <c r="F289" s="9" t="n">
        <v>5.69</v>
      </c>
      <c r="G289" s="9" t="n">
        <v>6.05</v>
      </c>
      <c r="H289" s="9" t="n">
        <v>6.5</v>
      </c>
      <c r="I289" s="9" t="n">
        <f aca="false">E289-H289</f>
        <v>-0.62</v>
      </c>
      <c r="J289" s="8" t="n">
        <f aca="false">ROUND(D289*E289/100,0)</f>
        <v>2545</v>
      </c>
      <c r="K289" s="9" t="n">
        <v>12.13</v>
      </c>
      <c r="L289" s="9" t="n">
        <v>13.8</v>
      </c>
      <c r="M289" s="9" t="n">
        <v>89.53</v>
      </c>
      <c r="N289" s="9" t="n">
        <v>33.02</v>
      </c>
      <c r="O289" s="9" t="n">
        <v>13.11</v>
      </c>
      <c r="P289" s="2" t="n">
        <f aca="false">RANK(E289,$E$2:$E$350,0)</f>
        <v>315</v>
      </c>
      <c r="Q289" s="2" t="str">
        <f aca="false">IF(E289&gt;=30,"بسیار بالا",IF(E289&gt;=20,"بالا",IF(E289&gt;=13,"متوسط",IF(E289&gt;=8,"پایین","بسیار پایین"))))</f>
        <v>بسیار پایین</v>
      </c>
      <c r="R289" s="10" t="n">
        <v>114.6</v>
      </c>
      <c r="S289" s="11" t="n">
        <v>-0.045</v>
      </c>
      <c r="T289" s="8" t="n">
        <v>79</v>
      </c>
      <c r="U289" s="2" t="s">
        <v>45</v>
      </c>
      <c r="V289" s="2" t="s">
        <v>411</v>
      </c>
      <c r="W289" s="2" t="n">
        <v>0.99</v>
      </c>
      <c r="X289" s="12" t="s">
        <v>46</v>
      </c>
    </row>
    <row r="290" customFormat="false" ht="16.4" hidden="false" customHeight="false" outlineLevel="0" collapsed="false">
      <c r="A290" s="2" t="n">
        <v>289</v>
      </c>
      <c r="B290" s="2" t="n">
        <v>18</v>
      </c>
      <c r="C290" s="2" t="s">
        <v>333</v>
      </c>
      <c r="D290" s="8" t="n">
        <v>25065</v>
      </c>
      <c r="E290" s="9" t="n">
        <v>5.39</v>
      </c>
      <c r="F290" s="9" t="n">
        <v>5.12</v>
      </c>
      <c r="G290" s="9" t="n">
        <v>5.65</v>
      </c>
      <c r="H290" s="9" t="n">
        <v>6.5</v>
      </c>
      <c r="I290" s="9" t="n">
        <f aca="false">E290-H290</f>
        <v>-1.11</v>
      </c>
      <c r="J290" s="8" t="n">
        <f aca="false">ROUND(D290*E290/100,0)</f>
        <v>1351</v>
      </c>
      <c r="K290" s="9" t="n">
        <v>11.19</v>
      </c>
      <c r="L290" s="9" t="n">
        <v>12.93</v>
      </c>
      <c r="M290" s="9" t="n">
        <v>88.88</v>
      </c>
      <c r="N290" s="9" t="n">
        <v>30.19</v>
      </c>
      <c r="O290" s="9" t="n">
        <v>12.19</v>
      </c>
      <c r="P290" s="2" t="n">
        <f aca="false">RANK(E290,$E$2:$E$350,0)</f>
        <v>327</v>
      </c>
      <c r="Q290" s="2" t="str">
        <f aca="false">IF(E290&gt;=30,"بسیار بالا",IF(E290&gt;=20,"بالا",IF(E290&gt;=13,"متوسط",IF(E290&gt;=8,"پایین","بسیار پایین"))))</f>
        <v>بسیار پایین</v>
      </c>
      <c r="R290" s="10" t="n">
        <v>110.5</v>
      </c>
      <c r="S290" s="11" t="n">
        <v>-0.109</v>
      </c>
      <c r="T290" s="8" t="n">
        <v>73</v>
      </c>
      <c r="U290" s="2" t="s">
        <v>54</v>
      </c>
      <c r="V290" s="2" t="s">
        <v>333</v>
      </c>
      <c r="W290" s="2" t="n">
        <v>0.99</v>
      </c>
      <c r="X290" s="12" t="s">
        <v>46</v>
      </c>
    </row>
    <row r="291" customFormat="false" ht="16.4" hidden="false" customHeight="false" outlineLevel="0" collapsed="false">
      <c r="A291" s="2" t="n">
        <v>290</v>
      </c>
      <c r="B291" s="2" t="n">
        <v>18</v>
      </c>
      <c r="C291" s="2" t="s">
        <v>412</v>
      </c>
      <c r="D291" s="8" t="n">
        <v>22091</v>
      </c>
      <c r="E291" s="9" t="n">
        <v>4.37</v>
      </c>
      <c r="F291" s="9" t="n">
        <v>3.96</v>
      </c>
      <c r="G291" s="9" t="n">
        <v>4.79</v>
      </c>
      <c r="H291" s="9" t="n">
        <v>6.5</v>
      </c>
      <c r="I291" s="9" t="n">
        <f aca="false">E291-H291</f>
        <v>-2.13</v>
      </c>
      <c r="J291" s="8" t="n">
        <f aca="false">ROUND(D291*E291/100,0)</f>
        <v>965</v>
      </c>
      <c r="K291" s="9" t="n">
        <v>9.17</v>
      </c>
      <c r="L291" s="9" t="n">
        <v>11.02</v>
      </c>
      <c r="M291" s="9" t="n">
        <v>87.15</v>
      </c>
      <c r="N291" s="9" t="n">
        <v>23.97</v>
      </c>
      <c r="O291" s="9" t="n">
        <v>10.21</v>
      </c>
      <c r="P291" s="2" t="n">
        <f aca="false">RANK(E291,$E$2:$E$350,0)</f>
        <v>340</v>
      </c>
      <c r="Q291" s="2" t="str">
        <f aca="false">IF(E291&gt;=30,"بسیار بالا",IF(E291&gt;=20,"بالا",IF(E291&gt;=13,"متوسط",IF(E291&gt;=8,"پایین","بسیار پایین"))))</f>
        <v>بسیار پایین</v>
      </c>
      <c r="R291" s="10" t="n">
        <v>94.5</v>
      </c>
      <c r="S291" s="11" t="n">
        <v>-0.264</v>
      </c>
      <c r="T291" s="8" t="n">
        <v>78</v>
      </c>
      <c r="U291" s="2" t="s">
        <v>45</v>
      </c>
      <c r="V291" s="2" t="s">
        <v>412</v>
      </c>
      <c r="W291" s="2" t="n">
        <v>0.99</v>
      </c>
      <c r="X291" s="12" t="s">
        <v>46</v>
      </c>
    </row>
    <row r="292" customFormat="false" ht="16.4" hidden="false" customHeight="false" outlineLevel="0" collapsed="false">
      <c r="A292" s="2" t="n">
        <v>291</v>
      </c>
      <c r="B292" s="2" t="n">
        <v>18</v>
      </c>
      <c r="C292" s="2" t="s">
        <v>413</v>
      </c>
      <c r="D292" s="8" t="n">
        <v>2455</v>
      </c>
      <c r="E292" s="9" t="n">
        <v>4.18</v>
      </c>
      <c r="F292" s="9" t="n">
        <v>3.75</v>
      </c>
      <c r="G292" s="9" t="n">
        <v>4.63</v>
      </c>
      <c r="H292" s="9" t="n">
        <v>6.5</v>
      </c>
      <c r="I292" s="9" t="n">
        <f aca="false">E292-H292</f>
        <v>-2.32</v>
      </c>
      <c r="J292" s="8" t="n">
        <f aca="false">ROUND(D292*E292/100,0)</f>
        <v>103</v>
      </c>
      <c r="K292" s="9" t="n">
        <v>8.78</v>
      </c>
      <c r="L292" s="9" t="n">
        <v>10.64</v>
      </c>
      <c r="M292" s="9" t="n">
        <v>86.75</v>
      </c>
      <c r="N292" s="9" t="n">
        <v>22.76</v>
      </c>
      <c r="O292" s="9" t="n">
        <v>9.82</v>
      </c>
      <c r="P292" s="2" t="n">
        <f aca="false">RANK(E292,$E$2:$E$350,0)</f>
        <v>341</v>
      </c>
      <c r="Q292" s="2" t="str">
        <f aca="false">IF(E292&gt;=30,"بسیار بالا",IF(E292&gt;=20,"بالا",IF(E292&gt;=13,"متوسط",IF(E292&gt;=8,"پایین","بسیار پایین"))))</f>
        <v>بسیار پایین</v>
      </c>
      <c r="R292" s="10" t="n">
        <v>90.8</v>
      </c>
      <c r="S292" s="11" t="n">
        <v>-0.297</v>
      </c>
      <c r="T292" s="8" t="n">
        <v>13</v>
      </c>
      <c r="U292" s="2" t="s">
        <v>45</v>
      </c>
      <c r="V292" s="2" t="s">
        <v>414</v>
      </c>
      <c r="W292" s="2" t="n">
        <v>0.99</v>
      </c>
      <c r="X292" s="12" t="s">
        <v>50</v>
      </c>
    </row>
    <row r="293" customFormat="false" ht="16.4" hidden="false" customHeight="false" outlineLevel="0" collapsed="false">
      <c r="A293" s="2" t="n">
        <v>292</v>
      </c>
      <c r="B293" s="2" t="n">
        <v>18</v>
      </c>
      <c r="C293" s="2" t="s">
        <v>415</v>
      </c>
      <c r="D293" s="8" t="n">
        <v>30224</v>
      </c>
      <c r="E293" s="9" t="n">
        <v>3.66</v>
      </c>
      <c r="F293" s="9" t="n">
        <v>3.2</v>
      </c>
      <c r="G293" s="9" t="n">
        <v>4.17</v>
      </c>
      <c r="H293" s="9" t="n">
        <v>6.5</v>
      </c>
      <c r="I293" s="9" t="n">
        <f aca="false">E293-H293</f>
        <v>-2.84</v>
      </c>
      <c r="J293" s="8" t="n">
        <f aca="false">ROUND(D293*E293/100,0)</f>
        <v>1106</v>
      </c>
      <c r="K293" s="9" t="n">
        <v>7.75</v>
      </c>
      <c r="L293" s="9" t="n">
        <v>9.61</v>
      </c>
      <c r="M293" s="9" t="n">
        <v>85.55</v>
      </c>
      <c r="N293" s="9" t="n">
        <v>19.51</v>
      </c>
      <c r="O293" s="9" t="n">
        <v>8.77</v>
      </c>
      <c r="P293" s="2" t="n">
        <f aca="false">RANK(E293,$E$2:$E$350,0)</f>
        <v>346</v>
      </c>
      <c r="Q293" s="2" t="str">
        <f aca="false">IF(E293&gt;=30,"بسیار بالا",IF(E293&gt;=20,"بالا",IF(E293&gt;=13,"متوسط",IF(E293&gt;=8,"پایین","بسیار پایین"))))</f>
        <v>بسیار پایین</v>
      </c>
      <c r="R293" s="10" t="n">
        <v>83.5</v>
      </c>
      <c r="S293" s="11" t="n">
        <v>-0.393</v>
      </c>
      <c r="T293" s="8" t="n">
        <v>84</v>
      </c>
      <c r="U293" s="2" t="s">
        <v>45</v>
      </c>
      <c r="V293" s="2" t="s">
        <v>415</v>
      </c>
      <c r="W293" s="2" t="n">
        <v>0.99</v>
      </c>
      <c r="X293" s="12" t="s">
        <v>46</v>
      </c>
    </row>
    <row r="294" customFormat="false" ht="16.4" hidden="false" customHeight="false" outlineLevel="0" collapsed="false">
      <c r="A294" s="2" t="n">
        <v>293</v>
      </c>
      <c r="B294" s="2" t="n">
        <v>19</v>
      </c>
      <c r="C294" s="2" t="s">
        <v>416</v>
      </c>
      <c r="D294" s="8" t="n">
        <v>17865</v>
      </c>
      <c r="E294" s="9" t="n">
        <v>7.48</v>
      </c>
      <c r="F294" s="9" t="n">
        <v>7.1</v>
      </c>
      <c r="G294" s="9" t="n">
        <v>7.86</v>
      </c>
      <c r="H294" s="9" t="n">
        <v>5.7</v>
      </c>
      <c r="I294" s="9" t="n">
        <f aca="false">E294-H294</f>
        <v>1.78</v>
      </c>
      <c r="J294" s="8" t="n">
        <f aca="false">ROUND(D294*E294/100,0)</f>
        <v>1336</v>
      </c>
      <c r="K294" s="9" t="n">
        <v>15.73</v>
      </c>
      <c r="L294" s="9" t="n">
        <v>17.62</v>
      </c>
      <c r="M294" s="9" t="n">
        <v>89.07</v>
      </c>
      <c r="N294" s="9" t="n">
        <v>42.96</v>
      </c>
      <c r="O294" s="9" t="n">
        <v>17.23</v>
      </c>
      <c r="P294" s="2" t="n">
        <f aca="false">RANK(E294,$E$2:$E$350,0)</f>
        <v>281</v>
      </c>
      <c r="Q294" s="2" t="str">
        <f aca="false">IF(E294&gt;=30,"بسیار بالا",IF(E294&gt;=20,"بالا",IF(E294&gt;=13,"متوسط",IF(E294&gt;=8,"پایین","بسیار پایین"))))</f>
        <v>بسیار پایین</v>
      </c>
      <c r="R294" s="10" t="n">
        <v>173.6</v>
      </c>
      <c r="S294" s="11" t="n">
        <v>0.228</v>
      </c>
      <c r="T294" s="8" t="n">
        <v>59</v>
      </c>
      <c r="U294" s="2" t="s">
        <v>54</v>
      </c>
      <c r="V294" s="2" t="s">
        <v>417</v>
      </c>
      <c r="W294" s="2" t="n">
        <v>0.97</v>
      </c>
      <c r="X294" s="12" t="s">
        <v>46</v>
      </c>
    </row>
    <row r="295" customFormat="false" ht="16.4" hidden="false" customHeight="false" outlineLevel="0" collapsed="false">
      <c r="A295" s="2" t="n">
        <v>294</v>
      </c>
      <c r="B295" s="2" t="n">
        <v>19</v>
      </c>
      <c r="C295" s="2" t="s">
        <v>418</v>
      </c>
      <c r="D295" s="8" t="n">
        <v>13162</v>
      </c>
      <c r="E295" s="9" t="n">
        <v>6.96</v>
      </c>
      <c r="F295" s="9" t="n">
        <v>6.71</v>
      </c>
      <c r="G295" s="9" t="n">
        <v>7.2</v>
      </c>
      <c r="H295" s="9" t="n">
        <v>5.7</v>
      </c>
      <c r="I295" s="9" t="n">
        <f aca="false">E295-H295</f>
        <v>1.26</v>
      </c>
      <c r="J295" s="8" t="n">
        <f aca="false">ROUND(D295*E295/100,0)</f>
        <v>916</v>
      </c>
      <c r="K295" s="9" t="n">
        <v>14.73</v>
      </c>
      <c r="L295" s="9" t="n">
        <v>16.71</v>
      </c>
      <c r="M295" s="9" t="n">
        <v>88.5</v>
      </c>
      <c r="N295" s="9" t="n">
        <v>40.27</v>
      </c>
      <c r="O295" s="9" t="n">
        <v>16.25</v>
      </c>
      <c r="P295" s="2" t="n">
        <f aca="false">RANK(E295,$E$2:$E$350,0)</f>
        <v>287</v>
      </c>
      <c r="Q295" s="2" t="str">
        <f aca="false">IF(E295&gt;=30,"بسیار بالا",IF(E295&gt;=20,"بالا",IF(E295&gt;=13,"متوسط",IF(E295&gt;=8,"پایین","بسیار پایین"))))</f>
        <v>بسیار پایین</v>
      </c>
      <c r="R295" s="10" t="n">
        <v>168.4</v>
      </c>
      <c r="S295" s="11" t="n">
        <v>0.174</v>
      </c>
      <c r="T295" s="8" t="n">
        <v>25</v>
      </c>
      <c r="U295" s="2" t="s">
        <v>45</v>
      </c>
      <c r="V295" s="2" t="s">
        <v>419</v>
      </c>
      <c r="W295" s="2" t="n">
        <v>0.92</v>
      </c>
      <c r="X295" s="12" t="s">
        <v>50</v>
      </c>
    </row>
    <row r="296" customFormat="false" ht="16.4" hidden="false" customHeight="false" outlineLevel="0" collapsed="false">
      <c r="A296" s="2" t="n">
        <v>295</v>
      </c>
      <c r="B296" s="2" t="n">
        <v>19</v>
      </c>
      <c r="C296" s="2" t="s">
        <v>420</v>
      </c>
      <c r="D296" s="8" t="n">
        <v>23750</v>
      </c>
      <c r="E296" s="9" t="n">
        <v>6.96</v>
      </c>
      <c r="F296" s="9" t="n">
        <v>6.71</v>
      </c>
      <c r="G296" s="9" t="n">
        <v>7.2</v>
      </c>
      <c r="H296" s="9" t="n">
        <v>5.7</v>
      </c>
      <c r="I296" s="9" t="n">
        <f aca="false">E296-H296</f>
        <v>1.26</v>
      </c>
      <c r="J296" s="8" t="n">
        <f aca="false">ROUND(D296*E296/100,0)</f>
        <v>1653</v>
      </c>
      <c r="K296" s="9" t="n">
        <v>14.73</v>
      </c>
      <c r="L296" s="9" t="n">
        <v>16.71</v>
      </c>
      <c r="M296" s="9" t="n">
        <v>88.5</v>
      </c>
      <c r="N296" s="9" t="n">
        <v>40.27</v>
      </c>
      <c r="O296" s="9" t="n">
        <v>16.25</v>
      </c>
      <c r="P296" s="2" t="n">
        <f aca="false">RANK(E296,$E$2:$E$350,0)</f>
        <v>287</v>
      </c>
      <c r="Q296" s="2" t="str">
        <f aca="false">IF(E296&gt;=30,"بسیار بالا",IF(E296&gt;=20,"بالا",IF(E296&gt;=13,"متوسط",IF(E296&gt;=8,"پایین","بسیار پایین"))))</f>
        <v>بسیار پایین</v>
      </c>
      <c r="R296" s="10" t="n">
        <v>169.7</v>
      </c>
      <c r="S296" s="11" t="n">
        <v>0.174</v>
      </c>
      <c r="T296" s="8" t="n">
        <v>86</v>
      </c>
      <c r="U296" s="2" t="s">
        <v>54</v>
      </c>
      <c r="V296" s="2" t="s">
        <v>339</v>
      </c>
      <c r="W296" s="2" t="n">
        <v>0.99</v>
      </c>
      <c r="X296" s="12" t="s">
        <v>46</v>
      </c>
    </row>
    <row r="297" customFormat="false" ht="16.4" hidden="false" customHeight="false" outlineLevel="0" collapsed="false">
      <c r="A297" s="2" t="n">
        <v>296</v>
      </c>
      <c r="B297" s="2" t="n">
        <v>19</v>
      </c>
      <c r="C297" s="2" t="s">
        <v>421</v>
      </c>
      <c r="D297" s="8" t="n">
        <v>21666</v>
      </c>
      <c r="E297" s="9" t="n">
        <v>6.96</v>
      </c>
      <c r="F297" s="9" t="n">
        <v>6.71</v>
      </c>
      <c r="G297" s="9" t="n">
        <v>7.2</v>
      </c>
      <c r="H297" s="9" t="n">
        <v>5.7</v>
      </c>
      <c r="I297" s="9" t="n">
        <f aca="false">E297-H297</f>
        <v>1.26</v>
      </c>
      <c r="J297" s="8" t="n">
        <f aca="false">ROUND(D297*E297/100,0)</f>
        <v>1508</v>
      </c>
      <c r="K297" s="9" t="n">
        <v>14.73</v>
      </c>
      <c r="L297" s="9" t="n">
        <v>16.71</v>
      </c>
      <c r="M297" s="9" t="n">
        <v>88.5</v>
      </c>
      <c r="N297" s="9" t="n">
        <v>40.27</v>
      </c>
      <c r="O297" s="9" t="n">
        <v>16.25</v>
      </c>
      <c r="P297" s="2" t="n">
        <f aca="false">RANK(E297,$E$2:$E$350,0)</f>
        <v>287</v>
      </c>
      <c r="Q297" s="2" t="str">
        <f aca="false">IF(E297&gt;=30,"بسیار بالا",IF(E297&gt;=20,"بالا",IF(E297&gt;=13,"متوسط",IF(E297&gt;=8,"پایین","بسیار پایین"))))</f>
        <v>بسیار پایین</v>
      </c>
      <c r="R297" s="10" t="n">
        <v>169.7</v>
      </c>
      <c r="S297" s="11" t="n">
        <v>0.174</v>
      </c>
      <c r="T297" s="8" t="n">
        <v>86</v>
      </c>
      <c r="U297" s="2" t="s">
        <v>54</v>
      </c>
      <c r="V297" s="2" t="s">
        <v>339</v>
      </c>
      <c r="W297" s="2" t="n">
        <v>0.99</v>
      </c>
      <c r="X297" s="12" t="s">
        <v>46</v>
      </c>
    </row>
    <row r="298" customFormat="false" ht="16.4" hidden="false" customHeight="false" outlineLevel="0" collapsed="false">
      <c r="A298" s="2" t="n">
        <v>297</v>
      </c>
      <c r="B298" s="2" t="n">
        <v>19</v>
      </c>
      <c r="C298" s="2" t="s">
        <v>422</v>
      </c>
      <c r="D298" s="8" t="n">
        <v>27883</v>
      </c>
      <c r="E298" s="9" t="n">
        <v>6.67</v>
      </c>
      <c r="F298" s="9" t="n">
        <v>6.49</v>
      </c>
      <c r="G298" s="9" t="n">
        <v>6.84</v>
      </c>
      <c r="H298" s="9" t="n">
        <v>5.7</v>
      </c>
      <c r="I298" s="9" t="n">
        <f aca="false">E298-H298</f>
        <v>0.97</v>
      </c>
      <c r="J298" s="8" t="n">
        <f aca="false">ROUND(D298*E298/100,0)</f>
        <v>1860</v>
      </c>
      <c r="K298" s="9" t="n">
        <v>14.16</v>
      </c>
      <c r="L298" s="9" t="n">
        <v>16.2</v>
      </c>
      <c r="M298" s="9" t="n">
        <v>88.15</v>
      </c>
      <c r="N298" s="9" t="n">
        <v>38.71</v>
      </c>
      <c r="O298" s="9" t="n">
        <v>15.69</v>
      </c>
      <c r="P298" s="2" t="n">
        <f aca="false">RANK(E298,$E$2:$E$350,0)</f>
        <v>294</v>
      </c>
      <c r="Q298" s="2" t="str">
        <f aca="false">IF(E298&gt;=30,"بسیار بالا",IF(E298&gt;=20,"بالا",IF(E298&gt;=13,"متوسط",IF(E298&gt;=8,"پایین","بسیار پایین"))))</f>
        <v>بسیار پایین</v>
      </c>
      <c r="R298" s="10" t="n">
        <v>167.8</v>
      </c>
      <c r="S298" s="11" t="n">
        <v>0.142</v>
      </c>
      <c r="T298" s="8" t="n">
        <v>86</v>
      </c>
      <c r="U298" s="2" t="s">
        <v>54</v>
      </c>
      <c r="V298" s="2" t="s">
        <v>423</v>
      </c>
      <c r="W298" s="2" t="n">
        <v>0.99</v>
      </c>
      <c r="X298" s="12" t="s">
        <v>46</v>
      </c>
    </row>
    <row r="299" customFormat="false" ht="16.4" hidden="false" customHeight="false" outlineLevel="0" collapsed="false">
      <c r="A299" s="2" t="n">
        <v>298</v>
      </c>
      <c r="B299" s="2" t="n">
        <v>19</v>
      </c>
      <c r="C299" s="2" t="s">
        <v>424</v>
      </c>
      <c r="D299" s="8" t="n">
        <v>24840</v>
      </c>
      <c r="E299" s="9" t="n">
        <v>6.67</v>
      </c>
      <c r="F299" s="9" t="n">
        <v>6.49</v>
      </c>
      <c r="G299" s="9" t="n">
        <v>6.84</v>
      </c>
      <c r="H299" s="9" t="n">
        <v>5.7</v>
      </c>
      <c r="I299" s="9" t="n">
        <f aca="false">E299-H299</f>
        <v>0.97</v>
      </c>
      <c r="J299" s="8" t="n">
        <f aca="false">ROUND(D299*E299/100,0)</f>
        <v>1657</v>
      </c>
      <c r="K299" s="9" t="n">
        <v>14.16</v>
      </c>
      <c r="L299" s="9" t="n">
        <v>16.2</v>
      </c>
      <c r="M299" s="9" t="n">
        <v>88.15</v>
      </c>
      <c r="N299" s="9" t="n">
        <v>38.71</v>
      </c>
      <c r="O299" s="9" t="n">
        <v>15.69</v>
      </c>
      <c r="P299" s="2" t="n">
        <f aca="false">RANK(E299,$E$2:$E$350,0)</f>
        <v>294</v>
      </c>
      <c r="Q299" s="2" t="str">
        <f aca="false">IF(E299&gt;=30,"بسیار بالا",IF(E299&gt;=20,"بالا",IF(E299&gt;=13,"متوسط",IF(E299&gt;=8,"پایین","بسیار پایین"))))</f>
        <v>بسیار پایین</v>
      </c>
      <c r="R299" s="10" t="n">
        <v>167.8</v>
      </c>
      <c r="S299" s="11" t="n">
        <v>0.142</v>
      </c>
      <c r="T299" s="8" t="n">
        <v>86</v>
      </c>
      <c r="U299" s="2" t="s">
        <v>54</v>
      </c>
      <c r="V299" s="2" t="s">
        <v>423</v>
      </c>
      <c r="W299" s="2" t="n">
        <v>0.99</v>
      </c>
      <c r="X299" s="12" t="s">
        <v>46</v>
      </c>
    </row>
    <row r="300" customFormat="false" ht="16.4" hidden="false" customHeight="false" outlineLevel="0" collapsed="false">
      <c r="A300" s="2" t="n">
        <v>299</v>
      </c>
      <c r="B300" s="2" t="n">
        <v>19</v>
      </c>
      <c r="C300" s="12" t="s">
        <v>425</v>
      </c>
      <c r="D300" s="8" t="n">
        <v>29110</v>
      </c>
      <c r="E300" s="9" t="n">
        <v>5.82</v>
      </c>
      <c r="F300" s="9" t="n">
        <v>5.79</v>
      </c>
      <c r="G300" s="9" t="n">
        <v>5.82</v>
      </c>
      <c r="H300" s="9" t="n">
        <v>5.7</v>
      </c>
      <c r="I300" s="9" t="n">
        <f aca="false">E300-H300</f>
        <v>0.12</v>
      </c>
      <c r="J300" s="8" t="n">
        <f aca="false">ROUND(D300*E300/100,0)</f>
        <v>1694</v>
      </c>
      <c r="K300" s="9" t="n">
        <v>12.48</v>
      </c>
      <c r="L300" s="9" t="n">
        <v>14.63</v>
      </c>
      <c r="M300" s="9" t="n">
        <v>86.98</v>
      </c>
      <c r="N300" s="9" t="n">
        <v>33.89</v>
      </c>
      <c r="O300" s="9" t="n">
        <v>14.02</v>
      </c>
      <c r="P300" s="2" t="n">
        <f aca="false">RANK(E300,$E$2:$E$350,0)</f>
        <v>316</v>
      </c>
      <c r="Q300" s="2" t="str">
        <f aca="false">IF(E300&gt;=30,"بسیار بالا",IF(E300&gt;=20,"بالا",IF(E300&gt;=13,"متوسط",IF(E300&gt;=8,"پایین","بسیار پایین"))))</f>
        <v>بسیار پایین</v>
      </c>
      <c r="R300" s="10" t="n">
        <v>148.9</v>
      </c>
      <c r="S300" s="11" t="n">
        <v>0.039</v>
      </c>
      <c r="T300" s="8" t="n">
        <v>75</v>
      </c>
      <c r="U300" s="2" t="s">
        <v>54</v>
      </c>
      <c r="V300" s="2" t="s">
        <v>426</v>
      </c>
      <c r="W300" s="2" t="n">
        <v>0.99</v>
      </c>
      <c r="X300" s="12" t="s">
        <v>46</v>
      </c>
    </row>
    <row r="301" customFormat="false" ht="16.4" hidden="false" customHeight="false" outlineLevel="0" collapsed="false">
      <c r="A301" s="2" t="n">
        <v>300</v>
      </c>
      <c r="B301" s="2" t="n">
        <v>19</v>
      </c>
      <c r="C301" s="2" t="s">
        <v>427</v>
      </c>
      <c r="D301" s="8" t="n">
        <v>11005</v>
      </c>
      <c r="E301" s="9" t="n">
        <v>5.52</v>
      </c>
      <c r="F301" s="9" t="n">
        <v>5.43</v>
      </c>
      <c r="G301" s="9" t="n">
        <v>5.58</v>
      </c>
      <c r="H301" s="9" t="n">
        <v>5.7</v>
      </c>
      <c r="I301" s="9" t="n">
        <f aca="false">E301-H301</f>
        <v>-0.180000000000001</v>
      </c>
      <c r="J301" s="8" t="n">
        <f aca="false">ROUND(D301*E301/100,0)</f>
        <v>607</v>
      </c>
      <c r="K301" s="9" t="n">
        <v>11.88</v>
      </c>
      <c r="L301" s="9" t="n">
        <v>14.06</v>
      </c>
      <c r="M301" s="9" t="n">
        <v>86.5</v>
      </c>
      <c r="N301" s="9" t="n">
        <v>32.12</v>
      </c>
      <c r="O301" s="9" t="n">
        <v>13.42</v>
      </c>
      <c r="P301" s="2" t="n">
        <f aca="false">RANK(E301,$E$2:$E$350,0)</f>
        <v>320</v>
      </c>
      <c r="Q301" s="2" t="str">
        <f aca="false">IF(E301&gt;=30,"بسیار بالا",IF(E301&gt;=20,"بالا",IF(E301&gt;=13,"متوسط",IF(E301&gt;=8,"پایین","بسیار پایین"))))</f>
        <v>بسیار پایین</v>
      </c>
      <c r="R301" s="10"/>
      <c r="S301" s="11" t="n">
        <v>0</v>
      </c>
      <c r="T301" s="8" t="n">
        <v>0</v>
      </c>
      <c r="U301" s="2" t="s">
        <v>64</v>
      </c>
      <c r="V301" s="12" t="s">
        <v>65</v>
      </c>
      <c r="W301" s="2" t="n">
        <v>0</v>
      </c>
      <c r="X301" s="12" t="s">
        <v>66</v>
      </c>
    </row>
    <row r="302" customFormat="false" ht="16.4" hidden="false" customHeight="false" outlineLevel="0" collapsed="false">
      <c r="A302" s="2" t="n">
        <v>301</v>
      </c>
      <c r="B302" s="2" t="n">
        <v>19</v>
      </c>
      <c r="C302" s="2" t="s">
        <v>428</v>
      </c>
      <c r="D302" s="8" t="n">
        <v>3887</v>
      </c>
      <c r="E302" s="9" t="n">
        <v>5.52</v>
      </c>
      <c r="F302" s="9" t="n">
        <v>5.43</v>
      </c>
      <c r="G302" s="9" t="n">
        <v>5.58</v>
      </c>
      <c r="H302" s="9" t="n">
        <v>5.7</v>
      </c>
      <c r="I302" s="9" t="n">
        <f aca="false">E302-H302</f>
        <v>-0.180000000000001</v>
      </c>
      <c r="J302" s="8" t="n">
        <f aca="false">ROUND(D302*E302/100,0)</f>
        <v>215</v>
      </c>
      <c r="K302" s="9" t="n">
        <v>11.88</v>
      </c>
      <c r="L302" s="9" t="n">
        <v>14.06</v>
      </c>
      <c r="M302" s="9" t="n">
        <v>86.5</v>
      </c>
      <c r="N302" s="9" t="n">
        <v>32.12</v>
      </c>
      <c r="O302" s="9" t="n">
        <v>13.42</v>
      </c>
      <c r="P302" s="2" t="n">
        <f aca="false">RANK(E302,$E$2:$E$350,0)</f>
        <v>320</v>
      </c>
      <c r="Q302" s="2" t="str">
        <f aca="false">IF(E302&gt;=30,"بسیار بالا",IF(E302&gt;=20,"بالا",IF(E302&gt;=13,"متوسط",IF(E302&gt;=8,"پایین","بسیار پایین"))))</f>
        <v>بسیار پایین</v>
      </c>
      <c r="R302" s="10"/>
      <c r="S302" s="11" t="n">
        <v>0</v>
      </c>
      <c r="T302" s="8" t="n">
        <v>0</v>
      </c>
      <c r="U302" s="2" t="s">
        <v>64</v>
      </c>
      <c r="V302" s="12" t="s">
        <v>65</v>
      </c>
      <c r="W302" s="2" t="n">
        <v>0</v>
      </c>
      <c r="X302" s="12" t="s">
        <v>66</v>
      </c>
    </row>
    <row r="303" customFormat="false" ht="16.4" hidden="false" customHeight="false" outlineLevel="0" collapsed="false">
      <c r="A303" s="2" t="n">
        <v>302</v>
      </c>
      <c r="B303" s="2" t="n">
        <v>19</v>
      </c>
      <c r="C303" s="2" t="s">
        <v>429</v>
      </c>
      <c r="D303" s="8" t="n">
        <v>206</v>
      </c>
      <c r="E303" s="9" t="n">
        <v>5.52</v>
      </c>
      <c r="F303" s="9" t="n">
        <v>5.43</v>
      </c>
      <c r="G303" s="9" t="n">
        <v>5.58</v>
      </c>
      <c r="H303" s="9" t="n">
        <v>5.7</v>
      </c>
      <c r="I303" s="9" t="n">
        <f aca="false">E303-H303</f>
        <v>-0.180000000000001</v>
      </c>
      <c r="J303" s="8" t="n">
        <f aca="false">ROUND(D303*E303/100,0)</f>
        <v>11</v>
      </c>
      <c r="K303" s="9" t="n">
        <v>11.88</v>
      </c>
      <c r="L303" s="9" t="n">
        <v>14.06</v>
      </c>
      <c r="M303" s="9" t="n">
        <v>86.5</v>
      </c>
      <c r="N303" s="9" t="n">
        <v>32.12</v>
      </c>
      <c r="O303" s="9" t="n">
        <v>13.42</v>
      </c>
      <c r="P303" s="2" t="n">
        <f aca="false">RANK(E303,$E$2:$E$350,0)</f>
        <v>320</v>
      </c>
      <c r="Q303" s="2" t="str">
        <f aca="false">IF(E303&gt;=30,"بسیار بالا",IF(E303&gt;=20,"بالا",IF(E303&gt;=13,"متوسط",IF(E303&gt;=8,"پایین","بسیار پایین"))))</f>
        <v>بسیار پایین</v>
      </c>
      <c r="R303" s="10"/>
      <c r="S303" s="11" t="n">
        <v>0</v>
      </c>
      <c r="T303" s="8" t="n">
        <v>0</v>
      </c>
      <c r="U303" s="2" t="s">
        <v>64</v>
      </c>
      <c r="V303" s="12" t="s">
        <v>65</v>
      </c>
      <c r="W303" s="2" t="n">
        <v>0</v>
      </c>
      <c r="X303" s="12" t="s">
        <v>66</v>
      </c>
    </row>
    <row r="304" customFormat="false" ht="16.4" hidden="false" customHeight="false" outlineLevel="0" collapsed="false">
      <c r="A304" s="2" t="n">
        <v>303</v>
      </c>
      <c r="B304" s="2" t="n">
        <v>19</v>
      </c>
      <c r="C304" s="2" t="s">
        <v>430</v>
      </c>
      <c r="D304" s="8" t="n">
        <v>29117</v>
      </c>
      <c r="E304" s="9" t="n">
        <v>4.15</v>
      </c>
      <c r="F304" s="9" t="n">
        <v>3.84</v>
      </c>
      <c r="G304" s="9" t="n">
        <v>4.46</v>
      </c>
      <c r="H304" s="9" t="n">
        <v>5.7</v>
      </c>
      <c r="I304" s="9" t="n">
        <f aca="false">E304-H304</f>
        <v>-1.55</v>
      </c>
      <c r="J304" s="8" t="n">
        <f aca="false">ROUND(D304*E304/100,0)</f>
        <v>1208</v>
      </c>
      <c r="K304" s="9" t="n">
        <v>9.09</v>
      </c>
      <c r="L304" s="9" t="n">
        <v>11.34</v>
      </c>
      <c r="M304" s="9" t="n">
        <v>83.69</v>
      </c>
      <c r="N304" s="9" t="n">
        <v>23.58</v>
      </c>
      <c r="O304" s="9" t="n">
        <v>10.57</v>
      </c>
      <c r="P304" s="2" t="n">
        <f aca="false">RANK(E304,$E$2:$E$350,0)</f>
        <v>342</v>
      </c>
      <c r="Q304" s="2" t="str">
        <f aca="false">IF(E304&gt;=30,"بسیار بالا",IF(E304&gt;=20,"بالا",IF(E304&gt;=13,"متوسط",IF(E304&gt;=8,"پایین","بسیار پایین"))))</f>
        <v>بسیار پایین</v>
      </c>
      <c r="R304" s="10" t="n">
        <v>108.7</v>
      </c>
      <c r="S304" s="11" t="n">
        <v>-0.21</v>
      </c>
      <c r="T304" s="8" t="n">
        <v>84</v>
      </c>
      <c r="U304" s="2" t="s">
        <v>54</v>
      </c>
      <c r="V304" s="2" t="s">
        <v>431</v>
      </c>
      <c r="W304" s="2" t="n">
        <v>0.98</v>
      </c>
      <c r="X304" s="12" t="s">
        <v>46</v>
      </c>
    </row>
    <row r="305" customFormat="false" ht="16.4" hidden="false" customHeight="false" outlineLevel="0" collapsed="false">
      <c r="A305" s="2" t="n">
        <v>304</v>
      </c>
      <c r="B305" s="2" t="n">
        <v>19</v>
      </c>
      <c r="C305" s="2" t="s">
        <v>432</v>
      </c>
      <c r="D305" s="8" t="n">
        <v>11964</v>
      </c>
      <c r="E305" s="9" t="n">
        <v>3.79</v>
      </c>
      <c r="F305" s="9" t="n">
        <v>3.44</v>
      </c>
      <c r="G305" s="9" t="n">
        <v>4.16</v>
      </c>
      <c r="H305" s="9" t="n">
        <v>5.7</v>
      </c>
      <c r="I305" s="9" t="n">
        <f aca="false">E305-H305</f>
        <v>-1.91</v>
      </c>
      <c r="J305" s="8" t="n">
        <f aca="false">ROUND(D305*E305/100,0)</f>
        <v>453</v>
      </c>
      <c r="K305" s="9" t="n">
        <v>8.33</v>
      </c>
      <c r="L305" s="9" t="n">
        <v>10.58</v>
      </c>
      <c r="M305" s="9" t="n">
        <v>82.71</v>
      </c>
      <c r="N305" s="9" t="n">
        <v>21.23</v>
      </c>
      <c r="O305" s="9" t="n">
        <v>9.78</v>
      </c>
      <c r="P305" s="2" t="n">
        <f aca="false">RANK(E305,$E$2:$E$350,0)</f>
        <v>344</v>
      </c>
      <c r="Q305" s="2" t="str">
        <f aca="false">IF(E305&gt;=30,"بسیار بالا",IF(E305&gt;=20,"بالا",IF(E305&gt;=13,"متوسط",IF(E305&gt;=8,"پایین","بسیار پایین"))))</f>
        <v>بسیار پایین</v>
      </c>
      <c r="R305" s="10" t="n">
        <v>110</v>
      </c>
      <c r="S305" s="11" t="n">
        <v>-0.276</v>
      </c>
      <c r="T305" s="8" t="n">
        <v>77</v>
      </c>
      <c r="U305" s="2" t="s">
        <v>45</v>
      </c>
      <c r="V305" s="2" t="s">
        <v>432</v>
      </c>
      <c r="W305" s="2" t="n">
        <v>1</v>
      </c>
      <c r="X305" s="12" t="s">
        <v>46</v>
      </c>
    </row>
    <row r="306" customFormat="false" ht="16.4" hidden="false" customHeight="false" outlineLevel="0" collapsed="false">
      <c r="A306" s="2" t="n">
        <v>305</v>
      </c>
      <c r="B306" s="2" t="n">
        <v>19</v>
      </c>
      <c r="C306" s="2" t="s">
        <v>433</v>
      </c>
      <c r="D306" s="8" t="n">
        <v>4137</v>
      </c>
      <c r="E306" s="9" t="n">
        <v>3.79</v>
      </c>
      <c r="F306" s="9" t="n">
        <v>3.44</v>
      </c>
      <c r="G306" s="9" t="n">
        <v>4.16</v>
      </c>
      <c r="H306" s="9" t="n">
        <v>5.7</v>
      </c>
      <c r="I306" s="9" t="n">
        <f aca="false">E306-H306</f>
        <v>-1.91</v>
      </c>
      <c r="J306" s="8" t="n">
        <f aca="false">ROUND(D306*E306/100,0)</f>
        <v>157</v>
      </c>
      <c r="K306" s="9" t="n">
        <v>8.33</v>
      </c>
      <c r="L306" s="9" t="n">
        <v>10.58</v>
      </c>
      <c r="M306" s="9" t="n">
        <v>82.71</v>
      </c>
      <c r="N306" s="9" t="n">
        <v>21.23</v>
      </c>
      <c r="O306" s="9" t="n">
        <v>9.78</v>
      </c>
      <c r="P306" s="2" t="n">
        <f aca="false">RANK(E306,$E$2:$E$350,0)</f>
        <v>344</v>
      </c>
      <c r="Q306" s="2" t="str">
        <f aca="false">IF(E306&gt;=30,"بسیار بالا",IF(E306&gt;=20,"بالا",IF(E306&gt;=13,"متوسط",IF(E306&gt;=8,"پایین","بسیار پایین"))))</f>
        <v>بسیار پایین</v>
      </c>
      <c r="R306" s="10" t="n">
        <v>110</v>
      </c>
      <c r="S306" s="11" t="n">
        <v>-0.276</v>
      </c>
      <c r="T306" s="8" t="n">
        <v>77</v>
      </c>
      <c r="U306" s="2" t="s">
        <v>106</v>
      </c>
      <c r="V306" s="2" t="s">
        <v>432</v>
      </c>
      <c r="W306" s="2" t="n">
        <v>1</v>
      </c>
      <c r="X306" s="12" t="s">
        <v>50</v>
      </c>
    </row>
    <row r="307" customFormat="false" ht="16.4" hidden="false" customHeight="false" outlineLevel="0" collapsed="false">
      <c r="A307" s="2" t="n">
        <v>306</v>
      </c>
      <c r="B307" s="2" t="n">
        <v>19</v>
      </c>
      <c r="C307" s="2" t="s">
        <v>434</v>
      </c>
      <c r="D307" s="8" t="n">
        <v>36941</v>
      </c>
      <c r="E307" s="9" t="n">
        <v>3.5</v>
      </c>
      <c r="F307" s="9" t="n">
        <v>3.13</v>
      </c>
      <c r="G307" s="9" t="n">
        <v>3.91</v>
      </c>
      <c r="H307" s="9" t="n">
        <v>5.7</v>
      </c>
      <c r="I307" s="9" t="n">
        <f aca="false">E307-H307</f>
        <v>-2.2</v>
      </c>
      <c r="J307" s="8" t="n">
        <f aca="false">ROUND(D307*E307/100,0)</f>
        <v>1293</v>
      </c>
      <c r="K307" s="9" t="n">
        <v>7.73</v>
      </c>
      <c r="L307" s="9" t="n">
        <v>9.96</v>
      </c>
      <c r="M307" s="9" t="n">
        <v>81.83</v>
      </c>
      <c r="N307" s="9" t="n">
        <v>19.34</v>
      </c>
      <c r="O307" s="9" t="n">
        <v>9.15</v>
      </c>
      <c r="P307" s="2" t="n">
        <f aca="false">RANK(E307,$E$2:$E$350,0)</f>
        <v>347</v>
      </c>
      <c r="Q307" s="2" t="str">
        <f aca="false">IF(E307&gt;=30,"بسیار بالا",IF(E307&gt;=20,"بالا",IF(E307&gt;=13,"متوسط",IF(E307&gt;=8,"پایین","بسیار پایین"))))</f>
        <v>بسیار پایین</v>
      </c>
      <c r="R307" s="10" t="n">
        <v>94.7</v>
      </c>
      <c r="S307" s="11" t="n">
        <v>-0.334</v>
      </c>
      <c r="T307" s="8" t="n">
        <v>33</v>
      </c>
      <c r="U307" s="2" t="s">
        <v>45</v>
      </c>
      <c r="V307" s="2" t="s">
        <v>435</v>
      </c>
      <c r="W307" s="2" t="n">
        <v>0.98</v>
      </c>
      <c r="X307" s="12" t="s">
        <v>46</v>
      </c>
    </row>
    <row r="308" customFormat="false" ht="16.4" hidden="false" customHeight="false" outlineLevel="0" collapsed="false">
      <c r="A308" s="2" t="n">
        <v>307</v>
      </c>
      <c r="B308" s="2" t="n">
        <v>20</v>
      </c>
      <c r="C308" s="2" t="s">
        <v>436</v>
      </c>
      <c r="D308" s="8" t="n">
        <v>20246</v>
      </c>
      <c r="E308" s="9" t="n">
        <v>22.04</v>
      </c>
      <c r="F308" s="9" t="n">
        <v>18.57</v>
      </c>
      <c r="G308" s="9" t="n">
        <v>25.86</v>
      </c>
      <c r="H308" s="9" t="n">
        <v>9</v>
      </c>
      <c r="I308" s="9" t="n">
        <f aca="false">E308-H308</f>
        <v>13.04</v>
      </c>
      <c r="J308" s="8" t="n">
        <f aca="false">ROUND(D308*E308/100,0)</f>
        <v>4462</v>
      </c>
      <c r="K308" s="9" t="n">
        <v>36.69</v>
      </c>
      <c r="L308" s="9" t="n">
        <v>36</v>
      </c>
      <c r="M308" s="9" t="n">
        <v>95.93</v>
      </c>
      <c r="N308" s="9" t="n">
        <v>78.18</v>
      </c>
      <c r="O308" s="9" t="n">
        <v>38.19</v>
      </c>
      <c r="P308" s="2" t="n">
        <f aca="false">RANK(E308,$E$2:$E$350,0)</f>
        <v>100</v>
      </c>
      <c r="Q308" s="2" t="str">
        <f aca="false">IF(E308&gt;=30,"بسیار بالا",IF(E308&gt;=20,"بالا",IF(E308&gt;=13,"متوسط",IF(E308&gt;=8,"پایین","بسیار پایین"))))</f>
        <v>بالا</v>
      </c>
      <c r="R308" s="10" t="n">
        <v>574.4</v>
      </c>
      <c r="S308" s="11" t="n">
        <v>0.774</v>
      </c>
      <c r="T308" s="8" t="n">
        <v>89</v>
      </c>
      <c r="U308" s="2" t="s">
        <v>45</v>
      </c>
      <c r="V308" s="2" t="s">
        <v>436</v>
      </c>
      <c r="W308" s="2" t="n">
        <v>0.98</v>
      </c>
      <c r="X308" s="12" t="s">
        <v>46</v>
      </c>
    </row>
    <row r="309" customFormat="false" ht="16.4" hidden="false" customHeight="false" outlineLevel="0" collapsed="false">
      <c r="A309" s="2" t="n">
        <v>308</v>
      </c>
      <c r="B309" s="2" t="n">
        <v>20</v>
      </c>
      <c r="C309" s="2" t="s">
        <v>437</v>
      </c>
      <c r="D309" s="8" t="n">
        <v>56901</v>
      </c>
      <c r="E309" s="9" t="n">
        <v>8.57</v>
      </c>
      <c r="F309" s="9" t="n">
        <v>8.38</v>
      </c>
      <c r="G309" s="9" t="n">
        <v>8.73</v>
      </c>
      <c r="H309" s="9" t="n">
        <v>9</v>
      </c>
      <c r="I309" s="9" t="n">
        <f aca="false">E309-H309</f>
        <v>-0.43</v>
      </c>
      <c r="J309" s="8" t="n">
        <f aca="false">ROUND(D309*E309/100,0)</f>
        <v>4876</v>
      </c>
      <c r="K309" s="9" t="n">
        <v>16.13</v>
      </c>
      <c r="L309" s="9" t="n">
        <v>18.5</v>
      </c>
      <c r="M309" s="9" t="n">
        <v>91.24</v>
      </c>
      <c r="N309" s="9" t="n">
        <v>42.55</v>
      </c>
      <c r="O309" s="9" t="n">
        <v>18.52</v>
      </c>
      <c r="P309" s="2" t="n">
        <f aca="false">RANK(E309,$E$2:$E$350,0)</f>
        <v>261</v>
      </c>
      <c r="Q309" s="2" t="str">
        <f aca="false">IF(E309&gt;=30,"بسیار بالا",IF(E309&gt;=20,"بالا",IF(E309&gt;=13,"متوسط",IF(E309&gt;=8,"پایین","بسیار پایین"))))</f>
        <v>پایین</v>
      </c>
      <c r="R309" s="10"/>
      <c r="S309" s="11" t="n">
        <v>0</v>
      </c>
      <c r="T309" s="8" t="n">
        <v>0</v>
      </c>
      <c r="U309" s="2" t="s">
        <v>64</v>
      </c>
      <c r="V309" s="12" t="s">
        <v>65</v>
      </c>
      <c r="W309" s="2" t="n">
        <v>0</v>
      </c>
      <c r="X309" s="12" t="s">
        <v>66</v>
      </c>
    </row>
    <row r="310" customFormat="false" ht="16.4" hidden="false" customHeight="false" outlineLevel="0" collapsed="false">
      <c r="A310" s="2" t="n">
        <v>309</v>
      </c>
      <c r="B310" s="2" t="n">
        <v>20</v>
      </c>
      <c r="C310" s="2" t="s">
        <v>438</v>
      </c>
      <c r="D310" s="8" t="n">
        <v>45026</v>
      </c>
      <c r="E310" s="9" t="n">
        <v>8.57</v>
      </c>
      <c r="F310" s="9" t="n">
        <v>8.38</v>
      </c>
      <c r="G310" s="9" t="n">
        <v>8.73</v>
      </c>
      <c r="H310" s="9" t="n">
        <v>9</v>
      </c>
      <c r="I310" s="9" t="n">
        <f aca="false">E310-H310</f>
        <v>-0.43</v>
      </c>
      <c r="J310" s="8" t="n">
        <f aca="false">ROUND(D310*E310/100,0)</f>
        <v>3859</v>
      </c>
      <c r="K310" s="9" t="n">
        <v>16.13</v>
      </c>
      <c r="L310" s="9" t="n">
        <v>18.5</v>
      </c>
      <c r="M310" s="9" t="n">
        <v>91.24</v>
      </c>
      <c r="N310" s="9" t="n">
        <v>42.55</v>
      </c>
      <c r="O310" s="9" t="n">
        <v>18.52</v>
      </c>
      <c r="P310" s="2" t="n">
        <f aca="false">RANK(E310,$E$2:$E$350,0)</f>
        <v>261</v>
      </c>
      <c r="Q310" s="2" t="str">
        <f aca="false">IF(E310&gt;=30,"بسیار بالا",IF(E310&gt;=20,"بالا",IF(E310&gt;=13,"متوسط",IF(E310&gt;=8,"پایین","بسیار پایین"))))</f>
        <v>پایین</v>
      </c>
      <c r="R310" s="10"/>
      <c r="S310" s="11" t="n">
        <v>0</v>
      </c>
      <c r="T310" s="8" t="n">
        <v>0</v>
      </c>
      <c r="U310" s="2" t="s">
        <v>64</v>
      </c>
      <c r="V310" s="12" t="s">
        <v>65</v>
      </c>
      <c r="W310" s="2" t="n">
        <v>0</v>
      </c>
      <c r="X310" s="12" t="s">
        <v>66</v>
      </c>
    </row>
    <row r="311" customFormat="false" ht="16.4" hidden="false" customHeight="false" outlineLevel="0" collapsed="false">
      <c r="A311" s="2" t="n">
        <v>310</v>
      </c>
      <c r="B311" s="2" t="n">
        <v>20</v>
      </c>
      <c r="C311" s="2" t="s">
        <v>439</v>
      </c>
      <c r="D311" s="8" t="n">
        <v>35423</v>
      </c>
      <c r="E311" s="9" t="n">
        <v>8.57</v>
      </c>
      <c r="F311" s="9" t="n">
        <v>8.38</v>
      </c>
      <c r="G311" s="9" t="n">
        <v>8.73</v>
      </c>
      <c r="H311" s="9" t="n">
        <v>9</v>
      </c>
      <c r="I311" s="9" t="n">
        <f aca="false">E311-H311</f>
        <v>-0.43</v>
      </c>
      <c r="J311" s="8" t="n">
        <f aca="false">ROUND(D311*E311/100,0)</f>
        <v>3036</v>
      </c>
      <c r="K311" s="9" t="n">
        <v>16.13</v>
      </c>
      <c r="L311" s="9" t="n">
        <v>18.5</v>
      </c>
      <c r="M311" s="9" t="n">
        <v>91.24</v>
      </c>
      <c r="N311" s="9" t="n">
        <v>42.55</v>
      </c>
      <c r="O311" s="9" t="n">
        <v>18.52</v>
      </c>
      <c r="P311" s="2" t="n">
        <f aca="false">RANK(E311,$E$2:$E$350,0)</f>
        <v>261</v>
      </c>
      <c r="Q311" s="2" t="str">
        <f aca="false">IF(E311&gt;=30,"بسیار بالا",IF(E311&gt;=20,"بالا",IF(E311&gt;=13,"متوسط",IF(E311&gt;=8,"پایین","بسیار پایین"))))</f>
        <v>پایین</v>
      </c>
      <c r="R311" s="10"/>
      <c r="S311" s="11" t="n">
        <v>0</v>
      </c>
      <c r="T311" s="8" t="n">
        <v>0</v>
      </c>
      <c r="U311" s="2" t="s">
        <v>64</v>
      </c>
      <c r="V311" s="12" t="s">
        <v>65</v>
      </c>
      <c r="W311" s="2" t="n">
        <v>0</v>
      </c>
      <c r="X311" s="12" t="s">
        <v>66</v>
      </c>
    </row>
    <row r="312" customFormat="false" ht="16.4" hidden="false" customHeight="false" outlineLevel="0" collapsed="false">
      <c r="A312" s="2" t="n">
        <v>311</v>
      </c>
      <c r="B312" s="2" t="n">
        <v>20</v>
      </c>
      <c r="C312" s="2" t="s">
        <v>440</v>
      </c>
      <c r="D312" s="8" t="n">
        <v>31801</v>
      </c>
      <c r="E312" s="9" t="n">
        <v>8.57</v>
      </c>
      <c r="F312" s="9" t="n">
        <v>8.38</v>
      </c>
      <c r="G312" s="9" t="n">
        <v>8.73</v>
      </c>
      <c r="H312" s="9" t="n">
        <v>9</v>
      </c>
      <c r="I312" s="9" t="n">
        <f aca="false">E312-H312</f>
        <v>-0.43</v>
      </c>
      <c r="J312" s="8" t="n">
        <f aca="false">ROUND(D312*E312/100,0)</f>
        <v>2725</v>
      </c>
      <c r="K312" s="9" t="n">
        <v>16.13</v>
      </c>
      <c r="L312" s="9" t="n">
        <v>18.5</v>
      </c>
      <c r="M312" s="9" t="n">
        <v>91.24</v>
      </c>
      <c r="N312" s="9" t="n">
        <v>42.55</v>
      </c>
      <c r="O312" s="9" t="n">
        <v>18.52</v>
      </c>
      <c r="P312" s="2" t="n">
        <f aca="false">RANK(E312,$E$2:$E$350,0)</f>
        <v>261</v>
      </c>
      <c r="Q312" s="2" t="str">
        <f aca="false">IF(E312&gt;=30,"بسیار بالا",IF(E312&gt;=20,"بالا",IF(E312&gt;=13,"متوسط",IF(E312&gt;=8,"پایین","بسیار پایین"))))</f>
        <v>پایین</v>
      </c>
      <c r="R312" s="10"/>
      <c r="S312" s="11" t="n">
        <v>0</v>
      </c>
      <c r="T312" s="8" t="n">
        <v>0</v>
      </c>
      <c r="U312" s="2" t="s">
        <v>64</v>
      </c>
      <c r="V312" s="12" t="s">
        <v>65</v>
      </c>
      <c r="W312" s="2" t="n">
        <v>0</v>
      </c>
      <c r="X312" s="12" t="s">
        <v>66</v>
      </c>
    </row>
    <row r="313" customFormat="false" ht="16.4" hidden="false" customHeight="false" outlineLevel="0" collapsed="false">
      <c r="A313" s="2" t="n">
        <v>312</v>
      </c>
      <c r="B313" s="2" t="n">
        <v>20</v>
      </c>
      <c r="C313" s="2" t="s">
        <v>441</v>
      </c>
      <c r="D313" s="8" t="n">
        <v>28394</v>
      </c>
      <c r="E313" s="9" t="n">
        <v>8.57</v>
      </c>
      <c r="F313" s="9" t="n">
        <v>8.38</v>
      </c>
      <c r="G313" s="9" t="n">
        <v>8.73</v>
      </c>
      <c r="H313" s="9" t="n">
        <v>9</v>
      </c>
      <c r="I313" s="9" t="n">
        <f aca="false">E313-H313</f>
        <v>-0.43</v>
      </c>
      <c r="J313" s="8" t="n">
        <f aca="false">ROUND(D313*E313/100,0)</f>
        <v>2433</v>
      </c>
      <c r="K313" s="9" t="n">
        <v>16.13</v>
      </c>
      <c r="L313" s="9" t="n">
        <v>18.5</v>
      </c>
      <c r="M313" s="9" t="n">
        <v>91.24</v>
      </c>
      <c r="N313" s="9" t="n">
        <v>42.55</v>
      </c>
      <c r="O313" s="9" t="n">
        <v>18.52</v>
      </c>
      <c r="P313" s="2" t="n">
        <f aca="false">RANK(E313,$E$2:$E$350,0)</f>
        <v>261</v>
      </c>
      <c r="Q313" s="2" t="str">
        <f aca="false">IF(E313&gt;=30,"بسیار بالا",IF(E313&gt;=20,"بالا",IF(E313&gt;=13,"متوسط",IF(E313&gt;=8,"پایین","بسیار پایین"))))</f>
        <v>پایین</v>
      </c>
      <c r="R313" s="10"/>
      <c r="S313" s="11" t="n">
        <v>0</v>
      </c>
      <c r="T313" s="8" t="n">
        <v>0</v>
      </c>
      <c r="U313" s="2" t="s">
        <v>64</v>
      </c>
      <c r="V313" s="12" t="s">
        <v>65</v>
      </c>
      <c r="W313" s="2" t="n">
        <v>0</v>
      </c>
      <c r="X313" s="12" t="s">
        <v>66</v>
      </c>
    </row>
    <row r="314" customFormat="false" ht="16.4" hidden="false" customHeight="false" outlineLevel="0" collapsed="false">
      <c r="A314" s="2" t="n">
        <v>313</v>
      </c>
      <c r="B314" s="2" t="n">
        <v>20</v>
      </c>
      <c r="C314" s="2" t="s">
        <v>442</v>
      </c>
      <c r="D314" s="8" t="n">
        <v>23866</v>
      </c>
      <c r="E314" s="9" t="n">
        <v>8.57</v>
      </c>
      <c r="F314" s="9" t="n">
        <v>8.38</v>
      </c>
      <c r="G314" s="9" t="n">
        <v>8.73</v>
      </c>
      <c r="H314" s="9" t="n">
        <v>9</v>
      </c>
      <c r="I314" s="9" t="n">
        <f aca="false">E314-H314</f>
        <v>-0.43</v>
      </c>
      <c r="J314" s="8" t="n">
        <f aca="false">ROUND(D314*E314/100,0)</f>
        <v>2045</v>
      </c>
      <c r="K314" s="9" t="n">
        <v>16.13</v>
      </c>
      <c r="L314" s="9" t="n">
        <v>18.5</v>
      </c>
      <c r="M314" s="9" t="n">
        <v>91.24</v>
      </c>
      <c r="N314" s="9" t="n">
        <v>42.55</v>
      </c>
      <c r="O314" s="9" t="n">
        <v>18.52</v>
      </c>
      <c r="P314" s="2" t="n">
        <f aca="false">RANK(E314,$E$2:$E$350,0)</f>
        <v>261</v>
      </c>
      <c r="Q314" s="2" t="str">
        <f aca="false">IF(E314&gt;=30,"بسیار بالا",IF(E314&gt;=20,"بالا",IF(E314&gt;=13,"متوسط",IF(E314&gt;=8,"پایین","بسیار پایین"))))</f>
        <v>پایین</v>
      </c>
      <c r="R314" s="10"/>
      <c r="S314" s="11" t="n">
        <v>0</v>
      </c>
      <c r="T314" s="8" t="n">
        <v>0</v>
      </c>
      <c r="U314" s="2" t="s">
        <v>64</v>
      </c>
      <c r="V314" s="12" t="s">
        <v>65</v>
      </c>
      <c r="W314" s="2" t="n">
        <v>0</v>
      </c>
      <c r="X314" s="12" t="s">
        <v>66</v>
      </c>
    </row>
    <row r="315" customFormat="false" ht="16.4" hidden="false" customHeight="false" outlineLevel="0" collapsed="false">
      <c r="A315" s="2" t="n">
        <v>314</v>
      </c>
      <c r="B315" s="2" t="n">
        <v>20</v>
      </c>
      <c r="C315" s="2" t="s">
        <v>443</v>
      </c>
      <c r="D315" s="8" t="n">
        <v>23849</v>
      </c>
      <c r="E315" s="9" t="n">
        <v>8.57</v>
      </c>
      <c r="F315" s="9" t="n">
        <v>8.38</v>
      </c>
      <c r="G315" s="9" t="n">
        <v>8.73</v>
      </c>
      <c r="H315" s="9" t="n">
        <v>9</v>
      </c>
      <c r="I315" s="9" t="n">
        <f aca="false">E315-H315</f>
        <v>-0.43</v>
      </c>
      <c r="J315" s="8" t="n">
        <f aca="false">ROUND(D315*E315/100,0)</f>
        <v>2044</v>
      </c>
      <c r="K315" s="9" t="n">
        <v>16.13</v>
      </c>
      <c r="L315" s="9" t="n">
        <v>18.5</v>
      </c>
      <c r="M315" s="9" t="n">
        <v>91.24</v>
      </c>
      <c r="N315" s="9" t="n">
        <v>42.55</v>
      </c>
      <c r="O315" s="9" t="n">
        <v>18.52</v>
      </c>
      <c r="P315" s="2" t="n">
        <f aca="false">RANK(E315,$E$2:$E$350,0)</f>
        <v>261</v>
      </c>
      <c r="Q315" s="2" t="str">
        <f aca="false">IF(E315&gt;=30,"بسیار بالا",IF(E315&gt;=20,"بالا",IF(E315&gt;=13,"متوسط",IF(E315&gt;=8,"پایین","بسیار پایین"))))</f>
        <v>پایین</v>
      </c>
      <c r="R315" s="10"/>
      <c r="S315" s="11" t="n">
        <v>0</v>
      </c>
      <c r="T315" s="8" t="n">
        <v>0</v>
      </c>
      <c r="U315" s="2" t="s">
        <v>64</v>
      </c>
      <c r="V315" s="12" t="s">
        <v>65</v>
      </c>
      <c r="W315" s="2" t="n">
        <v>0</v>
      </c>
      <c r="X315" s="12" t="s">
        <v>66</v>
      </c>
    </row>
    <row r="316" customFormat="false" ht="16.4" hidden="false" customHeight="false" outlineLevel="0" collapsed="false">
      <c r="A316" s="2" t="n">
        <v>315</v>
      </c>
      <c r="B316" s="2" t="n">
        <v>20</v>
      </c>
      <c r="C316" s="2" t="s">
        <v>444</v>
      </c>
      <c r="D316" s="8" t="n">
        <v>18187</v>
      </c>
      <c r="E316" s="9" t="n">
        <v>8.57</v>
      </c>
      <c r="F316" s="9" t="n">
        <v>8.38</v>
      </c>
      <c r="G316" s="9" t="n">
        <v>8.73</v>
      </c>
      <c r="H316" s="9" t="n">
        <v>9</v>
      </c>
      <c r="I316" s="9" t="n">
        <f aca="false">E316-H316</f>
        <v>-0.43</v>
      </c>
      <c r="J316" s="8" t="n">
        <f aca="false">ROUND(D316*E316/100,0)</f>
        <v>1559</v>
      </c>
      <c r="K316" s="9" t="n">
        <v>16.13</v>
      </c>
      <c r="L316" s="9" t="n">
        <v>18.5</v>
      </c>
      <c r="M316" s="9" t="n">
        <v>91.24</v>
      </c>
      <c r="N316" s="9" t="n">
        <v>42.55</v>
      </c>
      <c r="O316" s="9" t="n">
        <v>18.52</v>
      </c>
      <c r="P316" s="2" t="n">
        <f aca="false">RANK(E316,$E$2:$E$350,0)</f>
        <v>261</v>
      </c>
      <c r="Q316" s="2" t="str">
        <f aca="false">IF(E316&gt;=30,"بسیار بالا",IF(E316&gt;=20,"بالا",IF(E316&gt;=13,"متوسط",IF(E316&gt;=8,"پایین","بسیار پایین"))))</f>
        <v>پایین</v>
      </c>
      <c r="R316" s="10"/>
      <c r="S316" s="11" t="n">
        <v>0</v>
      </c>
      <c r="T316" s="8" t="n">
        <v>0</v>
      </c>
      <c r="U316" s="2" t="s">
        <v>64</v>
      </c>
      <c r="V316" s="12" t="s">
        <v>65</v>
      </c>
      <c r="W316" s="2" t="n">
        <v>0</v>
      </c>
      <c r="X316" s="12" t="s">
        <v>66</v>
      </c>
    </row>
    <row r="317" customFormat="false" ht="16.4" hidden="false" customHeight="false" outlineLevel="0" collapsed="false">
      <c r="A317" s="2" t="n">
        <v>316</v>
      </c>
      <c r="B317" s="2" t="n">
        <v>20</v>
      </c>
      <c r="C317" s="2" t="s">
        <v>445</v>
      </c>
      <c r="D317" s="8" t="n">
        <v>12817</v>
      </c>
      <c r="E317" s="9" t="n">
        <v>8.57</v>
      </c>
      <c r="F317" s="9" t="n">
        <v>8.38</v>
      </c>
      <c r="G317" s="9" t="n">
        <v>8.73</v>
      </c>
      <c r="H317" s="9" t="n">
        <v>9</v>
      </c>
      <c r="I317" s="9" t="n">
        <f aca="false">E317-H317</f>
        <v>-0.43</v>
      </c>
      <c r="J317" s="8" t="n">
        <f aca="false">ROUND(D317*E317/100,0)</f>
        <v>1098</v>
      </c>
      <c r="K317" s="9" t="n">
        <v>16.13</v>
      </c>
      <c r="L317" s="9" t="n">
        <v>18.5</v>
      </c>
      <c r="M317" s="9" t="n">
        <v>91.24</v>
      </c>
      <c r="N317" s="9" t="n">
        <v>42.55</v>
      </c>
      <c r="O317" s="9" t="n">
        <v>18.52</v>
      </c>
      <c r="P317" s="2" t="n">
        <f aca="false">RANK(E317,$E$2:$E$350,0)</f>
        <v>261</v>
      </c>
      <c r="Q317" s="2" t="str">
        <f aca="false">IF(E317&gt;=30,"بسیار بالا",IF(E317&gt;=20,"بالا",IF(E317&gt;=13,"متوسط",IF(E317&gt;=8,"پایین","بسیار پایین"))))</f>
        <v>پایین</v>
      </c>
      <c r="R317" s="10"/>
      <c r="S317" s="11" t="n">
        <v>0</v>
      </c>
      <c r="T317" s="8" t="n">
        <v>0</v>
      </c>
      <c r="U317" s="2" t="s">
        <v>64</v>
      </c>
      <c r="V317" s="12" t="s">
        <v>65</v>
      </c>
      <c r="W317" s="2" t="n">
        <v>0</v>
      </c>
      <c r="X317" s="12" t="s">
        <v>66</v>
      </c>
    </row>
    <row r="318" customFormat="false" ht="16.4" hidden="false" customHeight="false" outlineLevel="0" collapsed="false">
      <c r="A318" s="2" t="n">
        <v>317</v>
      </c>
      <c r="B318" s="2" t="n">
        <v>20</v>
      </c>
      <c r="C318" s="2" t="s">
        <v>446</v>
      </c>
      <c r="D318" s="8" t="n">
        <v>10381</v>
      </c>
      <c r="E318" s="9" t="n">
        <v>8.57</v>
      </c>
      <c r="F318" s="9" t="n">
        <v>8.38</v>
      </c>
      <c r="G318" s="9" t="n">
        <v>8.73</v>
      </c>
      <c r="H318" s="9" t="n">
        <v>9</v>
      </c>
      <c r="I318" s="9" t="n">
        <f aca="false">E318-H318</f>
        <v>-0.43</v>
      </c>
      <c r="J318" s="8" t="n">
        <f aca="false">ROUND(D318*E318/100,0)</f>
        <v>890</v>
      </c>
      <c r="K318" s="9" t="n">
        <v>16.13</v>
      </c>
      <c r="L318" s="9" t="n">
        <v>18.5</v>
      </c>
      <c r="M318" s="9" t="n">
        <v>91.24</v>
      </c>
      <c r="N318" s="9" t="n">
        <v>42.55</v>
      </c>
      <c r="O318" s="9" t="n">
        <v>18.52</v>
      </c>
      <c r="P318" s="2" t="n">
        <f aca="false">RANK(E318,$E$2:$E$350,0)</f>
        <v>261</v>
      </c>
      <c r="Q318" s="2" t="str">
        <f aca="false">IF(E318&gt;=30,"بسیار بالا",IF(E318&gt;=20,"بالا",IF(E318&gt;=13,"متوسط",IF(E318&gt;=8,"پایین","بسیار پایین"))))</f>
        <v>پایین</v>
      </c>
      <c r="R318" s="10"/>
      <c r="S318" s="11" t="n">
        <v>0</v>
      </c>
      <c r="T318" s="8" t="n">
        <v>0</v>
      </c>
      <c r="U318" s="2" t="s">
        <v>64</v>
      </c>
      <c r="V318" s="12" t="s">
        <v>65</v>
      </c>
      <c r="W318" s="2" t="n">
        <v>0</v>
      </c>
      <c r="X318" s="12" t="s">
        <v>66</v>
      </c>
    </row>
    <row r="319" customFormat="false" ht="16.4" hidden="false" customHeight="false" outlineLevel="0" collapsed="false">
      <c r="A319" s="2" t="n">
        <v>318</v>
      </c>
      <c r="B319" s="2" t="n">
        <v>20</v>
      </c>
      <c r="C319" s="2" t="s">
        <v>447</v>
      </c>
      <c r="D319" s="8" t="n">
        <v>9437</v>
      </c>
      <c r="E319" s="9" t="n">
        <v>8.57</v>
      </c>
      <c r="F319" s="9" t="n">
        <v>8.38</v>
      </c>
      <c r="G319" s="9" t="n">
        <v>8.73</v>
      </c>
      <c r="H319" s="9" t="n">
        <v>9</v>
      </c>
      <c r="I319" s="9" t="n">
        <f aca="false">E319-H319</f>
        <v>-0.43</v>
      </c>
      <c r="J319" s="8" t="n">
        <f aca="false">ROUND(D319*E319/100,0)</f>
        <v>809</v>
      </c>
      <c r="K319" s="9" t="n">
        <v>16.13</v>
      </c>
      <c r="L319" s="9" t="n">
        <v>18.5</v>
      </c>
      <c r="M319" s="9" t="n">
        <v>91.24</v>
      </c>
      <c r="N319" s="9" t="n">
        <v>42.55</v>
      </c>
      <c r="O319" s="9" t="n">
        <v>18.52</v>
      </c>
      <c r="P319" s="2" t="n">
        <f aca="false">RANK(E319,$E$2:$E$350,0)</f>
        <v>261</v>
      </c>
      <c r="Q319" s="2" t="str">
        <f aca="false">IF(E319&gt;=30,"بسیار بالا",IF(E319&gt;=20,"بالا",IF(E319&gt;=13,"متوسط",IF(E319&gt;=8,"پایین","بسیار پایین"))))</f>
        <v>پایین</v>
      </c>
      <c r="R319" s="10"/>
      <c r="S319" s="11" t="n">
        <v>0</v>
      </c>
      <c r="T319" s="8" t="n">
        <v>0</v>
      </c>
      <c r="U319" s="2" t="s">
        <v>64</v>
      </c>
      <c r="V319" s="12" t="s">
        <v>65</v>
      </c>
      <c r="W319" s="2" t="n">
        <v>0</v>
      </c>
      <c r="X319" s="12" t="s">
        <v>66</v>
      </c>
    </row>
    <row r="320" customFormat="false" ht="16.4" hidden="false" customHeight="false" outlineLevel="0" collapsed="false">
      <c r="A320" s="2" t="n">
        <v>319</v>
      </c>
      <c r="B320" s="2" t="n">
        <v>20</v>
      </c>
      <c r="C320" s="2" t="s">
        <v>448</v>
      </c>
      <c r="D320" s="8" t="n">
        <v>8498</v>
      </c>
      <c r="E320" s="9" t="n">
        <v>8.57</v>
      </c>
      <c r="F320" s="9" t="n">
        <v>8.38</v>
      </c>
      <c r="G320" s="9" t="n">
        <v>8.73</v>
      </c>
      <c r="H320" s="9" t="n">
        <v>9</v>
      </c>
      <c r="I320" s="9" t="n">
        <f aca="false">E320-H320</f>
        <v>-0.43</v>
      </c>
      <c r="J320" s="8" t="n">
        <f aca="false">ROUND(D320*E320/100,0)</f>
        <v>728</v>
      </c>
      <c r="K320" s="9" t="n">
        <v>16.13</v>
      </c>
      <c r="L320" s="9" t="n">
        <v>18.5</v>
      </c>
      <c r="M320" s="9" t="n">
        <v>91.24</v>
      </c>
      <c r="N320" s="9" t="n">
        <v>42.55</v>
      </c>
      <c r="O320" s="9" t="n">
        <v>18.52</v>
      </c>
      <c r="P320" s="2" t="n">
        <f aca="false">RANK(E320,$E$2:$E$350,0)</f>
        <v>261</v>
      </c>
      <c r="Q320" s="2" t="str">
        <f aca="false">IF(E320&gt;=30,"بسیار بالا",IF(E320&gt;=20,"بالا",IF(E320&gt;=13,"متوسط",IF(E320&gt;=8,"پایین","بسیار پایین"))))</f>
        <v>پایین</v>
      </c>
      <c r="R320" s="10"/>
      <c r="S320" s="11" t="n">
        <v>0</v>
      </c>
      <c r="T320" s="8" t="n">
        <v>0</v>
      </c>
      <c r="U320" s="2" t="s">
        <v>64</v>
      </c>
      <c r="V320" s="12" t="s">
        <v>65</v>
      </c>
      <c r="W320" s="2" t="n">
        <v>0</v>
      </c>
      <c r="X320" s="12" t="s">
        <v>66</v>
      </c>
    </row>
    <row r="321" customFormat="false" ht="16.4" hidden="false" customHeight="false" outlineLevel="0" collapsed="false">
      <c r="A321" s="2" t="n">
        <v>320</v>
      </c>
      <c r="B321" s="2" t="n">
        <v>20</v>
      </c>
      <c r="C321" s="2" t="s">
        <v>449</v>
      </c>
      <c r="D321" s="8" t="n">
        <v>7306</v>
      </c>
      <c r="E321" s="9" t="n">
        <v>8.57</v>
      </c>
      <c r="F321" s="9" t="n">
        <v>8.38</v>
      </c>
      <c r="G321" s="9" t="n">
        <v>8.73</v>
      </c>
      <c r="H321" s="9" t="n">
        <v>9</v>
      </c>
      <c r="I321" s="9" t="n">
        <f aca="false">E321-H321</f>
        <v>-0.43</v>
      </c>
      <c r="J321" s="8" t="n">
        <f aca="false">ROUND(D321*E321/100,0)</f>
        <v>626</v>
      </c>
      <c r="K321" s="9" t="n">
        <v>16.13</v>
      </c>
      <c r="L321" s="9" t="n">
        <v>18.5</v>
      </c>
      <c r="M321" s="9" t="n">
        <v>91.24</v>
      </c>
      <c r="N321" s="9" t="n">
        <v>42.55</v>
      </c>
      <c r="O321" s="9" t="n">
        <v>18.52</v>
      </c>
      <c r="P321" s="2" t="n">
        <f aca="false">RANK(E321,$E$2:$E$350,0)</f>
        <v>261</v>
      </c>
      <c r="Q321" s="2" t="str">
        <f aca="false">IF(E321&gt;=30,"بسیار بالا",IF(E321&gt;=20,"بالا",IF(E321&gt;=13,"متوسط",IF(E321&gt;=8,"پایین","بسیار پایین"))))</f>
        <v>پایین</v>
      </c>
      <c r="R321" s="10"/>
      <c r="S321" s="11" t="n">
        <v>0</v>
      </c>
      <c r="T321" s="8" t="n">
        <v>0</v>
      </c>
      <c r="U321" s="2" t="s">
        <v>64</v>
      </c>
      <c r="V321" s="12" t="s">
        <v>65</v>
      </c>
      <c r="W321" s="2" t="n">
        <v>0</v>
      </c>
      <c r="X321" s="12" t="s">
        <v>66</v>
      </c>
    </row>
    <row r="322" customFormat="false" ht="16.4" hidden="false" customHeight="false" outlineLevel="0" collapsed="false">
      <c r="A322" s="2" t="n">
        <v>321</v>
      </c>
      <c r="B322" s="2" t="n">
        <v>20</v>
      </c>
      <c r="C322" s="2" t="s">
        <v>450</v>
      </c>
      <c r="D322" s="8" t="n">
        <v>5707</v>
      </c>
      <c r="E322" s="9" t="n">
        <v>8.57</v>
      </c>
      <c r="F322" s="9" t="n">
        <v>8.38</v>
      </c>
      <c r="G322" s="9" t="n">
        <v>8.73</v>
      </c>
      <c r="H322" s="9" t="n">
        <v>9</v>
      </c>
      <c r="I322" s="9" t="n">
        <f aca="false">E322-H322</f>
        <v>-0.43</v>
      </c>
      <c r="J322" s="8" t="n">
        <f aca="false">ROUND(D322*E322/100,0)</f>
        <v>489</v>
      </c>
      <c r="K322" s="9" t="n">
        <v>16.13</v>
      </c>
      <c r="L322" s="9" t="n">
        <v>18.5</v>
      </c>
      <c r="M322" s="9" t="n">
        <v>91.24</v>
      </c>
      <c r="N322" s="9" t="n">
        <v>42.55</v>
      </c>
      <c r="O322" s="9" t="n">
        <v>18.52</v>
      </c>
      <c r="P322" s="2" t="n">
        <f aca="false">RANK(E322,$E$2:$E$350,0)</f>
        <v>261</v>
      </c>
      <c r="Q322" s="2" t="str">
        <f aca="false">IF(E322&gt;=30,"بسیار بالا",IF(E322&gt;=20,"بالا",IF(E322&gt;=13,"متوسط",IF(E322&gt;=8,"پایین","بسیار پایین"))))</f>
        <v>پایین</v>
      </c>
      <c r="R322" s="10"/>
      <c r="S322" s="11" t="n">
        <v>0</v>
      </c>
      <c r="T322" s="8" t="n">
        <v>0</v>
      </c>
      <c r="U322" s="2" t="s">
        <v>64</v>
      </c>
      <c r="V322" s="12" t="s">
        <v>65</v>
      </c>
      <c r="W322" s="2" t="n">
        <v>0</v>
      </c>
      <c r="X322" s="12" t="s">
        <v>66</v>
      </c>
    </row>
    <row r="323" customFormat="false" ht="16.4" hidden="false" customHeight="false" outlineLevel="0" collapsed="false">
      <c r="A323" s="2" t="n">
        <v>322</v>
      </c>
      <c r="B323" s="2" t="n">
        <v>20</v>
      </c>
      <c r="C323" s="2" t="s">
        <v>451</v>
      </c>
      <c r="D323" s="8" t="n">
        <v>2629</v>
      </c>
      <c r="E323" s="9" t="n">
        <v>8.57</v>
      </c>
      <c r="F323" s="9" t="n">
        <v>8.38</v>
      </c>
      <c r="G323" s="9" t="n">
        <v>8.73</v>
      </c>
      <c r="H323" s="9" t="n">
        <v>9</v>
      </c>
      <c r="I323" s="9" t="n">
        <f aca="false">E323-H323</f>
        <v>-0.43</v>
      </c>
      <c r="J323" s="8" t="n">
        <f aca="false">ROUND(D323*E323/100,0)</f>
        <v>225</v>
      </c>
      <c r="K323" s="9" t="n">
        <v>16.13</v>
      </c>
      <c r="L323" s="9" t="n">
        <v>18.5</v>
      </c>
      <c r="M323" s="9" t="n">
        <v>91.24</v>
      </c>
      <c r="N323" s="9" t="n">
        <v>42.55</v>
      </c>
      <c r="O323" s="9" t="n">
        <v>18.52</v>
      </c>
      <c r="P323" s="2" t="n">
        <f aca="false">RANK(E323,$E$2:$E$350,0)</f>
        <v>261</v>
      </c>
      <c r="Q323" s="2" t="str">
        <f aca="false">IF(E323&gt;=30,"بسیار بالا",IF(E323&gt;=20,"بالا",IF(E323&gt;=13,"متوسط",IF(E323&gt;=8,"پایین","بسیار پایین"))))</f>
        <v>پایین</v>
      </c>
      <c r="R323" s="10"/>
      <c r="S323" s="11" t="n">
        <v>0</v>
      </c>
      <c r="T323" s="8" t="n">
        <v>0</v>
      </c>
      <c r="U323" s="2" t="s">
        <v>64</v>
      </c>
      <c r="V323" s="12" t="s">
        <v>65</v>
      </c>
      <c r="W323" s="2" t="n">
        <v>0</v>
      </c>
      <c r="X323" s="12" t="s">
        <v>66</v>
      </c>
    </row>
    <row r="324" customFormat="false" ht="16.4" hidden="false" customHeight="false" outlineLevel="0" collapsed="false">
      <c r="A324" s="2" t="n">
        <v>323</v>
      </c>
      <c r="B324" s="2" t="n">
        <v>20</v>
      </c>
      <c r="C324" s="2" t="s">
        <v>452</v>
      </c>
      <c r="D324" s="8" t="n">
        <v>12509</v>
      </c>
      <c r="E324" s="9" t="n">
        <v>6.33</v>
      </c>
      <c r="F324" s="9" t="n">
        <v>5.79</v>
      </c>
      <c r="G324" s="9" t="n">
        <v>6.88</v>
      </c>
      <c r="H324" s="9" t="n">
        <v>9</v>
      </c>
      <c r="I324" s="9" t="n">
        <f aca="false">E324-H324</f>
        <v>-2.67</v>
      </c>
      <c r="J324" s="8" t="n">
        <f aca="false">ROUND(D324*E324/100,0)</f>
        <v>792</v>
      </c>
      <c r="K324" s="9" t="n">
        <v>12.18</v>
      </c>
      <c r="L324" s="9" t="n">
        <v>14.78</v>
      </c>
      <c r="M324" s="9" t="n">
        <v>89.1</v>
      </c>
      <c r="N324" s="9" t="n">
        <v>31.7</v>
      </c>
      <c r="O324" s="9" t="n">
        <v>14.45</v>
      </c>
      <c r="P324" s="2" t="n">
        <f aca="false">RANK(E324,$E$2:$E$350,0)</f>
        <v>300</v>
      </c>
      <c r="Q324" s="2" t="str">
        <f aca="false">IF(E324&gt;=30,"بسیار بالا",IF(E324&gt;=20,"بالا",IF(E324&gt;=13,"متوسط",IF(E324&gt;=8,"پایین","بسیار پایین"))))</f>
        <v>بسیار پایین</v>
      </c>
      <c r="R324" s="10" t="n">
        <v>214.6</v>
      </c>
      <c r="S324" s="11" t="n">
        <v>-0.23</v>
      </c>
      <c r="T324" s="8" t="n">
        <v>73</v>
      </c>
      <c r="U324" s="2" t="s">
        <v>45</v>
      </c>
      <c r="V324" s="2" t="s">
        <v>452</v>
      </c>
      <c r="W324" s="2" t="n">
        <v>0.99</v>
      </c>
      <c r="X324" s="12" t="s">
        <v>46</v>
      </c>
    </row>
    <row r="325" customFormat="false" ht="16.4" hidden="false" customHeight="false" outlineLevel="0" collapsed="false">
      <c r="A325" s="2" t="n">
        <v>324</v>
      </c>
      <c r="B325" s="2" t="n">
        <v>20</v>
      </c>
      <c r="C325" s="2" t="s">
        <v>453</v>
      </c>
      <c r="D325" s="8" t="n">
        <v>14452</v>
      </c>
      <c r="E325" s="9" t="n">
        <v>2.58</v>
      </c>
      <c r="F325" s="9" t="n">
        <v>1.94</v>
      </c>
      <c r="G325" s="9" t="n">
        <v>3.42</v>
      </c>
      <c r="H325" s="9" t="n">
        <v>9</v>
      </c>
      <c r="I325" s="9" t="n">
        <f aca="false">E325-H325</f>
        <v>-6.42</v>
      </c>
      <c r="J325" s="8" t="n">
        <f aca="false">ROUND(D325*E325/100,0)</f>
        <v>373</v>
      </c>
      <c r="K325" s="9" t="n">
        <v>5.16</v>
      </c>
      <c r="L325" s="9" t="n">
        <v>7.44</v>
      </c>
      <c r="M325" s="9" t="n">
        <v>80.36</v>
      </c>
      <c r="N325" s="9" t="n">
        <v>10.88</v>
      </c>
      <c r="O325" s="9" t="n">
        <v>6.75</v>
      </c>
      <c r="P325" s="2" t="n">
        <f aca="false">RANK(E325,$E$2:$E$350,0)</f>
        <v>349</v>
      </c>
      <c r="Q325" s="2" t="str">
        <f aca="false">IF(E325&gt;=30,"بسیار بالا",IF(E325&gt;=20,"بالا",IF(E325&gt;=13,"متوسط",IF(E325&gt;=8,"پایین","بسیار پایین"))))</f>
        <v>بسیار پایین</v>
      </c>
      <c r="R325" s="10" t="n">
        <v>110</v>
      </c>
      <c r="S325" s="11" t="n">
        <v>-0.886</v>
      </c>
      <c r="T325" s="8" t="n">
        <v>82</v>
      </c>
      <c r="U325" s="2" t="s">
        <v>54</v>
      </c>
      <c r="V325" s="2" t="s">
        <v>361</v>
      </c>
      <c r="W325" s="2" t="n">
        <v>1</v>
      </c>
      <c r="X325" s="12" t="s">
        <v>46</v>
      </c>
    </row>
    <row r="326" customFormat="false" ht="16.4" hidden="false" customHeight="false" outlineLevel="0" collapsed="false">
      <c r="A326" s="2" t="n">
        <v>325</v>
      </c>
      <c r="B326" s="2" t="n">
        <v>21</v>
      </c>
      <c r="C326" s="2" t="s">
        <v>128</v>
      </c>
      <c r="D326" s="8" t="n">
        <v>43924</v>
      </c>
      <c r="E326" s="9" t="n">
        <v>20.13</v>
      </c>
      <c r="F326" s="9" t="n">
        <v>19.25</v>
      </c>
      <c r="G326" s="9" t="n">
        <v>21.01</v>
      </c>
      <c r="H326" s="9" t="n">
        <v>16</v>
      </c>
      <c r="I326" s="9" t="n">
        <f aca="false">E326-H326</f>
        <v>4.13</v>
      </c>
      <c r="J326" s="8" t="n">
        <f aca="false">ROUND(D326*E326/100,0)</f>
        <v>8842</v>
      </c>
      <c r="K326" s="9" t="n">
        <v>36.15</v>
      </c>
      <c r="L326" s="9" t="n">
        <v>32.61</v>
      </c>
      <c r="M326" s="9" t="n">
        <v>96.6</v>
      </c>
      <c r="N326" s="9" t="n">
        <v>72.34</v>
      </c>
      <c r="O326" s="9" t="n">
        <v>32.33</v>
      </c>
      <c r="P326" s="2" t="n">
        <f aca="false">RANK(E326,$E$2:$E$350,0)</f>
        <v>117</v>
      </c>
      <c r="Q326" s="2" t="str">
        <f aca="false">IF(E326&gt;=30,"بسیار بالا",IF(E326&gt;=20,"بالا",IF(E326&gt;=13,"متوسط",IF(E326&gt;=8,"پایین","بسیار پایین"))))</f>
        <v>بالا</v>
      </c>
      <c r="R326" s="10" t="n">
        <v>232.1</v>
      </c>
      <c r="S326" s="11" t="n">
        <v>0.212</v>
      </c>
      <c r="T326" s="8" t="n">
        <v>89</v>
      </c>
      <c r="U326" s="2" t="s">
        <v>54</v>
      </c>
      <c r="V326" s="2" t="s">
        <v>454</v>
      </c>
      <c r="W326" s="2" t="n">
        <v>1</v>
      </c>
      <c r="X326" s="12" t="s">
        <v>46</v>
      </c>
    </row>
    <row r="327" customFormat="false" ht="16.4" hidden="false" customHeight="false" outlineLevel="0" collapsed="false">
      <c r="A327" s="2" t="n">
        <v>326</v>
      </c>
      <c r="B327" s="2" t="n">
        <v>21</v>
      </c>
      <c r="C327" s="2" t="s">
        <v>455</v>
      </c>
      <c r="D327" s="8" t="n">
        <v>9402</v>
      </c>
      <c r="E327" s="9" t="n">
        <v>18.57</v>
      </c>
      <c r="F327" s="9" t="n">
        <v>18.05</v>
      </c>
      <c r="G327" s="9" t="n">
        <v>19.07</v>
      </c>
      <c r="H327" s="9" t="n">
        <v>16</v>
      </c>
      <c r="I327" s="9" t="n">
        <f aca="false">E327-H327</f>
        <v>2.57</v>
      </c>
      <c r="J327" s="8" t="n">
        <f aca="false">ROUND(D327*E327/100,0)</f>
        <v>1746</v>
      </c>
      <c r="K327" s="9" t="n">
        <v>33.87</v>
      </c>
      <c r="L327" s="9" t="n">
        <v>30.82</v>
      </c>
      <c r="M327" s="9" t="n">
        <v>96.34</v>
      </c>
      <c r="N327" s="9" t="n">
        <v>69.38</v>
      </c>
      <c r="O327" s="9" t="n">
        <v>30.37</v>
      </c>
      <c r="P327" s="2" t="n">
        <f aca="false">RANK(E327,$E$2:$E$350,0)</f>
        <v>133</v>
      </c>
      <c r="Q327" s="2" t="str">
        <f aca="false">IF(E327&gt;=30,"بسیار بالا",IF(E327&gt;=20,"بالا",IF(E327&gt;=13,"متوسط",IF(E327&gt;=8,"پایین","بسیار پایین"))))</f>
        <v>متوسط</v>
      </c>
      <c r="R327" s="10" t="n">
        <v>214.3</v>
      </c>
      <c r="S327" s="11" t="n">
        <v>0.142</v>
      </c>
      <c r="T327" s="8" t="n">
        <v>23</v>
      </c>
      <c r="U327" s="2" t="s">
        <v>54</v>
      </c>
      <c r="V327" s="2" t="s">
        <v>455</v>
      </c>
      <c r="W327" s="2" t="n">
        <v>0.99</v>
      </c>
      <c r="X327" s="12" t="s">
        <v>50</v>
      </c>
    </row>
    <row r="328" customFormat="false" ht="16.4" hidden="false" customHeight="false" outlineLevel="0" collapsed="false">
      <c r="A328" s="2" t="n">
        <v>327</v>
      </c>
      <c r="B328" s="2" t="n">
        <v>21</v>
      </c>
      <c r="C328" s="2" t="s">
        <v>456</v>
      </c>
      <c r="D328" s="8" t="n">
        <v>4269</v>
      </c>
      <c r="E328" s="9" t="n">
        <v>16.81</v>
      </c>
      <c r="F328" s="9" t="n">
        <v>16.69</v>
      </c>
      <c r="G328" s="9" t="n">
        <v>16.91</v>
      </c>
      <c r="H328" s="9" t="n">
        <v>16</v>
      </c>
      <c r="I328" s="9" t="n">
        <f aca="false">E328-H328</f>
        <v>0.809999999999999</v>
      </c>
      <c r="J328" s="8" t="n">
        <f aca="false">ROUND(D328*E328/100,0)</f>
        <v>718</v>
      </c>
      <c r="K328" s="9" t="n">
        <v>31.23</v>
      </c>
      <c r="L328" s="9" t="n">
        <v>28.75</v>
      </c>
      <c r="M328" s="9" t="n">
        <v>96.01</v>
      </c>
      <c r="N328" s="9" t="n">
        <v>65.61</v>
      </c>
      <c r="O328" s="9" t="n">
        <v>28.11</v>
      </c>
      <c r="P328" s="2" t="n">
        <f aca="false">RANK(E328,$E$2:$E$350,0)</f>
        <v>157</v>
      </c>
      <c r="Q328" s="2" t="str">
        <f aca="false">IF(E328&gt;=30,"بسیار بالا",IF(E328&gt;=20,"بالا",IF(E328&gt;=13,"متوسط",IF(E328&gt;=8,"پایین","بسیار پایین"))))</f>
        <v>متوسط</v>
      </c>
      <c r="R328" s="10" t="n">
        <v>190.2</v>
      </c>
      <c r="S328" s="11" t="n">
        <v>0.058</v>
      </c>
      <c r="T328" s="8" t="n">
        <v>50</v>
      </c>
      <c r="U328" s="2" t="s">
        <v>45</v>
      </c>
      <c r="V328" s="2" t="s">
        <v>456</v>
      </c>
      <c r="W328" s="2" t="n">
        <v>0.98</v>
      </c>
      <c r="X328" s="12" t="s">
        <v>46</v>
      </c>
    </row>
    <row r="329" customFormat="false" ht="16.4" hidden="false" customHeight="false" outlineLevel="0" collapsed="false">
      <c r="A329" s="2" t="n">
        <v>328</v>
      </c>
      <c r="B329" s="2" t="n">
        <v>21</v>
      </c>
      <c r="C329" s="2" t="s">
        <v>457</v>
      </c>
      <c r="D329" s="8" t="n">
        <v>19615</v>
      </c>
      <c r="E329" s="9" t="n">
        <v>16.26</v>
      </c>
      <c r="F329" s="9" t="n">
        <v>16.24</v>
      </c>
      <c r="G329" s="9" t="n">
        <v>16.26</v>
      </c>
      <c r="H329" s="9" t="n">
        <v>16</v>
      </c>
      <c r="I329" s="9" t="n">
        <f aca="false">E329-H329</f>
        <v>0.260000000000002</v>
      </c>
      <c r="J329" s="8" t="n">
        <f aca="false">ROUND(D329*E329/100,0)</f>
        <v>3189</v>
      </c>
      <c r="K329" s="9" t="n">
        <v>30.38</v>
      </c>
      <c r="L329" s="9" t="n">
        <v>28.08</v>
      </c>
      <c r="M329" s="9" t="n">
        <v>95.9</v>
      </c>
      <c r="N329" s="9" t="n">
        <v>64.32</v>
      </c>
      <c r="O329" s="9" t="n">
        <v>27.39</v>
      </c>
      <c r="P329" s="2" t="n">
        <f aca="false">RANK(E329,$E$2:$E$350,0)</f>
        <v>163</v>
      </c>
      <c r="Q329" s="2" t="str">
        <f aca="false">IF(E329&gt;=30,"بسیار بالا",IF(E329&gt;=20,"بالا",IF(E329&gt;=13,"متوسط",IF(E329&gt;=8,"پایین","بسیار پایین"))))</f>
        <v>متوسط</v>
      </c>
      <c r="R329" s="10" t="n">
        <v>198</v>
      </c>
      <c r="S329" s="11" t="n">
        <v>0.03</v>
      </c>
      <c r="T329" s="8" t="n">
        <v>84</v>
      </c>
      <c r="U329" s="2" t="s">
        <v>54</v>
      </c>
      <c r="V329" s="2" t="s">
        <v>458</v>
      </c>
      <c r="W329" s="2" t="n">
        <v>0.99</v>
      </c>
      <c r="X329" s="12" t="s">
        <v>46</v>
      </c>
    </row>
    <row r="330" customFormat="false" ht="16.4" hidden="false" customHeight="false" outlineLevel="0" collapsed="false">
      <c r="A330" s="2" t="n">
        <v>329</v>
      </c>
      <c r="B330" s="2" t="n">
        <v>21</v>
      </c>
      <c r="C330" s="2" t="s">
        <v>459</v>
      </c>
      <c r="D330" s="8" t="n">
        <v>60163</v>
      </c>
      <c r="E330" s="9" t="n">
        <v>15.69</v>
      </c>
      <c r="F330" s="9" t="n">
        <v>15.56</v>
      </c>
      <c r="G330" s="9" t="n">
        <v>15.81</v>
      </c>
      <c r="H330" s="9" t="n">
        <v>16</v>
      </c>
      <c r="I330" s="9" t="n">
        <f aca="false">E330-H330</f>
        <v>-0.310000000000001</v>
      </c>
      <c r="J330" s="8" t="n">
        <f aca="false">ROUND(D330*E330/100,0)</f>
        <v>9440</v>
      </c>
      <c r="K330" s="9" t="n">
        <v>29.49</v>
      </c>
      <c r="L330" s="9" t="n">
        <v>27.38</v>
      </c>
      <c r="M330" s="9" t="n">
        <v>95.78</v>
      </c>
      <c r="N330" s="9" t="n">
        <v>62.92</v>
      </c>
      <c r="O330" s="9" t="n">
        <v>26.64</v>
      </c>
      <c r="P330" s="2" t="n">
        <f aca="false">RANK(E330,$E$2:$E$350,0)</f>
        <v>171</v>
      </c>
      <c r="Q330" s="2" t="str">
        <f aca="false">IF(E330&gt;=30,"بسیار بالا",IF(E330&gt;=20,"بالا",IF(E330&gt;=13,"متوسط",IF(E330&gt;=8,"پایین","بسیار پایین"))))</f>
        <v>متوسط</v>
      </c>
      <c r="R330" s="10"/>
      <c r="S330" s="11" t="n">
        <v>0</v>
      </c>
      <c r="T330" s="8" t="n">
        <v>0</v>
      </c>
      <c r="U330" s="2" t="s">
        <v>64</v>
      </c>
      <c r="V330" s="12" t="s">
        <v>65</v>
      </c>
      <c r="W330" s="2" t="n">
        <v>0</v>
      </c>
      <c r="X330" s="12" t="s">
        <v>66</v>
      </c>
    </row>
    <row r="331" customFormat="false" ht="16.4" hidden="false" customHeight="false" outlineLevel="0" collapsed="false">
      <c r="A331" s="2" t="n">
        <v>330</v>
      </c>
      <c r="B331" s="2" t="n">
        <v>21</v>
      </c>
      <c r="C331" s="2" t="s">
        <v>200</v>
      </c>
      <c r="D331" s="8" t="n">
        <v>7662</v>
      </c>
      <c r="E331" s="9" t="n">
        <v>15.69</v>
      </c>
      <c r="F331" s="9" t="n">
        <v>15.56</v>
      </c>
      <c r="G331" s="9" t="n">
        <v>15.81</v>
      </c>
      <c r="H331" s="9" t="n">
        <v>16</v>
      </c>
      <c r="I331" s="9" t="n">
        <f aca="false">E331-H331</f>
        <v>-0.310000000000001</v>
      </c>
      <c r="J331" s="8" t="n">
        <f aca="false">ROUND(D331*E331/100,0)</f>
        <v>1202</v>
      </c>
      <c r="K331" s="9" t="n">
        <v>29.49</v>
      </c>
      <c r="L331" s="9" t="n">
        <v>27.38</v>
      </c>
      <c r="M331" s="9" t="n">
        <v>95.78</v>
      </c>
      <c r="N331" s="9" t="n">
        <v>62.92</v>
      </c>
      <c r="O331" s="9" t="n">
        <v>26.64</v>
      </c>
      <c r="P331" s="2" t="n">
        <f aca="false">RANK(E331,$E$2:$E$350,0)</f>
        <v>171</v>
      </c>
      <c r="Q331" s="2" t="str">
        <f aca="false">IF(E331&gt;=30,"بسیار بالا",IF(E331&gt;=20,"بالا",IF(E331&gt;=13,"متوسط",IF(E331&gt;=8,"پایین","بسیار پایین"))))</f>
        <v>متوسط</v>
      </c>
      <c r="R331" s="10"/>
      <c r="S331" s="11" t="n">
        <v>0</v>
      </c>
      <c r="T331" s="8" t="n">
        <v>0</v>
      </c>
      <c r="U331" s="2" t="s">
        <v>64</v>
      </c>
      <c r="V331" s="12" t="s">
        <v>65</v>
      </c>
      <c r="W331" s="2" t="n">
        <v>0</v>
      </c>
      <c r="X331" s="12" t="s">
        <v>66</v>
      </c>
    </row>
    <row r="332" customFormat="false" ht="16.4" hidden="false" customHeight="false" outlineLevel="0" collapsed="false">
      <c r="A332" s="2" t="n">
        <v>331</v>
      </c>
      <c r="B332" s="2" t="n">
        <v>21</v>
      </c>
      <c r="C332" s="2" t="s">
        <v>460</v>
      </c>
      <c r="D332" s="8" t="n">
        <v>2453</v>
      </c>
      <c r="E332" s="9" t="n">
        <v>15.69</v>
      </c>
      <c r="F332" s="9" t="n">
        <v>15.56</v>
      </c>
      <c r="G332" s="9" t="n">
        <v>15.81</v>
      </c>
      <c r="H332" s="9" t="n">
        <v>16</v>
      </c>
      <c r="I332" s="9" t="n">
        <f aca="false">E332-H332</f>
        <v>-0.310000000000001</v>
      </c>
      <c r="J332" s="8" t="n">
        <f aca="false">ROUND(D332*E332/100,0)</f>
        <v>385</v>
      </c>
      <c r="K332" s="9" t="n">
        <v>29.49</v>
      </c>
      <c r="L332" s="9" t="n">
        <v>27.38</v>
      </c>
      <c r="M332" s="9" t="n">
        <v>95.78</v>
      </c>
      <c r="N332" s="9" t="n">
        <v>62.92</v>
      </c>
      <c r="O332" s="9" t="n">
        <v>26.64</v>
      </c>
      <c r="P332" s="2" t="n">
        <f aca="false">RANK(E332,$E$2:$E$350,0)</f>
        <v>171</v>
      </c>
      <c r="Q332" s="2" t="str">
        <f aca="false">IF(E332&gt;=30,"بسیار بالا",IF(E332&gt;=20,"بالا",IF(E332&gt;=13,"متوسط",IF(E332&gt;=8,"پایین","بسیار پایین"))))</f>
        <v>متوسط</v>
      </c>
      <c r="R332" s="10"/>
      <c r="S332" s="11" t="n">
        <v>0</v>
      </c>
      <c r="T332" s="8" t="n">
        <v>0</v>
      </c>
      <c r="U332" s="2" t="s">
        <v>64</v>
      </c>
      <c r="V332" s="12" t="s">
        <v>65</v>
      </c>
      <c r="W332" s="2" t="n">
        <v>0</v>
      </c>
      <c r="X332" s="12" t="s">
        <v>66</v>
      </c>
    </row>
    <row r="333" customFormat="false" ht="16.4" hidden="false" customHeight="false" outlineLevel="0" collapsed="false">
      <c r="A333" s="2" t="n">
        <v>332</v>
      </c>
      <c r="B333" s="2" t="n">
        <v>21</v>
      </c>
      <c r="C333" s="2" t="s">
        <v>461</v>
      </c>
      <c r="D333" s="8" t="n">
        <v>4398</v>
      </c>
      <c r="E333" s="9" t="n">
        <v>15.08</v>
      </c>
      <c r="F333" s="9" t="n">
        <v>14.82</v>
      </c>
      <c r="G333" s="9" t="n">
        <v>15.32</v>
      </c>
      <c r="H333" s="9" t="n">
        <v>16</v>
      </c>
      <c r="I333" s="9" t="n">
        <f aca="false">E333-H333</f>
        <v>-0.92</v>
      </c>
      <c r="J333" s="8" t="n">
        <f aca="false">ROUND(D333*E333/100,0)</f>
        <v>663</v>
      </c>
      <c r="K333" s="9" t="n">
        <v>28.52</v>
      </c>
      <c r="L333" s="9" t="n">
        <v>26.62</v>
      </c>
      <c r="M333" s="9" t="n">
        <v>95.63</v>
      </c>
      <c r="N333" s="9" t="n">
        <v>61.33</v>
      </c>
      <c r="O333" s="9" t="n">
        <v>25.8</v>
      </c>
      <c r="P333" s="2" t="n">
        <f aca="false">RANK(E333,$E$2:$E$350,0)</f>
        <v>179</v>
      </c>
      <c r="Q333" s="2" t="str">
        <f aca="false">IF(E333&gt;=30,"بسیار بالا",IF(E333&gt;=20,"بالا",IF(E333&gt;=13,"متوسط",IF(E333&gt;=8,"پایین","بسیار پایین"))))</f>
        <v>متوسط</v>
      </c>
      <c r="R333" s="10" t="n">
        <v>220.5</v>
      </c>
      <c r="S333" s="11" t="n">
        <v>-0.033</v>
      </c>
      <c r="T333" s="8" t="n">
        <v>79</v>
      </c>
      <c r="U333" s="2" t="s">
        <v>54</v>
      </c>
      <c r="V333" s="2" t="s">
        <v>462</v>
      </c>
      <c r="W333" s="2" t="n">
        <v>0.94</v>
      </c>
      <c r="X333" s="12" t="s">
        <v>46</v>
      </c>
    </row>
    <row r="334" customFormat="false" ht="16.4" hidden="false" customHeight="false" outlineLevel="0" collapsed="false">
      <c r="A334" s="2" t="n">
        <v>333</v>
      </c>
      <c r="B334" s="2" t="n">
        <v>21</v>
      </c>
      <c r="C334" s="2" t="s">
        <v>463</v>
      </c>
      <c r="D334" s="8" t="n">
        <v>11759</v>
      </c>
      <c r="E334" s="9" t="n">
        <v>12.56</v>
      </c>
      <c r="F334" s="9" t="n">
        <v>11.85</v>
      </c>
      <c r="G334" s="9" t="n">
        <v>13.28</v>
      </c>
      <c r="H334" s="9" t="n">
        <v>16</v>
      </c>
      <c r="I334" s="9" t="n">
        <f aca="false">E334-H334</f>
        <v>-3.44</v>
      </c>
      <c r="J334" s="8" t="n">
        <f aca="false">ROUND(D334*E334/100,0)</f>
        <v>1477</v>
      </c>
      <c r="K334" s="9" t="n">
        <v>24.4</v>
      </c>
      <c r="L334" s="9" t="n">
        <v>23.35</v>
      </c>
      <c r="M334" s="9" t="n">
        <v>94.93</v>
      </c>
      <c r="N334" s="9" t="n">
        <v>53.95</v>
      </c>
      <c r="O334" s="9" t="n">
        <v>22.3</v>
      </c>
      <c r="P334" s="2" t="n">
        <f aca="false">RANK(E334,$E$2:$E$350,0)</f>
        <v>216</v>
      </c>
      <c r="Q334" s="2" t="str">
        <f aca="false">IF(E334&gt;=30,"بسیار بالا",IF(E334&gt;=20,"بالا",IF(E334&gt;=13,"متوسط",IF(E334&gt;=8,"پایین","بسیار پایین"))))</f>
        <v>پایین</v>
      </c>
      <c r="R334" s="10" t="n">
        <v>158.7</v>
      </c>
      <c r="S334" s="11" t="n">
        <v>-0.182</v>
      </c>
      <c r="T334" s="8" t="n">
        <v>86</v>
      </c>
      <c r="U334" s="2" t="s">
        <v>106</v>
      </c>
      <c r="V334" s="2" t="s">
        <v>464</v>
      </c>
      <c r="W334" s="2" t="n">
        <v>0.98</v>
      </c>
      <c r="X334" s="12" t="s">
        <v>50</v>
      </c>
    </row>
    <row r="335" customFormat="false" ht="16.4" hidden="false" customHeight="false" outlineLevel="0" collapsed="false">
      <c r="A335" s="2" t="n">
        <v>334</v>
      </c>
      <c r="B335" s="2" t="n">
        <v>21</v>
      </c>
      <c r="C335" s="2" t="s">
        <v>465</v>
      </c>
      <c r="D335" s="8" t="n">
        <v>12924</v>
      </c>
      <c r="E335" s="9" t="n">
        <v>10.01</v>
      </c>
      <c r="F335" s="9" t="n">
        <v>8.98</v>
      </c>
      <c r="G335" s="9" t="n">
        <v>11.13</v>
      </c>
      <c r="H335" s="9" t="n">
        <v>16</v>
      </c>
      <c r="I335" s="9" t="n">
        <f aca="false">E335-H335</f>
        <v>-5.99</v>
      </c>
      <c r="J335" s="8" t="n">
        <f aca="false">ROUND(D335*E335/100,0)</f>
        <v>1294</v>
      </c>
      <c r="K335" s="9" t="n">
        <v>20</v>
      </c>
      <c r="L335" s="9" t="n">
        <v>19.8</v>
      </c>
      <c r="M335" s="9" t="n">
        <v>93.93</v>
      </c>
      <c r="N335" s="9" t="n">
        <v>44.85</v>
      </c>
      <c r="O335" s="9" t="n">
        <v>18.54</v>
      </c>
      <c r="P335" s="2" t="n">
        <f aca="false">RANK(E335,$E$2:$E$350,0)</f>
        <v>250</v>
      </c>
      <c r="Q335" s="2" t="str">
        <f aca="false">IF(E335&gt;=30,"بسیار بالا",IF(E335&gt;=20,"بالا",IF(E335&gt;=13,"متوسط",IF(E335&gt;=8,"پایین","بسیار پایین"))))</f>
        <v>پایین</v>
      </c>
      <c r="R335" s="10" t="n">
        <v>144.3</v>
      </c>
      <c r="S335" s="11" t="n">
        <v>-0.361</v>
      </c>
      <c r="T335" s="8" t="n">
        <v>86</v>
      </c>
      <c r="U335" s="2" t="s">
        <v>45</v>
      </c>
      <c r="V335" s="2" t="s">
        <v>465</v>
      </c>
      <c r="W335" s="2" t="n">
        <v>0.98</v>
      </c>
      <c r="X335" s="12" t="s">
        <v>46</v>
      </c>
    </row>
    <row r="336" customFormat="false" ht="16.4" hidden="false" customHeight="false" outlineLevel="0" collapsed="false">
      <c r="A336" s="2" t="n">
        <v>335</v>
      </c>
      <c r="B336" s="2" t="n">
        <v>21</v>
      </c>
      <c r="C336" s="2" t="s">
        <v>466</v>
      </c>
      <c r="D336" s="8" t="n">
        <v>1556</v>
      </c>
      <c r="E336" s="9" t="n">
        <v>9.46</v>
      </c>
      <c r="F336" s="9" t="n">
        <v>8.38</v>
      </c>
      <c r="G336" s="9" t="n">
        <v>10.65</v>
      </c>
      <c r="H336" s="9" t="n">
        <v>16</v>
      </c>
      <c r="I336" s="9" t="n">
        <f aca="false">E336-H336</f>
        <v>-6.54</v>
      </c>
      <c r="J336" s="8" t="n">
        <f aca="false">ROUND(D336*E336/100,0)</f>
        <v>147</v>
      </c>
      <c r="K336" s="9" t="n">
        <v>19.02</v>
      </c>
      <c r="L336" s="9" t="n">
        <v>19</v>
      </c>
      <c r="M336" s="9" t="n">
        <v>93.66</v>
      </c>
      <c r="N336" s="9" t="n">
        <v>42.65</v>
      </c>
      <c r="O336" s="9" t="n">
        <v>17.7</v>
      </c>
      <c r="P336" s="2" t="n">
        <f aca="false">RANK(E336,$E$2:$E$350,0)</f>
        <v>256</v>
      </c>
      <c r="Q336" s="2" t="str">
        <f aca="false">IF(E336&gt;=30,"بسیار بالا",IF(E336&gt;=20,"بالا",IF(E336&gt;=13,"متوسط",IF(E336&gt;=8,"پایین","بسیار پایین"))))</f>
        <v>پایین</v>
      </c>
      <c r="R336" s="10" t="n">
        <v>121.4</v>
      </c>
      <c r="S336" s="11" t="n">
        <v>-0.405</v>
      </c>
      <c r="T336" s="8" t="n">
        <v>59</v>
      </c>
      <c r="U336" s="2" t="s">
        <v>45</v>
      </c>
      <c r="V336" s="2" t="s">
        <v>466</v>
      </c>
      <c r="W336" s="2" t="n">
        <v>0.98</v>
      </c>
      <c r="X336" s="12" t="s">
        <v>46</v>
      </c>
    </row>
    <row r="337" customFormat="false" ht="16.4" hidden="false" customHeight="false" outlineLevel="0" collapsed="false">
      <c r="A337" s="2" t="n">
        <v>336</v>
      </c>
      <c r="B337" s="2" t="n">
        <v>21</v>
      </c>
      <c r="C337" s="2" t="s">
        <v>467</v>
      </c>
      <c r="D337" s="8" t="n">
        <v>1309</v>
      </c>
      <c r="E337" s="9" t="n">
        <v>9.29</v>
      </c>
      <c r="F337" s="9" t="n">
        <v>8.19</v>
      </c>
      <c r="G337" s="9" t="n">
        <v>10.5</v>
      </c>
      <c r="H337" s="9" t="n">
        <v>16</v>
      </c>
      <c r="I337" s="9" t="n">
        <f aca="false">E337-H337</f>
        <v>-6.71</v>
      </c>
      <c r="J337" s="8" t="n">
        <f aca="false">ROUND(D337*E337/100,0)</f>
        <v>122</v>
      </c>
      <c r="K337" s="9" t="n">
        <v>18.71</v>
      </c>
      <c r="L337" s="9" t="n">
        <v>18.74</v>
      </c>
      <c r="M337" s="9" t="n">
        <v>93.58</v>
      </c>
      <c r="N337" s="9" t="n">
        <v>41.95</v>
      </c>
      <c r="O337" s="9" t="n">
        <v>17.44</v>
      </c>
      <c r="P337" s="2" t="n">
        <f aca="false">RANK(E337,$E$2:$E$350,0)</f>
        <v>258</v>
      </c>
      <c r="Q337" s="2" t="str">
        <f aca="false">IF(E337&gt;=30,"بسیار بالا",IF(E337&gt;=20,"بالا",IF(E337&gt;=13,"متوسط",IF(E337&gt;=8,"پایین","بسیار پایین"))))</f>
        <v>پایین</v>
      </c>
      <c r="R337" s="10" t="n">
        <v>104</v>
      </c>
      <c r="S337" s="11" t="n">
        <v>-0.419</v>
      </c>
      <c r="T337" s="8" t="n">
        <v>2</v>
      </c>
      <c r="U337" s="2" t="s">
        <v>45</v>
      </c>
      <c r="V337" s="2" t="s">
        <v>467</v>
      </c>
      <c r="W337" s="2" t="n">
        <v>0.71</v>
      </c>
      <c r="X337" s="12" t="s">
        <v>112</v>
      </c>
    </row>
    <row r="338" customFormat="false" ht="16.4" hidden="false" customHeight="false" outlineLevel="0" collapsed="false">
      <c r="A338" s="2" t="n">
        <v>337</v>
      </c>
      <c r="B338" s="2" t="n">
        <v>21</v>
      </c>
      <c r="C338" s="2" t="s">
        <v>468</v>
      </c>
      <c r="D338" s="8" t="n">
        <v>6885</v>
      </c>
      <c r="E338" s="9" t="n">
        <v>8.49</v>
      </c>
      <c r="F338" s="9" t="n">
        <v>7.33</v>
      </c>
      <c r="G338" s="9" t="n">
        <v>9.79</v>
      </c>
      <c r="H338" s="9" t="n">
        <v>16</v>
      </c>
      <c r="I338" s="9" t="n">
        <f aca="false">E338-H338</f>
        <v>-7.51</v>
      </c>
      <c r="J338" s="8" t="n">
        <f aca="false">ROUND(D338*E338/100,0)</f>
        <v>585</v>
      </c>
      <c r="K338" s="9" t="n">
        <v>17.25</v>
      </c>
      <c r="L338" s="9" t="n">
        <v>17.54</v>
      </c>
      <c r="M338" s="9" t="n">
        <v>93.12</v>
      </c>
      <c r="N338" s="9" t="n">
        <v>38.55</v>
      </c>
      <c r="O338" s="9" t="n">
        <v>16.19</v>
      </c>
      <c r="P338" s="2" t="n">
        <f aca="false">RANK(E338,$E$2:$E$350,0)</f>
        <v>276</v>
      </c>
      <c r="Q338" s="2" t="str">
        <f aca="false">IF(E338&gt;=30,"بسیار بالا",IF(E338&gt;=20,"بالا",IF(E338&gt;=13,"متوسط",IF(E338&gt;=8,"پایین","بسیار پایین"))))</f>
        <v>پایین</v>
      </c>
      <c r="R338" s="10" t="n">
        <v>110</v>
      </c>
      <c r="S338" s="11" t="n">
        <v>-0.489</v>
      </c>
      <c r="T338" s="8" t="n">
        <v>41</v>
      </c>
      <c r="U338" s="2" t="s">
        <v>45</v>
      </c>
      <c r="V338" s="2" t="s">
        <v>468</v>
      </c>
      <c r="W338" s="2" t="n">
        <v>0.97</v>
      </c>
      <c r="X338" s="12" t="s">
        <v>46</v>
      </c>
    </row>
    <row r="339" customFormat="false" ht="16.4" hidden="false" customHeight="false" outlineLevel="0" collapsed="false">
      <c r="A339" s="2" t="n">
        <v>338</v>
      </c>
      <c r="B339" s="2" t="n">
        <v>22</v>
      </c>
      <c r="C339" s="2" t="s">
        <v>469</v>
      </c>
      <c r="D339" s="8" t="n">
        <v>12676</v>
      </c>
      <c r="E339" s="9" t="n">
        <v>21.9</v>
      </c>
      <c r="F339" s="9" t="n">
        <v>21.29</v>
      </c>
      <c r="G339" s="9" t="n">
        <v>22.52</v>
      </c>
      <c r="H339" s="9" t="n">
        <v>19.1</v>
      </c>
      <c r="I339" s="9" t="n">
        <f aca="false">E339-H339</f>
        <v>2.8</v>
      </c>
      <c r="J339" s="8" t="n">
        <f aca="false">ROUND(D339*E339/100,0)</f>
        <v>2776</v>
      </c>
      <c r="K339" s="9" t="n">
        <v>37.58</v>
      </c>
      <c r="L339" s="9" t="n">
        <v>34.87</v>
      </c>
      <c r="M339" s="9" t="n">
        <v>96.92</v>
      </c>
      <c r="N339" s="9" t="n">
        <v>78.36</v>
      </c>
      <c r="O339" s="9" t="n">
        <v>36.99</v>
      </c>
      <c r="P339" s="2" t="n">
        <f aca="false">RANK(E339,$E$2:$E$350,0)</f>
        <v>102</v>
      </c>
      <c r="Q339" s="2" t="str">
        <f aca="false">IF(E339&gt;=30,"بسیار بالا",IF(E339&gt;=20,"بالا",IF(E339&gt;=13,"متوسط",IF(E339&gt;=8,"پایین","بسیار پایین"))))</f>
        <v>بالا</v>
      </c>
      <c r="R339" s="10" t="n">
        <v>249.1</v>
      </c>
      <c r="S339" s="11" t="n">
        <v>0.123</v>
      </c>
      <c r="T339" s="8" t="n">
        <v>62</v>
      </c>
      <c r="U339" s="2" t="s">
        <v>45</v>
      </c>
      <c r="V339" s="2" t="s">
        <v>470</v>
      </c>
      <c r="W339" s="2" t="n">
        <v>0.98</v>
      </c>
      <c r="X339" s="12" t="s">
        <v>46</v>
      </c>
    </row>
    <row r="340" customFormat="false" ht="16.4" hidden="false" customHeight="false" outlineLevel="0" collapsed="false">
      <c r="A340" s="2" t="n">
        <v>339</v>
      </c>
      <c r="B340" s="2" t="n">
        <v>22</v>
      </c>
      <c r="C340" s="2" t="s">
        <v>471</v>
      </c>
      <c r="D340" s="8" t="n">
        <v>5475</v>
      </c>
      <c r="E340" s="9" t="n">
        <v>21.12</v>
      </c>
      <c r="F340" s="9" t="n">
        <v>20.69</v>
      </c>
      <c r="G340" s="9" t="n">
        <v>21.56</v>
      </c>
      <c r="H340" s="9" t="n">
        <v>19.1</v>
      </c>
      <c r="I340" s="9" t="n">
        <f aca="false">E340-H340</f>
        <v>2.02</v>
      </c>
      <c r="J340" s="8" t="n">
        <f aca="false">ROUND(D340*E340/100,0)</f>
        <v>1156</v>
      </c>
      <c r="K340" s="9" t="n">
        <v>36.5</v>
      </c>
      <c r="L340" s="9" t="n">
        <v>34.02</v>
      </c>
      <c r="M340" s="9" t="n">
        <v>96.82</v>
      </c>
      <c r="N340" s="9" t="n">
        <v>77.22</v>
      </c>
      <c r="O340" s="9" t="n">
        <v>36.02</v>
      </c>
      <c r="P340" s="2" t="n">
        <f aca="false">RANK(E340,$E$2:$E$350,0)</f>
        <v>107</v>
      </c>
      <c r="Q340" s="2" t="str">
        <f aca="false">IF(E340&gt;=30,"بسیار بالا",IF(E340&gt;=20,"بالا",IF(E340&gt;=13,"متوسط",IF(E340&gt;=8,"پایین","بسیار پایین"))))</f>
        <v>بالا</v>
      </c>
      <c r="R340" s="10" t="n">
        <v>239.6</v>
      </c>
      <c r="S340" s="11" t="n">
        <v>0.091</v>
      </c>
      <c r="T340" s="8" t="n">
        <v>72</v>
      </c>
      <c r="U340" s="2" t="s">
        <v>45</v>
      </c>
      <c r="V340" s="2" t="s">
        <v>471</v>
      </c>
      <c r="W340" s="2" t="n">
        <v>0.98</v>
      </c>
      <c r="X340" s="12" t="s">
        <v>46</v>
      </c>
    </row>
    <row r="341" customFormat="false" ht="16.4" hidden="false" customHeight="false" outlineLevel="0" collapsed="false">
      <c r="A341" s="2" t="n">
        <v>340</v>
      </c>
      <c r="B341" s="2" t="n">
        <v>22</v>
      </c>
      <c r="C341" s="2" t="s">
        <v>472</v>
      </c>
      <c r="D341" s="8" t="n">
        <v>12360</v>
      </c>
      <c r="E341" s="9" t="n">
        <v>20.53</v>
      </c>
      <c r="F341" s="9" t="n">
        <v>20.23</v>
      </c>
      <c r="G341" s="9" t="n">
        <v>20.84</v>
      </c>
      <c r="H341" s="9" t="n">
        <v>19.1</v>
      </c>
      <c r="I341" s="9" t="n">
        <f aca="false">E341-H341</f>
        <v>1.43</v>
      </c>
      <c r="J341" s="8" t="n">
        <f aca="false">ROUND(D341*E341/100,0)</f>
        <v>2538</v>
      </c>
      <c r="K341" s="9" t="n">
        <v>35.68</v>
      </c>
      <c r="L341" s="9" t="n">
        <v>33.36</v>
      </c>
      <c r="M341" s="9" t="n">
        <v>96.74</v>
      </c>
      <c r="N341" s="9" t="n">
        <v>76.31</v>
      </c>
      <c r="O341" s="9" t="n">
        <v>35.28</v>
      </c>
      <c r="P341" s="2" t="n">
        <f aca="false">RANK(E341,$E$2:$E$350,0)</f>
        <v>111</v>
      </c>
      <c r="Q341" s="2" t="str">
        <f aca="false">IF(E341&gt;=30,"بسیار بالا",IF(E341&gt;=20,"بالا",IF(E341&gt;=13,"متوسط",IF(E341&gt;=8,"پایین","بسیار پایین"))))</f>
        <v>بالا</v>
      </c>
      <c r="R341" s="10" t="n">
        <v>229.3</v>
      </c>
      <c r="S341" s="11" t="n">
        <v>0.066</v>
      </c>
      <c r="T341" s="8" t="n">
        <v>86</v>
      </c>
      <c r="U341" s="2" t="s">
        <v>45</v>
      </c>
      <c r="V341" s="2" t="s">
        <v>472</v>
      </c>
      <c r="W341" s="2" t="n">
        <v>0.97</v>
      </c>
      <c r="X341" s="12" t="s">
        <v>46</v>
      </c>
    </row>
    <row r="342" customFormat="false" ht="16.4" hidden="false" customHeight="false" outlineLevel="0" collapsed="false">
      <c r="A342" s="2" t="n">
        <v>341</v>
      </c>
      <c r="B342" s="2" t="n">
        <v>22</v>
      </c>
      <c r="C342" s="2" t="s">
        <v>473</v>
      </c>
      <c r="D342" s="8" t="n">
        <v>17397</v>
      </c>
      <c r="E342" s="9" t="n">
        <v>20.46</v>
      </c>
      <c r="F342" s="9" t="n">
        <v>20.17</v>
      </c>
      <c r="G342" s="9" t="n">
        <v>20.74</v>
      </c>
      <c r="H342" s="9" t="n">
        <v>19.1</v>
      </c>
      <c r="I342" s="9" t="n">
        <f aca="false">E342-H342</f>
        <v>1.36</v>
      </c>
      <c r="J342" s="8" t="n">
        <f aca="false">ROUND(D342*E342/100,0)</f>
        <v>3559</v>
      </c>
      <c r="K342" s="9" t="n">
        <v>35.57</v>
      </c>
      <c r="L342" s="9" t="n">
        <v>33.27</v>
      </c>
      <c r="M342" s="9" t="n">
        <v>96.73</v>
      </c>
      <c r="N342" s="9" t="n">
        <v>76.19</v>
      </c>
      <c r="O342" s="9" t="n">
        <v>35.18</v>
      </c>
      <c r="P342" s="2" t="n">
        <f aca="false">RANK(E342,$E$2:$E$350,0)</f>
        <v>112</v>
      </c>
      <c r="Q342" s="2" t="str">
        <f aca="false">IF(E342&gt;=30,"بسیار بالا",IF(E342&gt;=20,"بالا",IF(E342&gt;=13,"متوسط",IF(E342&gt;=8,"پایین","بسیار پایین"))))</f>
        <v>بالا</v>
      </c>
      <c r="R342" s="10" t="n">
        <v>218.8</v>
      </c>
      <c r="S342" s="11" t="n">
        <v>0.062</v>
      </c>
      <c r="T342" s="8" t="n">
        <v>85</v>
      </c>
      <c r="U342" s="2" t="s">
        <v>45</v>
      </c>
      <c r="V342" s="2" t="s">
        <v>473</v>
      </c>
      <c r="W342" s="2" t="n">
        <v>0.99</v>
      </c>
      <c r="X342" s="12" t="s">
        <v>46</v>
      </c>
    </row>
    <row r="343" customFormat="false" ht="16.4" hidden="false" customHeight="false" outlineLevel="0" collapsed="false">
      <c r="A343" s="2" t="n">
        <v>342</v>
      </c>
      <c r="B343" s="2" t="n">
        <v>22</v>
      </c>
      <c r="C343" s="2" t="s">
        <v>474</v>
      </c>
      <c r="D343" s="8" t="n">
        <v>6706</v>
      </c>
      <c r="E343" s="9" t="n">
        <v>19.78</v>
      </c>
      <c r="F343" s="9" t="n">
        <v>19.64</v>
      </c>
      <c r="G343" s="9" t="n">
        <v>19.91</v>
      </c>
      <c r="H343" s="9" t="n">
        <v>19.1</v>
      </c>
      <c r="I343" s="9" t="n">
        <f aca="false">E343-H343</f>
        <v>0.68</v>
      </c>
      <c r="J343" s="8" t="n">
        <f aca="false">ROUND(D343*E343/100,0)</f>
        <v>1326</v>
      </c>
      <c r="K343" s="9" t="n">
        <v>34.61</v>
      </c>
      <c r="L343" s="9" t="n">
        <v>32.51</v>
      </c>
      <c r="M343" s="9" t="n">
        <v>96.63</v>
      </c>
      <c r="N343" s="9" t="n">
        <v>75.08</v>
      </c>
      <c r="O343" s="9" t="n">
        <v>34.32</v>
      </c>
      <c r="P343" s="2" t="n">
        <f aca="false">RANK(E343,$E$2:$E$350,0)</f>
        <v>121</v>
      </c>
      <c r="Q343" s="2" t="str">
        <f aca="false">IF(E343&gt;=30,"بسیار بالا",IF(E343&gt;=20,"بالا",IF(E343&gt;=13,"متوسط",IF(E343&gt;=8,"پایین","بسیار پایین"))))</f>
        <v>متوسط</v>
      </c>
      <c r="R343" s="10" t="n">
        <v>207.6</v>
      </c>
      <c r="S343" s="11" t="n">
        <v>0.033</v>
      </c>
      <c r="T343" s="8" t="n">
        <v>48</v>
      </c>
      <c r="U343" s="2" t="s">
        <v>45</v>
      </c>
      <c r="V343" s="2" t="s">
        <v>474</v>
      </c>
      <c r="W343" s="2" t="n">
        <v>0.97</v>
      </c>
      <c r="X343" s="12" t="s">
        <v>46</v>
      </c>
    </row>
    <row r="344" customFormat="false" ht="16.4" hidden="false" customHeight="false" outlineLevel="0" collapsed="false">
      <c r="A344" s="2" t="n">
        <v>343</v>
      </c>
      <c r="B344" s="2" t="n">
        <v>22</v>
      </c>
      <c r="C344" s="2" t="s">
        <v>475</v>
      </c>
      <c r="D344" s="8" t="n">
        <v>20338</v>
      </c>
      <c r="E344" s="9" t="n">
        <v>19.36</v>
      </c>
      <c r="F344" s="9" t="n">
        <v>19.31</v>
      </c>
      <c r="G344" s="9" t="n">
        <v>19.4</v>
      </c>
      <c r="H344" s="9" t="n">
        <v>19.1</v>
      </c>
      <c r="I344" s="9" t="n">
        <f aca="false">E344-H344</f>
        <v>0.259999999999998</v>
      </c>
      <c r="J344" s="8" t="n">
        <f aca="false">ROUND(D344*E344/100,0)</f>
        <v>3937</v>
      </c>
      <c r="K344" s="9" t="n">
        <v>34.01</v>
      </c>
      <c r="L344" s="9" t="n">
        <v>32.03</v>
      </c>
      <c r="M344" s="9" t="n">
        <v>96.56</v>
      </c>
      <c r="N344" s="9" t="n">
        <v>74.36</v>
      </c>
      <c r="O344" s="9" t="n">
        <v>33.77</v>
      </c>
      <c r="P344" s="2" t="n">
        <f aca="false">RANK(E344,$E$2:$E$350,0)</f>
        <v>126</v>
      </c>
      <c r="Q344" s="2" t="str">
        <f aca="false">IF(E344&gt;=30,"بسیار بالا",IF(E344&gt;=20,"بالا",IF(E344&gt;=13,"متوسط",IF(E344&gt;=8,"پایین","بسیار پایین"))))</f>
        <v>متوسط</v>
      </c>
      <c r="R344" s="10" t="n">
        <v>247.6</v>
      </c>
      <c r="S344" s="11" t="n">
        <v>0.014</v>
      </c>
      <c r="T344" s="8" t="n">
        <v>81</v>
      </c>
      <c r="U344" s="2" t="s">
        <v>45</v>
      </c>
      <c r="V344" s="2" t="s">
        <v>271</v>
      </c>
      <c r="W344" s="2" t="n">
        <v>0.92</v>
      </c>
      <c r="X344" s="12" t="s">
        <v>46</v>
      </c>
    </row>
    <row r="345" customFormat="false" ht="16.4" hidden="false" customHeight="false" outlineLevel="0" collapsed="false">
      <c r="A345" s="2" t="n">
        <v>344</v>
      </c>
      <c r="B345" s="2" t="n">
        <v>22</v>
      </c>
      <c r="C345" s="2" t="s">
        <v>476</v>
      </c>
      <c r="D345" s="8" t="n">
        <v>36856</v>
      </c>
      <c r="E345" s="9" t="n">
        <v>19.05</v>
      </c>
      <c r="F345" s="9" t="n">
        <v>19.02</v>
      </c>
      <c r="G345" s="9" t="n">
        <v>19.07</v>
      </c>
      <c r="H345" s="9" t="n">
        <v>19.1</v>
      </c>
      <c r="I345" s="9" t="n">
        <f aca="false">E345-H345</f>
        <v>-0.0500000000000007</v>
      </c>
      <c r="J345" s="8" t="n">
        <f aca="false">ROUND(D345*E345/100,0)</f>
        <v>7021</v>
      </c>
      <c r="K345" s="9" t="n">
        <v>33.56</v>
      </c>
      <c r="L345" s="9" t="n">
        <v>31.67</v>
      </c>
      <c r="M345" s="9" t="n">
        <v>96.51</v>
      </c>
      <c r="N345" s="9" t="n">
        <v>73.81</v>
      </c>
      <c r="O345" s="9" t="n">
        <v>33.36</v>
      </c>
      <c r="P345" s="2" t="n">
        <f aca="false">RANK(E345,$E$2:$E$350,0)</f>
        <v>128</v>
      </c>
      <c r="Q345" s="2" t="str">
        <f aca="false">IF(E345&gt;=30,"بسیار بالا",IF(E345&gt;=20,"بالا",IF(E345&gt;=13,"متوسط",IF(E345&gt;=8,"پایین","بسیار پایین"))))</f>
        <v>متوسط</v>
      </c>
      <c r="R345" s="10"/>
      <c r="S345" s="11" t="n">
        <v>0</v>
      </c>
      <c r="T345" s="8" t="n">
        <v>0</v>
      </c>
      <c r="U345" s="2" t="s">
        <v>64</v>
      </c>
      <c r="V345" s="12" t="s">
        <v>65</v>
      </c>
      <c r="W345" s="2" t="n">
        <v>0</v>
      </c>
      <c r="X345" s="12" t="s">
        <v>66</v>
      </c>
    </row>
    <row r="346" customFormat="false" ht="16.4" hidden="false" customHeight="false" outlineLevel="0" collapsed="false">
      <c r="A346" s="2" t="n">
        <v>345</v>
      </c>
      <c r="B346" s="2" t="n">
        <v>22</v>
      </c>
      <c r="C346" s="2" t="s">
        <v>477</v>
      </c>
      <c r="D346" s="8" t="n">
        <v>16530</v>
      </c>
      <c r="E346" s="9" t="n">
        <v>19.05</v>
      </c>
      <c r="F346" s="9" t="n">
        <v>19.02</v>
      </c>
      <c r="G346" s="9" t="n">
        <v>19.07</v>
      </c>
      <c r="H346" s="9" t="n">
        <v>19.1</v>
      </c>
      <c r="I346" s="9" t="n">
        <f aca="false">E346-H346</f>
        <v>-0.0500000000000007</v>
      </c>
      <c r="J346" s="8" t="n">
        <f aca="false">ROUND(D346*E346/100,0)</f>
        <v>3149</v>
      </c>
      <c r="K346" s="9" t="n">
        <v>33.56</v>
      </c>
      <c r="L346" s="9" t="n">
        <v>31.67</v>
      </c>
      <c r="M346" s="9" t="n">
        <v>96.51</v>
      </c>
      <c r="N346" s="9" t="n">
        <v>73.81</v>
      </c>
      <c r="O346" s="9" t="n">
        <v>33.36</v>
      </c>
      <c r="P346" s="2" t="n">
        <f aca="false">RANK(E346,$E$2:$E$350,0)</f>
        <v>128</v>
      </c>
      <c r="Q346" s="2" t="str">
        <f aca="false">IF(E346&gt;=30,"بسیار بالا",IF(E346&gt;=20,"بالا",IF(E346&gt;=13,"متوسط",IF(E346&gt;=8,"پایین","بسیار پایین"))))</f>
        <v>متوسط</v>
      </c>
      <c r="R346" s="10"/>
      <c r="S346" s="11" t="n">
        <v>0</v>
      </c>
      <c r="T346" s="8" t="n">
        <v>0</v>
      </c>
      <c r="U346" s="2" t="s">
        <v>64</v>
      </c>
      <c r="V346" s="12" t="s">
        <v>65</v>
      </c>
      <c r="W346" s="2" t="n">
        <v>0</v>
      </c>
      <c r="X346" s="12" t="s">
        <v>66</v>
      </c>
    </row>
    <row r="347" customFormat="false" ht="16.4" hidden="false" customHeight="false" outlineLevel="0" collapsed="false">
      <c r="A347" s="2" t="n">
        <v>346</v>
      </c>
      <c r="B347" s="2" t="n">
        <v>22</v>
      </c>
      <c r="C347" s="2" t="s">
        <v>478</v>
      </c>
      <c r="D347" s="8" t="n">
        <v>3092</v>
      </c>
      <c r="E347" s="9" t="n">
        <v>18.17</v>
      </c>
      <c r="F347" s="9" t="n">
        <v>17.96</v>
      </c>
      <c r="G347" s="9" t="n">
        <v>18.37</v>
      </c>
      <c r="H347" s="9" t="n">
        <v>19.1</v>
      </c>
      <c r="I347" s="9" t="n">
        <f aca="false">E347-H347</f>
        <v>-0.93</v>
      </c>
      <c r="J347" s="8" t="n">
        <f aca="false">ROUND(D347*E347/100,0)</f>
        <v>562</v>
      </c>
      <c r="K347" s="9" t="n">
        <v>32.28</v>
      </c>
      <c r="L347" s="9" t="n">
        <v>30.65</v>
      </c>
      <c r="M347" s="9" t="n">
        <v>96.36</v>
      </c>
      <c r="N347" s="9" t="n">
        <v>72.17</v>
      </c>
      <c r="O347" s="9" t="n">
        <v>32.21</v>
      </c>
      <c r="P347" s="2" t="n">
        <f aca="false">RANK(E347,$E$2:$E$350,0)</f>
        <v>136</v>
      </c>
      <c r="Q347" s="2" t="str">
        <f aca="false">IF(E347&gt;=30,"بسیار بالا",IF(E347&gt;=20,"بالا",IF(E347&gt;=13,"متوسط",IF(E347&gt;=8,"پایین","بسیار پایین"))))</f>
        <v>متوسط</v>
      </c>
      <c r="R347" s="10" t="n">
        <v>255.8</v>
      </c>
      <c r="S347" s="11" t="n">
        <v>-0.041</v>
      </c>
      <c r="T347" s="8" t="n">
        <v>168</v>
      </c>
      <c r="U347" s="2" t="s">
        <v>54</v>
      </c>
      <c r="V347" s="2" t="s">
        <v>479</v>
      </c>
      <c r="W347" s="2" t="n">
        <v>0.99</v>
      </c>
      <c r="X347" s="12" t="s">
        <v>46</v>
      </c>
    </row>
    <row r="348" customFormat="false" ht="16.4" hidden="false" customHeight="false" outlineLevel="0" collapsed="false">
      <c r="A348" s="2" t="n">
        <v>347</v>
      </c>
      <c r="B348" s="2" t="n">
        <v>22</v>
      </c>
      <c r="C348" s="2" t="s">
        <v>480</v>
      </c>
      <c r="D348" s="8" t="n">
        <v>16028</v>
      </c>
      <c r="E348" s="9" t="n">
        <v>18.13</v>
      </c>
      <c r="F348" s="9" t="n">
        <v>17.92</v>
      </c>
      <c r="G348" s="9" t="n">
        <v>18.34</v>
      </c>
      <c r="H348" s="9" t="n">
        <v>19.1</v>
      </c>
      <c r="I348" s="9" t="n">
        <f aca="false">E348-H348</f>
        <v>-0.970000000000002</v>
      </c>
      <c r="J348" s="8" t="n">
        <f aca="false">ROUND(D348*E348/100,0)</f>
        <v>2906</v>
      </c>
      <c r="K348" s="9" t="n">
        <v>32.22</v>
      </c>
      <c r="L348" s="9" t="n">
        <v>30.6</v>
      </c>
      <c r="M348" s="9" t="n">
        <v>96.36</v>
      </c>
      <c r="N348" s="9" t="n">
        <v>72.1</v>
      </c>
      <c r="O348" s="9" t="n">
        <v>32.16</v>
      </c>
      <c r="P348" s="2" t="n">
        <f aca="false">RANK(E348,$E$2:$E$350,0)</f>
        <v>138</v>
      </c>
      <c r="Q348" s="2" t="str">
        <f aca="false">IF(E348&gt;=30,"بسیار بالا",IF(E348&gt;=20,"بالا",IF(E348&gt;=13,"متوسط",IF(E348&gt;=8,"پایین","بسیار پایین"))))</f>
        <v>متوسط</v>
      </c>
      <c r="R348" s="10" t="n">
        <v>210</v>
      </c>
      <c r="S348" s="11" t="n">
        <v>-0.042</v>
      </c>
      <c r="T348" s="8" t="n">
        <v>82</v>
      </c>
      <c r="U348" s="2" t="s">
        <v>45</v>
      </c>
      <c r="V348" s="2" t="s">
        <v>480</v>
      </c>
      <c r="W348" s="2" t="n">
        <v>0.99</v>
      </c>
      <c r="X348" s="12" t="s">
        <v>46</v>
      </c>
    </row>
    <row r="349" customFormat="false" ht="16.4" hidden="false" customHeight="false" outlineLevel="0" collapsed="false">
      <c r="A349" s="2" t="n">
        <v>348</v>
      </c>
      <c r="B349" s="2" t="n">
        <v>22</v>
      </c>
      <c r="C349" s="2" t="s">
        <v>481</v>
      </c>
      <c r="D349" s="8" t="n">
        <v>13538</v>
      </c>
      <c r="E349" s="9" t="n">
        <v>17.3</v>
      </c>
      <c r="F349" s="9" t="n">
        <v>16.92</v>
      </c>
      <c r="G349" s="9" t="n">
        <v>17.68</v>
      </c>
      <c r="H349" s="9" t="n">
        <v>19.1</v>
      </c>
      <c r="I349" s="9" t="n">
        <f aca="false">E349-H349</f>
        <v>-1.8</v>
      </c>
      <c r="J349" s="8" t="n">
        <f aca="false">ROUND(D349*E349/100,0)</f>
        <v>2342</v>
      </c>
      <c r="K349" s="9" t="n">
        <v>30.99</v>
      </c>
      <c r="L349" s="9" t="n">
        <v>29.62</v>
      </c>
      <c r="M349" s="9" t="n">
        <v>96.21</v>
      </c>
      <c r="N349" s="9" t="n">
        <v>70.43</v>
      </c>
      <c r="O349" s="9" t="n">
        <v>31.04</v>
      </c>
      <c r="P349" s="2" t="n">
        <f aca="false">RANK(E349,$E$2:$E$350,0)</f>
        <v>146</v>
      </c>
      <c r="Q349" s="2" t="str">
        <f aca="false">IF(E349&gt;=30,"بسیار بالا",IF(E349&gt;=20,"بالا",IF(E349&gt;=13,"متوسط",IF(E349&gt;=8,"پایین","بسیار پایین"))))</f>
        <v>متوسط</v>
      </c>
      <c r="R349" s="10" t="n">
        <v>195.4</v>
      </c>
      <c r="S349" s="11" t="n">
        <v>-0.082</v>
      </c>
      <c r="T349" s="8" t="n">
        <v>79</v>
      </c>
      <c r="U349" s="2" t="s">
        <v>45</v>
      </c>
      <c r="V349" s="2" t="s">
        <v>482</v>
      </c>
      <c r="W349" s="2" t="n">
        <v>0.99</v>
      </c>
      <c r="X349" s="12" t="s">
        <v>46</v>
      </c>
    </row>
    <row r="350" customFormat="false" ht="16.4" hidden="false" customHeight="false" outlineLevel="0" collapsed="false">
      <c r="A350" s="2" t="n">
        <v>349</v>
      </c>
      <c r="B350" s="2" t="n">
        <v>22</v>
      </c>
      <c r="C350" s="2" t="s">
        <v>295</v>
      </c>
      <c r="D350" s="8" t="n">
        <v>13231</v>
      </c>
      <c r="E350" s="9" t="n">
        <v>15.17</v>
      </c>
      <c r="F350" s="9" t="n">
        <v>14.41</v>
      </c>
      <c r="G350" s="9" t="n">
        <v>15.95</v>
      </c>
      <c r="H350" s="9" t="n">
        <v>19.1</v>
      </c>
      <c r="I350" s="9" t="n">
        <f aca="false">E350-H350</f>
        <v>-3.93</v>
      </c>
      <c r="J350" s="8" t="n">
        <f aca="false">ROUND(D350*E350/100,0)</f>
        <v>2007</v>
      </c>
      <c r="K350" s="9" t="n">
        <v>27.74</v>
      </c>
      <c r="L350" s="9" t="n">
        <v>27</v>
      </c>
      <c r="M350" s="9" t="n">
        <v>95.76</v>
      </c>
      <c r="N350" s="9" t="n">
        <v>65.57</v>
      </c>
      <c r="O350" s="9" t="n">
        <v>28.08</v>
      </c>
      <c r="P350" s="2" t="n">
        <f aca="false">RANK(E350,$E$2:$E$350,0)</f>
        <v>177</v>
      </c>
      <c r="Q350" s="2" t="str">
        <f aca="false">IF(E350&gt;=30,"بسیار بالا",IF(E350&gt;=20,"بالا",IF(E350&gt;=13,"متوسط",IF(E350&gt;=8,"پایین","بسیار پایین"))))</f>
        <v>متوسط</v>
      </c>
      <c r="R350" s="10" t="n">
        <v>179.7</v>
      </c>
      <c r="S350" s="11" t="n">
        <v>-0.192</v>
      </c>
      <c r="T350" s="8" t="n">
        <v>72</v>
      </c>
      <c r="U350" s="2" t="s">
        <v>45</v>
      </c>
      <c r="V350" s="2" t="s">
        <v>295</v>
      </c>
      <c r="W350" s="2" t="n">
        <v>0.99</v>
      </c>
      <c r="X350" s="12" t="s">
        <v>46</v>
      </c>
    </row>
  </sheetData>
  <conditionalFormatting sqref="Q2:Q350">
    <cfRule type="cellIs" priority="2" operator="equal" aboveAverage="0" equalAverage="0" bottom="0" percent="0" rank="0" text="" dxfId="9">
      <formula>"بسیار بالا"</formula>
    </cfRule>
    <cfRule type="cellIs" priority="3" operator="equal" aboveAverage="0" equalAverage="0" bottom="0" percent="0" rank="0" text="" dxfId="10">
      <formula>"بالا"</formula>
    </cfRule>
    <cfRule type="cellIs" priority="4" operator="equal" aboveAverage="0" equalAverage="0" bottom="0" percent="0" rank="0" text="" dxfId="11">
      <formula>"متوسط"</formula>
    </cfRule>
    <cfRule type="cellIs" priority="5" operator="equal" aboveAverage="0" equalAverage="0" bottom="0" percent="0" rank="0" text="" dxfId="12">
      <formula>"پایین"</formula>
    </cfRule>
    <cfRule type="cellIs" priority="6" operator="equal" aboveAverage="0" equalAverage="0" bottom="0" percent="0" rank="0" text="" dxfId="13">
      <formula>"بسیار پایین"</formula>
    </cfRule>
  </conditionalFormatting>
  <conditionalFormatting sqref="X2:X350">
    <cfRule type="cellIs" priority="7" operator="equal" aboveAverage="0" equalAverage="0" bottom="0" percent="0" rank="0" text="" dxfId="9">
      <formula>"A"</formula>
    </cfRule>
    <cfRule type="cellIs" priority="8" operator="equal" aboveAverage="0" equalAverage="0" bottom="0" percent="0" rank="0" text="" dxfId="11">
      <formula>"B"</formula>
    </cfRule>
    <cfRule type="cellIs" priority="9" operator="equal" aboveAverage="0" equalAverage="0" bottom="0" percent="0" rank="0" text="" dxfId="12">
      <formula>"C"</formula>
    </cfRule>
    <cfRule type="cellIs" priority="10" operator="equal" aboveAverage="0" equalAverage="0" bottom="0" percent="0" rank="0" text="" dxfId="14">
      <formula>"D"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6" min="4" style="0" width="14"/>
    <col collapsed="false" customWidth="true" hidden="false" outlineLevel="0" max="13" min="7" style="0" width="11"/>
    <col collapsed="false" customWidth="true" hidden="false" outlineLevel="0" max="14" min="14" style="0" width="14"/>
    <col collapsed="false" customWidth="true" hidden="false" outlineLevel="0" max="16" min="15" style="0" width="13"/>
    <col collapsed="false" customWidth="true" hidden="false" outlineLevel="0" max="18" min="17" style="0" width="12"/>
  </cols>
  <sheetData>
    <row r="1" customFormat="false" ht="48" hidden="false" customHeight="true" outlineLevel="0" collapsed="false">
      <c r="A1" s="7" t="s">
        <v>22</v>
      </c>
      <c r="B1" s="7" t="s">
        <v>483</v>
      </c>
      <c r="C1" s="7" t="s">
        <v>1</v>
      </c>
      <c r="D1" s="7" t="s">
        <v>484</v>
      </c>
      <c r="E1" s="7" t="s">
        <v>485</v>
      </c>
      <c r="F1" s="7" t="s">
        <v>486</v>
      </c>
      <c r="G1" s="7" t="s">
        <v>487</v>
      </c>
      <c r="H1" s="7" t="s">
        <v>488</v>
      </c>
      <c r="I1" s="7" t="s">
        <v>489</v>
      </c>
      <c r="J1" s="7" t="s">
        <v>490</v>
      </c>
      <c r="K1" s="7" t="s">
        <v>491</v>
      </c>
      <c r="L1" s="7" t="s">
        <v>492</v>
      </c>
      <c r="M1" s="7" t="s">
        <v>493</v>
      </c>
      <c r="N1" s="7" t="s">
        <v>494</v>
      </c>
      <c r="O1" s="7" t="s">
        <v>495</v>
      </c>
      <c r="P1" s="7" t="s">
        <v>496</v>
      </c>
      <c r="Q1" s="7" t="s">
        <v>497</v>
      </c>
      <c r="R1" s="7" t="s">
        <v>498</v>
      </c>
    </row>
    <row r="2" customFormat="false" ht="15" hidden="false" customHeight="false" outlineLevel="0" collapsed="false">
      <c r="A2" s="2" t="n">
        <v>1</v>
      </c>
      <c r="B2" s="8" t="n">
        <f aca="false">SUMIF(محلات!$B$2:$B$350,A2,محلات!$D$2:$D$350)</f>
        <v>486069</v>
      </c>
      <c r="C2" s="2" t="n">
        <f aca="false">COUNTIF(محلات!$B$2:$B$350,A2)</f>
        <v>27</v>
      </c>
      <c r="D2" s="9" t="n">
        <v>31.3</v>
      </c>
      <c r="E2" s="9" t="n">
        <f aca="false">SUMPRODUCT((محلات!$B$2:$B$350=A2)*محلات!$D$2:$D$350*محلات!$E$2:$E$350)/B2</f>
        <v>31.2995784343375</v>
      </c>
      <c r="F2" s="8" t="n">
        <f aca="false">SUMIF(محلات!$B$2:$B$350,A2,محلات!$J$2:$J$350)</f>
        <v>152139</v>
      </c>
      <c r="G2" s="9" t="n">
        <f aca="false">_xlfn.MINIFS(محلات!$E$2:$E$350,محلات!$B$2:$B$350,A2)</f>
        <v>14.88</v>
      </c>
      <c r="H2" s="9" t="n">
        <f aca="false">_xlfn.MAXIFS(محلات!$E$2:$E$350,محلات!$B$2:$B$350,A2)</f>
        <v>45.85</v>
      </c>
      <c r="I2" s="9" t="n">
        <v>49.7</v>
      </c>
      <c r="J2" s="9" t="n">
        <v>43.7</v>
      </c>
      <c r="K2" s="9" t="n">
        <v>97.6</v>
      </c>
      <c r="L2" s="9" t="n">
        <v>90.9</v>
      </c>
      <c r="M2" s="9" t="n">
        <v>48.4</v>
      </c>
      <c r="N2" s="2" t="n">
        <v>20.0926</v>
      </c>
      <c r="O2" s="2" t="n">
        <f aca="false">ROUND(EXP(N2)/1000000,1)</f>
        <v>532.2</v>
      </c>
      <c r="P2" s="9" t="n">
        <v>96.4</v>
      </c>
      <c r="Q2" s="9" t="n">
        <v>38.88</v>
      </c>
      <c r="R2" s="9" t="n">
        <f aca="false">Q2-D2</f>
        <v>7.58</v>
      </c>
    </row>
    <row r="3" customFormat="false" ht="15" hidden="false" customHeight="false" outlineLevel="0" collapsed="false">
      <c r="A3" s="2" t="n">
        <v>2</v>
      </c>
      <c r="B3" s="8" t="n">
        <f aca="false">SUMIF(محلات!$B$2:$B$350,A3,محلات!$D$2:$D$350)</f>
        <v>691795</v>
      </c>
      <c r="C3" s="2" t="n">
        <f aca="false">COUNTIF(محلات!$B$2:$B$350,A3)</f>
        <v>21</v>
      </c>
      <c r="D3" s="9" t="n">
        <v>31.7</v>
      </c>
      <c r="E3" s="9" t="n">
        <f aca="false">SUMPRODUCT((محلات!$B$2:$B$350=A3)*محلات!$D$2:$D$350*محلات!$E$2:$E$350)/B3</f>
        <v>31.6991181202524</v>
      </c>
      <c r="F3" s="8" t="n">
        <f aca="false">SUMIF(محلات!$B$2:$B$350,A3,محلات!$J$2:$J$350)</f>
        <v>219294</v>
      </c>
      <c r="G3" s="9" t="n">
        <f aca="false">_xlfn.MINIFS(محلات!$E$2:$E$350,محلات!$B$2:$B$350,A3)</f>
        <v>17.74</v>
      </c>
      <c r="H3" s="9" t="n">
        <f aca="false">_xlfn.MAXIFS(محلات!$E$2:$E$350,محلات!$B$2:$B$350,A3)</f>
        <v>46.93</v>
      </c>
      <c r="I3" s="9" t="n">
        <v>48.6</v>
      </c>
      <c r="J3" s="9" t="n">
        <v>45.6</v>
      </c>
      <c r="K3" s="9" t="n">
        <v>95.8</v>
      </c>
      <c r="L3" s="9" t="n">
        <v>88.7</v>
      </c>
      <c r="M3" s="9" t="n">
        <v>45.3</v>
      </c>
      <c r="N3" s="2" t="n">
        <v>19.8219</v>
      </c>
      <c r="O3" s="2" t="n">
        <f aca="false">ROUND(EXP(N3)/1000000,1)</f>
        <v>406</v>
      </c>
      <c r="P3" s="9" t="n">
        <v>88.3</v>
      </c>
      <c r="Q3" s="9" t="n">
        <v>30.18</v>
      </c>
      <c r="R3" s="9" t="n">
        <f aca="false">Q3-D3</f>
        <v>-1.52</v>
      </c>
    </row>
    <row r="4" customFormat="false" ht="15" hidden="false" customHeight="false" outlineLevel="0" collapsed="false">
      <c r="A4" s="2" t="n">
        <v>3</v>
      </c>
      <c r="B4" s="8" t="n">
        <f aca="false">SUMIF(محلات!$B$2:$B$350,A4,محلات!$D$2:$D$350)</f>
        <v>330004</v>
      </c>
      <c r="C4" s="2" t="n">
        <f aca="false">COUNTIF(محلات!$B$2:$B$350,A4)</f>
        <v>12</v>
      </c>
      <c r="D4" s="9" t="n">
        <v>33.9</v>
      </c>
      <c r="E4" s="9" t="n">
        <f aca="false">SUMPRODUCT((محلات!$B$2:$B$350=A4)*محلات!$D$2:$D$350*محلات!$E$2:$E$350)/B4</f>
        <v>33.8997189428007</v>
      </c>
      <c r="F4" s="8" t="n">
        <f aca="false">SUMIF(محلات!$B$2:$B$350,A4,محلات!$J$2:$J$350)</f>
        <v>111871</v>
      </c>
      <c r="G4" s="9" t="n">
        <f aca="false">_xlfn.MINIFS(محلات!$E$2:$E$350,محلات!$B$2:$B$350,A4)</f>
        <v>26.53</v>
      </c>
      <c r="H4" s="9" t="n">
        <f aca="false">_xlfn.MAXIFS(محلات!$E$2:$E$350,محلات!$B$2:$B$350,A4)</f>
        <v>46.45</v>
      </c>
      <c r="I4" s="9" t="n">
        <v>52.5</v>
      </c>
      <c r="J4" s="9" t="n">
        <v>47.8</v>
      </c>
      <c r="K4" s="9" t="n">
        <v>97.7</v>
      </c>
      <c r="L4" s="9" t="n">
        <v>89.4</v>
      </c>
      <c r="M4" s="9" t="n">
        <v>48.7</v>
      </c>
      <c r="N4" s="2" t="n">
        <v>19.9449</v>
      </c>
      <c r="O4" s="2" t="n">
        <f aca="false">ROUND(EXP(N4)/1000000,1)</f>
        <v>459.2</v>
      </c>
      <c r="P4" s="9" t="n">
        <v>86.3</v>
      </c>
      <c r="Q4" s="9" t="n">
        <v>34</v>
      </c>
      <c r="R4" s="9" t="n">
        <f aca="false">Q4-D4</f>
        <v>0.100000000000001</v>
      </c>
    </row>
    <row r="5" customFormat="false" ht="15" hidden="false" customHeight="false" outlineLevel="0" collapsed="false">
      <c r="A5" s="2" t="n">
        <v>4</v>
      </c>
      <c r="B5" s="8" t="n">
        <f aca="false">SUMIF(محلات!$B$2:$B$350,A5,محلات!$D$2:$D$350)</f>
        <v>906598</v>
      </c>
      <c r="C5" s="2" t="n">
        <f aca="false">COUNTIF(محلات!$B$2:$B$350,A5)</f>
        <v>20</v>
      </c>
      <c r="D5" s="9" t="n">
        <v>17.9</v>
      </c>
      <c r="E5" s="9" t="n">
        <f aca="false">SUMPRODUCT((محلات!$B$2:$B$350=A5)*محلات!$D$2:$D$350*محلات!$E$2:$E$350)/B5</f>
        <v>17.8980360975868</v>
      </c>
      <c r="F5" s="8" t="n">
        <f aca="false">SUMIF(محلات!$B$2:$B$350,A5,محلات!$J$2:$J$350)</f>
        <v>162265</v>
      </c>
      <c r="G5" s="9" t="n">
        <f aca="false">_xlfn.MINIFS(محلات!$E$2:$E$350,محلات!$B$2:$B$350,A5)</f>
        <v>5.23</v>
      </c>
      <c r="H5" s="9" t="n">
        <f aca="false">_xlfn.MAXIFS(محلات!$E$2:$E$350,محلات!$B$2:$B$350,A5)</f>
        <v>38.6</v>
      </c>
      <c r="I5" s="9" t="n">
        <v>30</v>
      </c>
      <c r="J5" s="9" t="n">
        <v>30.2</v>
      </c>
      <c r="K5" s="9" t="n">
        <v>95.1</v>
      </c>
      <c r="L5" s="9" t="n">
        <v>68.2</v>
      </c>
      <c r="M5" s="9" t="n">
        <v>28.2</v>
      </c>
      <c r="N5" s="2" t="n">
        <v>19.3225</v>
      </c>
      <c r="O5" s="2" t="n">
        <f aca="false">ROUND(EXP(N5)/1000000,1)</f>
        <v>246.4</v>
      </c>
      <c r="P5" s="9" t="n">
        <v>83.5</v>
      </c>
      <c r="Q5" s="9" t="n">
        <v>17.5</v>
      </c>
      <c r="R5" s="9" t="n">
        <f aca="false">Q5-D5</f>
        <v>-0.399999999999999</v>
      </c>
    </row>
    <row r="6" customFormat="false" ht="15" hidden="false" customHeight="false" outlineLevel="0" collapsed="false">
      <c r="A6" s="2" t="n">
        <v>5</v>
      </c>
      <c r="B6" s="8" t="n">
        <f aca="false">SUMIF(محلات!$B$2:$B$350,A6,محلات!$D$2:$D$350)</f>
        <v>853212</v>
      </c>
      <c r="C6" s="2" t="n">
        <f aca="false">COUNTIF(محلات!$B$2:$B$350,A6)</f>
        <v>29</v>
      </c>
      <c r="D6" s="9" t="n">
        <v>26</v>
      </c>
      <c r="E6" s="9" t="n">
        <f aca="false">SUMPRODUCT((محلات!$B$2:$B$350=A6)*محلات!$D$2:$D$350*محلات!$E$2:$E$350)/B6</f>
        <v>25.9996330103187</v>
      </c>
      <c r="F6" s="8" t="n">
        <f aca="false">SUMIF(محلات!$B$2:$B$350,A6,محلات!$J$2:$J$350)</f>
        <v>221833</v>
      </c>
      <c r="G6" s="9" t="n">
        <f aca="false">_xlfn.MINIFS(محلات!$E$2:$E$350,محلات!$B$2:$B$350,A6)</f>
        <v>14.04</v>
      </c>
      <c r="H6" s="9" t="n">
        <f aca="false">_xlfn.MAXIFS(محلات!$E$2:$E$350,محلات!$B$2:$B$350,A6)</f>
        <v>31.6</v>
      </c>
      <c r="I6" s="9" t="n">
        <v>41.8</v>
      </c>
      <c r="J6" s="9" t="n">
        <v>39.3</v>
      </c>
      <c r="K6" s="9" t="n">
        <v>97.3</v>
      </c>
      <c r="L6" s="9" t="n">
        <v>78.2</v>
      </c>
      <c r="M6" s="9" t="n">
        <v>40</v>
      </c>
      <c r="N6" s="2" t="n">
        <v>19.5563</v>
      </c>
      <c r="O6" s="2" t="n">
        <f aca="false">ROUND(EXP(N6)/1000000,1)</f>
        <v>311.3</v>
      </c>
      <c r="P6" s="9" t="n">
        <v>100</v>
      </c>
      <c r="Q6" s="9" t="n">
        <v>22.84</v>
      </c>
      <c r="R6" s="9" t="n">
        <f aca="false">Q6-D6</f>
        <v>-3.16</v>
      </c>
    </row>
    <row r="7" customFormat="false" ht="15" hidden="false" customHeight="false" outlineLevel="0" collapsed="false">
      <c r="A7" s="2" t="n">
        <v>6</v>
      </c>
      <c r="B7" s="8" t="n">
        <f aca="false">SUMIF(محلات!$B$2:$B$350,A7,محلات!$D$2:$D$350)</f>
        <v>250753</v>
      </c>
      <c r="C7" s="2" t="n">
        <f aca="false">COUNTIF(محلات!$B$2:$B$350,A7)</f>
        <v>14</v>
      </c>
      <c r="D7" s="9" t="n">
        <v>29.5</v>
      </c>
      <c r="E7" s="9" t="n">
        <f aca="false">SUMPRODUCT((محلات!$B$2:$B$350=A7)*محلات!$D$2:$D$350*محلات!$E$2:$E$350)/B7</f>
        <v>29.5005372218877</v>
      </c>
      <c r="F7" s="8" t="n">
        <f aca="false">SUMIF(محلات!$B$2:$B$350,A7,محلات!$J$2:$J$350)</f>
        <v>73971</v>
      </c>
      <c r="G7" s="9" t="n">
        <f aca="false">_xlfn.MINIFS(محلات!$E$2:$E$350,محلات!$B$2:$B$350,A7)</f>
        <v>16.04</v>
      </c>
      <c r="H7" s="9" t="n">
        <f aca="false">_xlfn.MAXIFS(محلات!$E$2:$E$350,محلات!$B$2:$B$350,A7)</f>
        <v>37.28</v>
      </c>
      <c r="I7" s="9" t="n">
        <v>52</v>
      </c>
      <c r="J7" s="9" t="n">
        <v>47.2</v>
      </c>
      <c r="K7" s="9" t="n">
        <v>97.2</v>
      </c>
      <c r="L7" s="9" t="n">
        <v>89.3</v>
      </c>
      <c r="M7" s="9" t="n">
        <v>49.3</v>
      </c>
      <c r="N7" s="2" t="n">
        <v>19.6599</v>
      </c>
      <c r="O7" s="2" t="n">
        <f aca="false">ROUND(EXP(N7)/1000000,1)</f>
        <v>345.3</v>
      </c>
      <c r="P7" s="9" t="n">
        <v>92.1</v>
      </c>
      <c r="Q7" s="9" t="n">
        <v>25.55</v>
      </c>
      <c r="R7" s="9" t="n">
        <f aca="false">Q7-D7</f>
        <v>-3.95</v>
      </c>
    </row>
    <row r="8" customFormat="false" ht="15" hidden="false" customHeight="false" outlineLevel="0" collapsed="false">
      <c r="A8" s="2" t="n">
        <v>7</v>
      </c>
      <c r="B8" s="8" t="n">
        <f aca="false">SUMIF(محلات!$B$2:$B$350,A8,محلات!$D$2:$D$350)</f>
        <v>312002</v>
      </c>
      <c r="C8" s="2" t="n">
        <f aca="false">COUNTIF(محلات!$B$2:$B$350,A8)</f>
        <v>14</v>
      </c>
      <c r="D8" s="9" t="n">
        <v>21</v>
      </c>
      <c r="E8" s="9" t="n">
        <f aca="false">SUMPRODUCT((محلات!$B$2:$B$350=A8)*محلات!$D$2:$D$350*محلات!$E$2:$E$350)/B8</f>
        <v>20.9993902923699</v>
      </c>
      <c r="F8" s="8" t="n">
        <f aca="false">SUMIF(محلات!$B$2:$B$350,A8,محلات!$J$2:$J$350)</f>
        <v>65520</v>
      </c>
      <c r="G8" s="9" t="n">
        <f aca="false">_xlfn.MINIFS(محلات!$E$2:$E$350,محلات!$B$2:$B$350,A8)</f>
        <v>14.25</v>
      </c>
      <c r="H8" s="9" t="n">
        <f aca="false">_xlfn.MAXIFS(محلات!$E$2:$E$350,محلات!$B$2:$B$350,A8)</f>
        <v>35.77</v>
      </c>
      <c r="I8" s="9" t="n">
        <v>33.9</v>
      </c>
      <c r="J8" s="9" t="n">
        <v>34.5</v>
      </c>
      <c r="K8" s="9" t="n">
        <v>95.8</v>
      </c>
      <c r="L8" s="9" t="n">
        <v>78.3</v>
      </c>
      <c r="M8" s="9" t="n">
        <v>33.4</v>
      </c>
      <c r="N8" s="2" t="n">
        <v>19.3049</v>
      </c>
      <c r="O8" s="2" t="n">
        <f aca="false">ROUND(EXP(N8)/1000000,1)</f>
        <v>242.1</v>
      </c>
      <c r="P8" s="9" t="n">
        <v>86.5</v>
      </c>
      <c r="Q8" s="9" t="n">
        <v>17.14</v>
      </c>
      <c r="R8" s="9" t="n">
        <f aca="false">Q8-D8</f>
        <v>-3.86</v>
      </c>
    </row>
    <row r="9" customFormat="false" ht="15" hidden="false" customHeight="false" outlineLevel="0" collapsed="false">
      <c r="A9" s="2" t="n">
        <v>8</v>
      </c>
      <c r="B9" s="8" t="n">
        <f aca="false">SUMIF(محلات!$B$2:$B$350,A9,محلات!$D$2:$D$350)</f>
        <v>425044</v>
      </c>
      <c r="C9" s="2" t="n">
        <f aca="false">COUNTIF(محلات!$B$2:$B$350,A9)</f>
        <v>13</v>
      </c>
      <c r="D9" s="9" t="n">
        <v>18.4</v>
      </c>
      <c r="E9" s="9" t="n">
        <f aca="false">SUMPRODUCT((محلات!$B$2:$B$350=A9)*محلات!$D$2:$D$350*محلات!$E$2:$E$350)/B9</f>
        <v>18.3995485408569</v>
      </c>
      <c r="F9" s="8" t="n">
        <f aca="false">SUMIF(محلات!$B$2:$B$350,A9,محلات!$J$2:$J$350)</f>
        <v>78207</v>
      </c>
      <c r="G9" s="9" t="n">
        <f aca="false">_xlfn.MINIFS(محلات!$E$2:$E$350,محلات!$B$2:$B$350,A9)</f>
        <v>12.9</v>
      </c>
      <c r="H9" s="9" t="n">
        <f aca="false">_xlfn.MAXIFS(محلات!$E$2:$E$350,محلات!$B$2:$B$350,A9)</f>
        <v>24.18</v>
      </c>
      <c r="I9" s="9" t="n">
        <v>29.9</v>
      </c>
      <c r="J9" s="9" t="n">
        <v>30.6</v>
      </c>
      <c r="K9" s="9" t="n">
        <v>96.9</v>
      </c>
      <c r="L9" s="9" t="n">
        <v>68.1</v>
      </c>
      <c r="M9" s="9" t="n">
        <v>29.9</v>
      </c>
      <c r="N9" s="2" t="n">
        <v>19.2705</v>
      </c>
      <c r="O9" s="2" t="n">
        <f aca="false">ROUND(EXP(N9)/1000000,1)</f>
        <v>233.9</v>
      </c>
      <c r="P9" s="9" t="n">
        <v>100</v>
      </c>
      <c r="Q9" s="9" t="n">
        <v>16.45</v>
      </c>
      <c r="R9" s="9" t="n">
        <f aca="false">Q9-D9</f>
        <v>-1.95</v>
      </c>
    </row>
    <row r="10" customFormat="false" ht="15" hidden="false" customHeight="false" outlineLevel="0" collapsed="false">
      <c r="A10" s="2" t="n">
        <v>9</v>
      </c>
      <c r="B10" s="8" t="n">
        <f aca="false">SUMIF(محلات!$B$2:$B$350,A10,محلات!$D$2:$D$350)</f>
        <v>174115</v>
      </c>
      <c r="C10" s="2" t="n">
        <f aca="false">COUNTIF(محلات!$B$2:$B$350,A10)</f>
        <v>9</v>
      </c>
      <c r="D10" s="9" t="n">
        <v>12.6</v>
      </c>
      <c r="E10" s="9" t="n">
        <f aca="false">SUMPRODUCT((محلات!$B$2:$B$350=A10)*محلات!$D$2:$D$350*محلات!$E$2:$E$350)/B10</f>
        <v>12.5994102748184</v>
      </c>
      <c r="F10" s="8" t="n">
        <f aca="false">SUMIF(محلات!$B$2:$B$350,A10,محلات!$J$2:$J$350)</f>
        <v>21937</v>
      </c>
      <c r="G10" s="9" t="n">
        <f aca="false">_xlfn.MINIFS(محلات!$E$2:$E$350,محلات!$B$2:$B$350,A10)</f>
        <v>10.77</v>
      </c>
      <c r="H10" s="9" t="n">
        <f aca="false">_xlfn.MAXIFS(محلات!$E$2:$E$350,محلات!$B$2:$B$350,A10)</f>
        <v>15.12</v>
      </c>
      <c r="I10" s="9" t="n">
        <v>24.9</v>
      </c>
      <c r="J10" s="9" t="n">
        <v>23.6</v>
      </c>
      <c r="K10" s="9" t="n">
        <v>95.6</v>
      </c>
      <c r="L10" s="9" t="n">
        <v>51.6</v>
      </c>
      <c r="M10" s="9" t="n">
        <v>23.7</v>
      </c>
      <c r="N10" s="2" t="n">
        <v>18.917</v>
      </c>
      <c r="O10" s="2" t="n">
        <f aca="false">ROUND(EXP(N10)/1000000,1)</f>
        <v>164.3</v>
      </c>
      <c r="P10" s="9" t="n">
        <v>74.7</v>
      </c>
      <c r="Q10" s="9" t="n">
        <v>10.63</v>
      </c>
      <c r="R10" s="9" t="n">
        <f aca="false">Q10-D10</f>
        <v>-1.97</v>
      </c>
    </row>
    <row r="11" customFormat="false" ht="15" hidden="false" customHeight="false" outlineLevel="0" collapsed="false">
      <c r="A11" s="2" t="n">
        <v>10</v>
      </c>
      <c r="B11" s="8" t="n">
        <f aca="false">SUMIF(محلات!$B$2:$B$350,A11,محلات!$D$2:$D$350)</f>
        <v>326885</v>
      </c>
      <c r="C11" s="2" t="n">
        <f aca="false">COUNTIF(محلات!$B$2:$B$350,A11)</f>
        <v>10</v>
      </c>
      <c r="D11" s="9" t="n">
        <v>13.9</v>
      </c>
      <c r="E11" s="9" t="n">
        <f aca="false">SUMPRODUCT((محلات!$B$2:$B$350=A11)*محلات!$D$2:$D$350*محلات!$E$2:$E$350)/B11</f>
        <v>13.898523823363</v>
      </c>
      <c r="F11" s="8" t="n">
        <f aca="false">SUMIF(محلات!$B$2:$B$350,A11,محلات!$J$2:$J$350)</f>
        <v>45432</v>
      </c>
      <c r="G11" s="9" t="n">
        <f aca="false">_xlfn.MINIFS(محلات!$E$2:$E$350,محلات!$B$2:$B$350,A11)</f>
        <v>11.89</v>
      </c>
      <c r="H11" s="9" t="n">
        <f aca="false">_xlfn.MAXIFS(محلات!$E$2:$E$350,محلات!$B$2:$B$350,A11)</f>
        <v>15.75</v>
      </c>
      <c r="I11" s="9" t="n">
        <v>24.2</v>
      </c>
      <c r="J11" s="9" t="n">
        <v>25.4</v>
      </c>
      <c r="K11" s="9" t="n">
        <v>94.8</v>
      </c>
      <c r="L11" s="9" t="n">
        <v>57.1</v>
      </c>
      <c r="M11" s="9" t="n">
        <v>23.7</v>
      </c>
      <c r="N11" s="2" t="n">
        <v>18.8489</v>
      </c>
      <c r="O11" s="2" t="n">
        <f aca="false">ROUND(EXP(N11)/1000000,1)</f>
        <v>153.5</v>
      </c>
      <c r="P11" s="9" t="n">
        <v>83.1</v>
      </c>
      <c r="Q11" s="9" t="n">
        <v>9.74</v>
      </c>
      <c r="R11" s="9" t="n">
        <f aca="false">Q11-D11</f>
        <v>-4.16</v>
      </c>
    </row>
    <row r="12" customFormat="false" ht="15" hidden="false" customHeight="false" outlineLevel="0" collapsed="false">
      <c r="A12" s="2" t="n">
        <v>11</v>
      </c>
      <c r="B12" s="8" t="n">
        <f aca="false">SUMIF(محلات!$B$2:$B$350,A12,محلات!$D$2:$D$350)</f>
        <v>307469</v>
      </c>
      <c r="C12" s="2" t="n">
        <f aca="false">COUNTIF(محلات!$B$2:$B$350,A12)</f>
        <v>17</v>
      </c>
      <c r="D12" s="9" t="n">
        <v>15.1</v>
      </c>
      <c r="E12" s="9" t="n">
        <f aca="false">SUMPRODUCT((محلات!$B$2:$B$350=A12)*محلات!$D$2:$D$350*محلات!$E$2:$E$350)/B12</f>
        <v>15.1000138550553</v>
      </c>
      <c r="F12" s="8" t="n">
        <f aca="false">SUMIF(محلات!$B$2:$B$350,A12,محلات!$J$2:$J$350)</f>
        <v>46429</v>
      </c>
      <c r="G12" s="9" t="n">
        <f aca="false">_xlfn.MINIFS(محلات!$E$2:$E$350,محلات!$B$2:$B$350,A12)</f>
        <v>11.67</v>
      </c>
      <c r="H12" s="9" t="n">
        <f aca="false">_xlfn.MAXIFS(محلات!$E$2:$E$350,محلات!$B$2:$B$350,A12)</f>
        <v>18.98</v>
      </c>
      <c r="I12" s="9" t="n">
        <v>25.2</v>
      </c>
      <c r="J12" s="9" t="n">
        <v>27.7</v>
      </c>
      <c r="K12" s="9" t="n">
        <v>96.2</v>
      </c>
      <c r="L12" s="9" t="n">
        <v>64.8</v>
      </c>
      <c r="M12" s="9" t="n">
        <v>26.4</v>
      </c>
      <c r="N12" s="2" t="n">
        <v>19.0155</v>
      </c>
      <c r="O12" s="2" t="n">
        <f aca="false">ROUND(EXP(N12)/1000000,1)</f>
        <v>181.3</v>
      </c>
      <c r="P12" s="9" t="n">
        <v>75.5</v>
      </c>
      <c r="Q12" s="9" t="n">
        <v>12.04</v>
      </c>
      <c r="R12" s="9" t="n">
        <f aca="false">Q12-D12</f>
        <v>-3.06</v>
      </c>
    </row>
    <row r="13" customFormat="false" ht="15" hidden="false" customHeight="false" outlineLevel="0" collapsed="false">
      <c r="A13" s="2" t="n">
        <v>12</v>
      </c>
      <c r="B13" s="8" t="n">
        <f aca="false">SUMIF(محلات!$B$2:$B$350,A13,محلات!$D$2:$D$350)</f>
        <v>240909</v>
      </c>
      <c r="C13" s="2" t="n">
        <f aca="false">COUNTIF(محلات!$B$2:$B$350,A13)</f>
        <v>13</v>
      </c>
      <c r="D13" s="9" t="n">
        <v>10.8</v>
      </c>
      <c r="E13" s="9" t="n">
        <f aca="false">SUMPRODUCT((محلات!$B$2:$B$350=A13)*محلات!$D$2:$D$350*محلات!$E$2:$E$350)/B13</f>
        <v>10.7990456562436</v>
      </c>
      <c r="F13" s="8" t="n">
        <f aca="false">SUMIF(محلات!$B$2:$B$350,A13,محلات!$J$2:$J$350)</f>
        <v>26016</v>
      </c>
      <c r="G13" s="9" t="n">
        <f aca="false">_xlfn.MINIFS(محلات!$E$2:$E$350,محلات!$B$2:$B$350,A13)</f>
        <v>5.9</v>
      </c>
      <c r="H13" s="9" t="n">
        <f aca="false">_xlfn.MAXIFS(محلات!$E$2:$E$350,محلات!$B$2:$B$350,A13)</f>
        <v>17.9</v>
      </c>
      <c r="I13" s="9" t="n">
        <v>20</v>
      </c>
      <c r="J13" s="9" t="n">
        <v>22</v>
      </c>
      <c r="K13" s="9" t="n">
        <v>91.8</v>
      </c>
      <c r="L13" s="9" t="n">
        <v>60.8</v>
      </c>
      <c r="M13" s="9" t="n">
        <v>22.2</v>
      </c>
      <c r="N13" s="2" t="n">
        <v>18.9517</v>
      </c>
      <c r="O13" s="2" t="n">
        <f aca="false">ROUND(EXP(N13)/1000000,1)</f>
        <v>170.1</v>
      </c>
      <c r="P13" s="9" t="n">
        <v>85.1</v>
      </c>
      <c r="Q13" s="9" t="n">
        <v>11.11</v>
      </c>
      <c r="R13" s="9" t="n">
        <f aca="false">Q13-D13</f>
        <v>0.309999999999999</v>
      </c>
    </row>
    <row r="14" customFormat="false" ht="15" hidden="false" customHeight="false" outlineLevel="0" collapsed="false">
      <c r="A14" s="2" t="n">
        <v>13</v>
      </c>
      <c r="B14" s="8" t="n">
        <f aca="false">SUMIF(محلات!$B$2:$B$350,A14,محلات!$D$2:$D$350)</f>
        <v>248725</v>
      </c>
      <c r="C14" s="2" t="n">
        <f aca="false">COUNTIF(محلات!$B$2:$B$350,A14)</f>
        <v>13</v>
      </c>
      <c r="D14" s="9" t="n">
        <v>15.8</v>
      </c>
      <c r="E14" s="9" t="n">
        <f aca="false">SUMPRODUCT((محلات!$B$2:$B$350=A14)*محلات!$D$2:$D$350*محلات!$E$2:$E$350)/B14</f>
        <v>15.8003801789125</v>
      </c>
      <c r="F14" s="8" t="n">
        <f aca="false">SUMIF(محلات!$B$2:$B$350,A14,محلات!$J$2:$J$350)</f>
        <v>39302</v>
      </c>
      <c r="G14" s="9" t="n">
        <f aca="false">_xlfn.MINIFS(محلات!$E$2:$E$350,محلات!$B$2:$B$350,A14)</f>
        <v>11.12</v>
      </c>
      <c r="H14" s="9" t="n">
        <f aca="false">_xlfn.MAXIFS(محلات!$E$2:$E$350,محلات!$B$2:$B$350,A14)</f>
        <v>19.61</v>
      </c>
      <c r="I14" s="9" t="n">
        <v>27.3</v>
      </c>
      <c r="J14" s="9" t="n">
        <v>27.5</v>
      </c>
      <c r="K14" s="9" t="n">
        <v>95.9</v>
      </c>
      <c r="L14" s="9" t="n">
        <v>69.9</v>
      </c>
      <c r="M14" s="9" t="n">
        <v>27.7</v>
      </c>
      <c r="N14" s="2" t="n">
        <v>19.1608</v>
      </c>
      <c r="O14" s="2" t="n">
        <f aca="false">ROUND(EXP(N14)/1000000,1)</f>
        <v>209.6</v>
      </c>
      <c r="P14" s="9" t="n">
        <v>87.9</v>
      </c>
      <c r="Q14" s="9" t="n">
        <v>14.41</v>
      </c>
      <c r="R14" s="9" t="n">
        <f aca="false">Q14-D14</f>
        <v>-1.39</v>
      </c>
    </row>
    <row r="15" customFormat="false" ht="15" hidden="false" customHeight="false" outlineLevel="0" collapsed="false">
      <c r="A15" s="2" t="n">
        <v>14</v>
      </c>
      <c r="B15" s="8" t="n">
        <f aca="false">SUMIF(محلات!$B$2:$B$350,A15,محلات!$D$2:$D$350)</f>
        <v>489101</v>
      </c>
      <c r="C15" s="2" t="n">
        <f aca="false">COUNTIF(محلات!$B$2:$B$350,A15)</f>
        <v>21</v>
      </c>
      <c r="D15" s="9" t="n">
        <v>12</v>
      </c>
      <c r="E15" s="9" t="n">
        <f aca="false">SUMPRODUCT((محلات!$B$2:$B$350=A15)*محلات!$D$2:$D$350*محلات!$E$2:$E$350)/B15</f>
        <v>12.0015828019162</v>
      </c>
      <c r="F15" s="8" t="n">
        <f aca="false">SUMIF(محلات!$B$2:$B$350,A15,محلات!$J$2:$J$350)</f>
        <v>58700</v>
      </c>
      <c r="G15" s="9" t="n">
        <f aca="false">_xlfn.MINIFS(محلات!$E$2:$E$350,محلات!$B$2:$B$350,A15)</f>
        <v>7.36</v>
      </c>
      <c r="H15" s="9" t="n">
        <f aca="false">_xlfn.MAXIFS(محلات!$E$2:$E$350,محلات!$B$2:$B$350,A15)</f>
        <v>17.92</v>
      </c>
      <c r="I15" s="9" t="n">
        <v>22.1</v>
      </c>
      <c r="J15" s="9" t="n">
        <v>22.2</v>
      </c>
      <c r="K15" s="9" t="n">
        <v>95.3</v>
      </c>
      <c r="L15" s="9" t="n">
        <v>60.8</v>
      </c>
      <c r="M15" s="9" t="n">
        <v>21.5</v>
      </c>
      <c r="N15" s="2" t="n">
        <v>19.0191</v>
      </c>
      <c r="O15" s="2" t="n">
        <f aca="false">ROUND(EXP(N15)/1000000,1)</f>
        <v>181.9</v>
      </c>
      <c r="P15" s="9" t="n">
        <v>50</v>
      </c>
      <c r="Q15" s="9" t="n">
        <v>12.1</v>
      </c>
      <c r="R15" s="9" t="n">
        <f aca="false">Q15-D15</f>
        <v>0.0999999999999996</v>
      </c>
    </row>
    <row r="16" customFormat="false" ht="15" hidden="false" customHeight="false" outlineLevel="0" collapsed="false">
      <c r="A16" s="2" t="n">
        <v>15</v>
      </c>
      <c r="B16" s="8" t="n">
        <f aca="false">SUMIF(محلات!$B$2:$B$350,A16,محلات!$D$2:$D$350)</f>
        <v>635811</v>
      </c>
      <c r="C16" s="2" t="n">
        <f aca="false">COUNTIF(محلات!$B$2:$B$350,A16)</f>
        <v>18</v>
      </c>
      <c r="D16" s="9" t="n">
        <v>6.7</v>
      </c>
      <c r="E16" s="9" t="n">
        <f aca="false">SUMPRODUCT((محلات!$B$2:$B$350=A16)*محلات!$D$2:$D$350*محلات!$E$2:$E$350)/B16</f>
        <v>6.69942193513481</v>
      </c>
      <c r="F16" s="8" t="n">
        <f aca="false">SUMIF(محلات!$B$2:$B$350,A16,محلات!$J$2:$J$350)</f>
        <v>42596</v>
      </c>
      <c r="G16" s="9" t="n">
        <f aca="false">_xlfn.MINIFS(محلات!$E$2:$E$350,محلات!$B$2:$B$350,A16)</f>
        <v>2.99</v>
      </c>
      <c r="H16" s="9" t="n">
        <f aca="false">_xlfn.MAXIFS(محلات!$E$2:$E$350,محلات!$B$2:$B$350,A16)</f>
        <v>24.76</v>
      </c>
      <c r="I16" s="9" t="n">
        <v>13.4</v>
      </c>
      <c r="J16" s="9" t="n">
        <v>15.3</v>
      </c>
      <c r="K16" s="9" t="n">
        <v>89.1</v>
      </c>
      <c r="L16" s="9" t="n">
        <v>41.9</v>
      </c>
      <c r="M16" s="9" t="n">
        <v>14.1</v>
      </c>
      <c r="N16" s="2" t="n">
        <v>18.6659</v>
      </c>
      <c r="O16" s="2" t="n">
        <f aca="false">ROUND(EXP(N16)/1000000,1)</f>
        <v>127.8</v>
      </c>
      <c r="P16" s="9" t="n">
        <v>88.4</v>
      </c>
      <c r="Q16" s="9" t="n">
        <v>7.68</v>
      </c>
      <c r="R16" s="9" t="n">
        <f aca="false">Q16-D16</f>
        <v>0.98</v>
      </c>
    </row>
    <row r="17" customFormat="false" ht="15" hidden="false" customHeight="false" outlineLevel="0" collapsed="false">
      <c r="A17" s="2" t="n">
        <v>16</v>
      </c>
      <c r="B17" s="8" t="n">
        <f aca="false">SUMIF(محلات!$B$2:$B$350,A17,محلات!$D$2:$D$350)</f>
        <v>267678</v>
      </c>
      <c r="C17" s="2" t="n">
        <f aca="false">COUNTIF(محلات!$B$2:$B$350,A17)</f>
        <v>9</v>
      </c>
      <c r="D17" s="9" t="n">
        <v>7.1</v>
      </c>
      <c r="E17" s="9" t="n">
        <f aca="false">SUMPRODUCT((محلات!$B$2:$B$350=A17)*محلات!$D$2:$D$350*محلات!$E$2:$E$350)/B17</f>
        <v>7.09991762490754</v>
      </c>
      <c r="F17" s="8" t="n">
        <f aca="false">SUMIF(محلات!$B$2:$B$350,A17,محلات!$J$2:$J$350)</f>
        <v>19004</v>
      </c>
      <c r="G17" s="9" t="n">
        <f aca="false">_xlfn.MINIFS(محلات!$E$2:$E$350,محلات!$B$2:$B$350,A17)</f>
        <v>4.42</v>
      </c>
      <c r="H17" s="9" t="n">
        <f aca="false">_xlfn.MAXIFS(محلات!$E$2:$E$350,محلات!$B$2:$B$350,A17)</f>
        <v>9.99</v>
      </c>
      <c r="I17" s="9" t="n">
        <v>13.9</v>
      </c>
      <c r="J17" s="9" t="n">
        <v>15.9</v>
      </c>
      <c r="K17" s="9" t="n">
        <v>90.8</v>
      </c>
      <c r="L17" s="9" t="n">
        <v>36.4</v>
      </c>
      <c r="M17" s="9" t="n">
        <v>15</v>
      </c>
      <c r="N17" s="2" t="n">
        <v>18.7421</v>
      </c>
      <c r="O17" s="2" t="n">
        <f aca="false">ROUND(EXP(N17)/1000000,1)</f>
        <v>137.9</v>
      </c>
      <c r="P17" s="9" t="n">
        <v>96.2</v>
      </c>
      <c r="Q17" s="9" t="n">
        <v>8.48</v>
      </c>
      <c r="R17" s="9" t="n">
        <f aca="false">Q17-D17</f>
        <v>1.38</v>
      </c>
    </row>
    <row r="18" customFormat="false" ht="15" hidden="false" customHeight="false" outlineLevel="0" collapsed="false">
      <c r="A18" s="2" t="n">
        <v>17</v>
      </c>
      <c r="B18" s="8" t="n">
        <f aca="false">SUMIF(محلات!$B$2:$B$350,A18,محلات!$D$2:$D$350)</f>
        <v>278354</v>
      </c>
      <c r="C18" s="2" t="n">
        <f aca="false">COUNTIF(محلات!$B$2:$B$350,A18)</f>
        <v>14</v>
      </c>
      <c r="D18" s="9" t="n">
        <v>6.4</v>
      </c>
      <c r="E18" s="9" t="n">
        <f aca="false">SUMPRODUCT((محلات!$B$2:$B$350=A18)*محلات!$D$2:$D$350*محلات!$E$2:$E$350)/B18</f>
        <v>6.40014370190477</v>
      </c>
      <c r="F18" s="8" t="n">
        <f aca="false">SUMIF(محلات!$B$2:$B$350,A18,محلات!$J$2:$J$350)</f>
        <v>17817</v>
      </c>
      <c r="G18" s="9" t="n">
        <f aca="false">_xlfn.MINIFS(محلات!$E$2:$E$350,محلات!$B$2:$B$350,A18)</f>
        <v>4.47</v>
      </c>
      <c r="H18" s="9" t="n">
        <f aca="false">_xlfn.MAXIFS(محلات!$E$2:$E$350,محلات!$B$2:$B$350,A18)</f>
        <v>10.67</v>
      </c>
      <c r="I18" s="9" t="n">
        <v>13</v>
      </c>
      <c r="J18" s="9" t="n">
        <v>15.3</v>
      </c>
      <c r="K18" s="9" t="n">
        <v>87.7</v>
      </c>
      <c r="L18" s="9" t="n">
        <v>33.3</v>
      </c>
      <c r="M18" s="9" t="n">
        <v>14</v>
      </c>
      <c r="N18" s="2" t="n">
        <v>18.6838</v>
      </c>
      <c r="O18" s="2" t="n">
        <f aca="false">ROUND(EXP(N18)/1000000,1)</f>
        <v>130.1</v>
      </c>
      <c r="P18" s="9" t="n">
        <v>100</v>
      </c>
      <c r="Q18" s="9" t="n">
        <v>7.86</v>
      </c>
      <c r="R18" s="9" t="n">
        <f aca="false">Q18-D18</f>
        <v>1.46</v>
      </c>
    </row>
    <row r="19" customFormat="false" ht="15" hidden="false" customHeight="false" outlineLevel="0" collapsed="false">
      <c r="A19" s="2" t="n">
        <v>18</v>
      </c>
      <c r="B19" s="8" t="n">
        <f aca="false">SUMIF(محلات!$B$2:$B$350,A19,محلات!$D$2:$D$350)</f>
        <v>419249</v>
      </c>
      <c r="C19" s="2" t="n">
        <f aca="false">COUNTIF(محلات!$B$2:$B$350,A19)</f>
        <v>18</v>
      </c>
      <c r="D19" s="9" t="n">
        <v>6.5</v>
      </c>
      <c r="E19" s="9" t="n">
        <f aca="false">SUMPRODUCT((محلات!$B$2:$B$350=A19)*محلات!$D$2:$D$350*محلات!$E$2:$E$350)/B19</f>
        <v>6.49931692144764</v>
      </c>
      <c r="F19" s="8" t="n">
        <f aca="false">SUMIF(محلات!$B$2:$B$350,A19,محلات!$J$2:$J$350)</f>
        <v>27249</v>
      </c>
      <c r="G19" s="9" t="n">
        <f aca="false">_xlfn.MINIFS(محلات!$E$2:$E$350,محلات!$B$2:$B$350,A19)</f>
        <v>3.66</v>
      </c>
      <c r="H19" s="9" t="n">
        <f aca="false">_xlfn.MAXIFS(محلات!$E$2:$E$350,محلات!$B$2:$B$350,A19)</f>
        <v>19.38</v>
      </c>
      <c r="I19" s="9" t="n">
        <v>13.2</v>
      </c>
      <c r="J19" s="9" t="n">
        <v>14.7</v>
      </c>
      <c r="K19" s="9" t="n">
        <v>89.8</v>
      </c>
      <c r="L19" s="9" t="n">
        <v>35.4</v>
      </c>
      <c r="M19" s="9" t="n">
        <v>14.1</v>
      </c>
      <c r="N19" s="2" t="n">
        <v>18.6245</v>
      </c>
      <c r="O19" s="2" t="n">
        <f aca="false">ROUND(EXP(N19)/1000000,1)</f>
        <v>122.6</v>
      </c>
      <c r="P19" s="9" t="n">
        <v>94.3</v>
      </c>
      <c r="Q19" s="9" t="n">
        <v>7.27</v>
      </c>
      <c r="R19" s="9" t="n">
        <f aca="false">Q19-D19</f>
        <v>0.77</v>
      </c>
    </row>
    <row r="20" customFormat="false" ht="15" hidden="false" customHeight="false" outlineLevel="0" collapsed="false">
      <c r="A20" s="2" t="n">
        <v>19</v>
      </c>
      <c r="B20" s="8" t="n">
        <f aca="false">SUMIF(محلات!$B$2:$B$350,A20,محلات!$D$2:$D$350)</f>
        <v>255533</v>
      </c>
      <c r="C20" s="2" t="n">
        <f aca="false">COUNTIF(محلات!$B$2:$B$350,A20)</f>
        <v>14</v>
      </c>
      <c r="D20" s="9" t="n">
        <v>5.7</v>
      </c>
      <c r="E20" s="9" t="n">
        <f aca="false">SUMPRODUCT((محلات!$B$2:$B$350=A20)*محلات!$D$2:$D$350*محلات!$E$2:$E$350)/B20</f>
        <v>5.70144948010629</v>
      </c>
      <c r="F20" s="8" t="n">
        <f aca="false">SUMIF(محلات!$B$2:$B$350,A20,محلات!$J$2:$J$350)</f>
        <v>14568</v>
      </c>
      <c r="G20" s="9" t="n">
        <f aca="false">_xlfn.MINIFS(محلات!$E$2:$E$350,محلات!$B$2:$B$350,A20)</f>
        <v>3.5</v>
      </c>
      <c r="H20" s="9" t="n">
        <f aca="false">_xlfn.MAXIFS(محلات!$E$2:$E$350,محلات!$B$2:$B$350,A20)</f>
        <v>7.48</v>
      </c>
      <c r="I20" s="9" t="n">
        <v>12.2</v>
      </c>
      <c r="J20" s="9" t="n">
        <v>14.3</v>
      </c>
      <c r="K20" s="9" t="n">
        <v>86.3</v>
      </c>
      <c r="L20" s="9" t="n">
        <v>32.8</v>
      </c>
      <c r="M20" s="9" t="n">
        <v>13.7</v>
      </c>
      <c r="N20" s="2" t="n">
        <v>18.749</v>
      </c>
      <c r="O20" s="2" t="n">
        <f aca="false">ROUND(EXP(N20)/1000000,1)</f>
        <v>138.9</v>
      </c>
      <c r="P20" s="9" t="n">
        <v>94.1</v>
      </c>
      <c r="Q20" s="9" t="n">
        <v>8.56</v>
      </c>
      <c r="R20" s="9" t="n">
        <f aca="false">Q20-D20</f>
        <v>2.86</v>
      </c>
    </row>
    <row r="21" customFormat="false" ht="15" hidden="false" customHeight="false" outlineLevel="0" collapsed="false">
      <c r="A21" s="2" t="n">
        <v>20</v>
      </c>
      <c r="B21" s="8" t="n">
        <f aca="false">SUMIF(محلات!$B$2:$B$350,A21,محلات!$D$2:$D$350)</f>
        <v>367429</v>
      </c>
      <c r="C21" s="2" t="n">
        <f aca="false">COUNTIF(محلات!$B$2:$B$350,A21)</f>
        <v>18</v>
      </c>
      <c r="D21" s="9" t="n">
        <v>9</v>
      </c>
      <c r="E21" s="9" t="n">
        <f aca="false">SUMPRODUCT((محلات!$B$2:$B$350=A21)*محلات!$D$2:$D$350*محلات!$E$2:$E$350)/B21</f>
        <v>9.00035791948921</v>
      </c>
      <c r="F21" s="8" t="n">
        <f aca="false">SUMIF(محلات!$B$2:$B$350,A21,محلات!$J$2:$J$350)</f>
        <v>33069</v>
      </c>
      <c r="G21" s="9" t="n">
        <f aca="false">_xlfn.MINIFS(محلات!$E$2:$E$350,محلات!$B$2:$B$350,A21)</f>
        <v>2.58</v>
      </c>
      <c r="H21" s="9" t="n">
        <f aca="false">_xlfn.MAXIFS(محلات!$E$2:$E$350,محلات!$B$2:$B$350,A21)</f>
        <v>22.04</v>
      </c>
      <c r="I21" s="9" t="n">
        <v>16.7</v>
      </c>
      <c r="J21" s="9" t="n">
        <v>18.9</v>
      </c>
      <c r="K21" s="9" t="n">
        <v>91</v>
      </c>
      <c r="L21" s="9" t="n">
        <v>42.9</v>
      </c>
      <c r="M21" s="9" t="n">
        <v>19</v>
      </c>
      <c r="N21" s="2" t="n">
        <v>19.4153</v>
      </c>
      <c r="O21" s="2" t="n">
        <f aca="false">ROUND(EXP(N21)/1000000,1)</f>
        <v>270.4</v>
      </c>
      <c r="P21" s="9" t="n">
        <v>12.8</v>
      </c>
      <c r="Q21" s="9" t="n">
        <v>19.49</v>
      </c>
      <c r="R21" s="9" t="n">
        <f aca="false">Q21-D21</f>
        <v>10.49</v>
      </c>
    </row>
    <row r="22" customFormat="false" ht="15" hidden="false" customHeight="false" outlineLevel="0" collapsed="false">
      <c r="A22" s="2" t="n">
        <v>21</v>
      </c>
      <c r="B22" s="8" t="n">
        <f aca="false">SUMIF(محلات!$B$2:$B$350,A22,محلات!$D$2:$D$350)</f>
        <v>186319</v>
      </c>
      <c r="C22" s="2" t="n">
        <f aca="false">COUNTIF(محلات!$B$2:$B$350,A22)</f>
        <v>13</v>
      </c>
      <c r="D22" s="9" t="n">
        <v>16</v>
      </c>
      <c r="E22" s="9" t="n">
        <f aca="false">SUMPRODUCT((محلات!$B$2:$B$350=A22)*محلات!$D$2:$D$350*محلات!$E$2:$E$350)/B22</f>
        <v>15.9987280416919</v>
      </c>
      <c r="F22" s="8" t="n">
        <f aca="false">SUMIF(محلات!$B$2:$B$350,A22,محلات!$J$2:$J$350)</f>
        <v>29810</v>
      </c>
      <c r="G22" s="9" t="n">
        <f aca="false">_xlfn.MINIFS(محلات!$E$2:$E$350,محلات!$B$2:$B$350,A22)</f>
        <v>8.49</v>
      </c>
      <c r="H22" s="9" t="n">
        <f aca="false">_xlfn.MAXIFS(محلات!$E$2:$E$350,محلات!$B$2:$B$350,A22)</f>
        <v>20.13</v>
      </c>
      <c r="I22" s="9" t="n">
        <v>29.8</v>
      </c>
      <c r="J22" s="9" t="n">
        <v>27.6</v>
      </c>
      <c r="K22" s="9" t="n">
        <v>95.7</v>
      </c>
      <c r="L22" s="9" t="n">
        <v>62.6</v>
      </c>
      <c r="M22" s="9" t="n">
        <v>26.9</v>
      </c>
      <c r="N22" s="2" t="n">
        <v>19.0274</v>
      </c>
      <c r="O22" s="2" t="n">
        <f aca="false">ROUND(EXP(N22)/1000000,1)</f>
        <v>183.4</v>
      </c>
      <c r="P22" s="9" t="n">
        <v>62.3</v>
      </c>
      <c r="Q22" s="9" t="n">
        <v>12.22</v>
      </c>
      <c r="R22" s="9" t="n">
        <f aca="false">Q22-D22</f>
        <v>-3.78</v>
      </c>
    </row>
    <row r="23" customFormat="false" ht="15" hidden="false" customHeight="false" outlineLevel="0" collapsed="false">
      <c r="A23" s="2" t="n">
        <v>22</v>
      </c>
      <c r="B23" s="8" t="n">
        <f aca="false">SUMIF(محلات!$B$2:$B$350,A23,محلات!$D$2:$D$350)</f>
        <v>174227</v>
      </c>
      <c r="C23" s="2" t="n">
        <f aca="false">COUNTIF(محلات!$B$2:$B$350,A23)</f>
        <v>12</v>
      </c>
      <c r="D23" s="9" t="n">
        <v>19.1</v>
      </c>
      <c r="E23" s="9" t="n">
        <f aca="false">SUMPRODUCT((محلات!$B$2:$B$350=A23)*محلات!$D$2:$D$350*محلات!$E$2:$E$350)/B23</f>
        <v>19.101588330167</v>
      </c>
      <c r="F23" s="8" t="n">
        <f aca="false">SUMIF(محلات!$B$2:$B$350,A23,محلات!$J$2:$J$350)</f>
        <v>33279</v>
      </c>
      <c r="G23" s="9" t="n">
        <f aca="false">_xlfn.MINIFS(محلات!$E$2:$E$350,محلات!$B$2:$B$350,A23)</f>
        <v>15.17</v>
      </c>
      <c r="H23" s="9" t="n">
        <f aca="false">_xlfn.MAXIFS(محلات!$E$2:$E$350,محلات!$B$2:$B$350,A23)</f>
        <v>21.9</v>
      </c>
      <c r="I23" s="9" t="n">
        <v>33.6</v>
      </c>
      <c r="J23" s="9" t="n">
        <v>31.7</v>
      </c>
      <c r="K23" s="9" t="n">
        <v>96.5</v>
      </c>
      <c r="L23" s="9" t="n">
        <v>73.7</v>
      </c>
      <c r="M23" s="9" t="n">
        <v>33.4</v>
      </c>
      <c r="N23" s="2" t="n">
        <v>19.2148</v>
      </c>
      <c r="O23" s="2" t="n">
        <f aca="false">ROUND(EXP(N23)/1000000,1)</f>
        <v>221.2</v>
      </c>
      <c r="P23" s="9" t="n">
        <v>69.4</v>
      </c>
      <c r="Q23" s="9" t="n">
        <v>15.39</v>
      </c>
      <c r="R23" s="9" t="n">
        <f aca="false">Q23-D23</f>
        <v>-3.71</v>
      </c>
    </row>
    <row r="24" customFormat="false" ht="15" hidden="false" customHeight="false" outlineLevel="0" collapsed="false">
      <c r="A24" s="13" t="s">
        <v>499</v>
      </c>
      <c r="B24" s="4" t="n">
        <f aca="false">SUM(B2:B23)</f>
        <v>8627281</v>
      </c>
      <c r="C24" s="4" t="n">
        <f aca="false">SUM(C2:C23)</f>
        <v>349</v>
      </c>
      <c r="E24" s="5" t="n">
        <f aca="false">F24/B24*100</f>
        <v>17.8539217628358</v>
      </c>
      <c r="F24" s="4" t="n">
        <f aca="false">SUM(F2:F23)</f>
        <v>1540308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20.85" hidden="false" customHeight="false" outlineLevel="0" collapsed="false">
      <c r="A1" s="1" t="s">
        <v>500</v>
      </c>
    </row>
    <row r="3" customFormat="false" ht="48" hidden="false" customHeight="true" outlineLevel="0" collapsed="false">
      <c r="A3" s="7" t="s">
        <v>501</v>
      </c>
      <c r="B3" s="7" t="s">
        <v>502</v>
      </c>
      <c r="C3" s="7" t="s">
        <v>503</v>
      </c>
      <c r="D3" s="7" t="s">
        <v>504</v>
      </c>
      <c r="E3" s="14" t="s">
        <v>505</v>
      </c>
      <c r="F3" s="7" t="s">
        <v>506</v>
      </c>
      <c r="G3" s="7" t="s">
        <v>507</v>
      </c>
      <c r="H3" s="14" t="s">
        <v>508</v>
      </c>
    </row>
    <row r="4" customFormat="false" ht="15" hidden="false" customHeight="false" outlineLevel="0" collapsed="false">
      <c r="A4" s="2" t="s">
        <v>509</v>
      </c>
      <c r="B4" s="2" t="n">
        <v>-17.329</v>
      </c>
      <c r="C4" s="2" t="n">
        <v>1.055</v>
      </c>
      <c r="D4" s="2" t="n">
        <v>0.197</v>
      </c>
      <c r="E4" s="2" t="n">
        <v>0.589</v>
      </c>
      <c r="F4" s="2" t="n">
        <v>0.703</v>
      </c>
      <c r="G4" s="2" t="n">
        <v>1.92</v>
      </c>
      <c r="H4" s="2" t="n">
        <v>2.45</v>
      </c>
    </row>
    <row r="5" customFormat="false" ht="15" hidden="false" customHeight="false" outlineLevel="0" collapsed="false">
      <c r="A5" s="2" t="s">
        <v>510</v>
      </c>
      <c r="B5" s="2" t="n">
        <v>-38.435</v>
      </c>
      <c r="C5" s="2" t="n">
        <v>2.036</v>
      </c>
      <c r="D5" s="2" t="n">
        <v>0.211</v>
      </c>
      <c r="E5" s="2" t="n">
        <v>0.823</v>
      </c>
      <c r="F5" s="2" t="n">
        <v>0.873</v>
      </c>
      <c r="G5" s="2" t="n">
        <v>6.34</v>
      </c>
      <c r="H5" s="2" t="n">
        <v>9.27</v>
      </c>
    </row>
    <row r="6" customFormat="false" ht="15" hidden="false" customHeight="false" outlineLevel="0" collapsed="false">
      <c r="A6" s="2" t="s">
        <v>511</v>
      </c>
      <c r="B6" s="2" t="n">
        <v>-29.105</v>
      </c>
      <c r="C6" s="2" t="n">
        <v>1.426</v>
      </c>
      <c r="D6" s="2" t="n">
        <v>0.155</v>
      </c>
      <c r="E6" s="2" t="n">
        <v>0.809</v>
      </c>
      <c r="F6" s="2" t="n">
        <v>0.928</v>
      </c>
      <c r="G6" s="2" t="n">
        <v>3</v>
      </c>
      <c r="H6" s="2" t="n">
        <v>4.15</v>
      </c>
    </row>
    <row r="7" customFormat="false" ht="15" hidden="false" customHeight="false" outlineLevel="0" collapsed="false">
      <c r="A7" s="2" t="s">
        <v>512</v>
      </c>
      <c r="B7" s="2" t="n">
        <v>-28.339</v>
      </c>
      <c r="C7" s="2" t="n">
        <v>1.425</v>
      </c>
      <c r="D7" s="2" t="n">
        <v>0.155</v>
      </c>
      <c r="E7" s="2" t="n">
        <v>0.808</v>
      </c>
      <c r="F7" s="2" t="n">
        <v>0.914</v>
      </c>
      <c r="G7" s="2" t="n">
        <v>4.26</v>
      </c>
      <c r="H7" s="2" t="n">
        <v>6.06</v>
      </c>
    </row>
    <row r="8" customFormat="false" ht="15" hidden="false" customHeight="false" outlineLevel="0" collapsed="false">
      <c r="A8" s="2" t="s">
        <v>513</v>
      </c>
      <c r="B8" s="2" t="n">
        <v>-23.488</v>
      </c>
      <c r="C8" s="2" t="n">
        <v>1.173</v>
      </c>
      <c r="D8" s="2" t="n">
        <v>0.127</v>
      </c>
      <c r="E8" s="2" t="n">
        <v>0.811</v>
      </c>
      <c r="F8" s="2" t="n">
        <v>0.912</v>
      </c>
      <c r="G8" s="2" t="n">
        <v>3.74</v>
      </c>
      <c r="H8" s="2" t="n">
        <v>5.18</v>
      </c>
    </row>
    <row r="9" customFormat="false" ht="15" hidden="false" customHeight="false" outlineLevel="0" collapsed="false">
      <c r="A9" s="2" t="s">
        <v>514</v>
      </c>
      <c r="B9" s="2" t="n">
        <v>-25.794</v>
      </c>
      <c r="C9" s="2" t="n">
        <v>1.292</v>
      </c>
      <c r="D9" s="2" t="n">
        <v>0.127</v>
      </c>
      <c r="E9" s="2" t="n">
        <v>0.839</v>
      </c>
      <c r="F9" s="2" t="n">
        <v>0.926</v>
      </c>
      <c r="G9" s="2" t="n">
        <v>3.72</v>
      </c>
      <c r="H9" s="2" t="n">
        <v>5.04</v>
      </c>
    </row>
    <row r="11" customFormat="false" ht="16.4" hidden="false" customHeight="false" outlineLevel="0" collapsed="false">
      <c r="A11" s="2" t="s">
        <v>515</v>
      </c>
    </row>
    <row r="12" customFormat="false" ht="16.4" hidden="false" customHeight="false" outlineLevel="0" collapsed="false">
      <c r="A12" s="2" t="s">
        <v>516</v>
      </c>
    </row>
    <row r="13" customFormat="false" ht="16.4" hidden="false" customHeight="false" outlineLevel="0" collapsed="false">
      <c r="A13" s="2" t="s">
        <v>517</v>
      </c>
    </row>
    <row r="14" customFormat="false" ht="16.4" hidden="false" customHeight="false" outlineLevel="0" collapsed="false">
      <c r="A14" s="2" t="s">
        <v>518</v>
      </c>
    </row>
    <row r="15" customFormat="false" ht="16.4" hidden="false" customHeight="false" outlineLevel="0" collapsed="false">
      <c r="A15" s="2" t="s">
        <v>519</v>
      </c>
    </row>
    <row r="16" customFormat="false" ht="16.4" hidden="false" customHeight="false" outlineLevel="0" collapsed="false">
      <c r="A16" s="2" t="s">
        <v>520</v>
      </c>
    </row>
    <row r="17" customFormat="false" ht="16.4" hidden="false" customHeight="false" outlineLevel="0" collapsed="false">
      <c r="A17" s="2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48" hidden="false" customHeight="true" outlineLevel="0" collapsed="false">
      <c r="A1" s="7" t="s">
        <v>522</v>
      </c>
      <c r="B1" s="7" t="s">
        <v>523</v>
      </c>
      <c r="C1" s="7" t="s">
        <v>39</v>
      </c>
      <c r="D1" s="7" t="s">
        <v>524</v>
      </c>
      <c r="E1" s="7" t="s">
        <v>525</v>
      </c>
      <c r="F1" s="7" t="s">
        <v>526</v>
      </c>
      <c r="G1" s="7" t="s">
        <v>527</v>
      </c>
    </row>
    <row r="2" customFormat="false" ht="15" hidden="false" customHeight="false" outlineLevel="0" collapsed="false">
      <c r="A2" s="2" t="n">
        <v>55</v>
      </c>
      <c r="B2" s="2" t="s">
        <v>44</v>
      </c>
      <c r="C2" s="2" t="n">
        <v>88</v>
      </c>
      <c r="D2" s="2" t="n">
        <v>844.4</v>
      </c>
      <c r="E2" s="2" t="n">
        <v>696.4</v>
      </c>
      <c r="F2" s="2" t="n">
        <v>1000</v>
      </c>
      <c r="G2" s="2" t="n">
        <v>0.278</v>
      </c>
    </row>
    <row r="3" customFormat="false" ht="15" hidden="false" customHeight="false" outlineLevel="0" collapsed="false">
      <c r="A3" s="2" t="n">
        <v>56</v>
      </c>
      <c r="B3" s="2" t="s">
        <v>47</v>
      </c>
      <c r="C3" s="2" t="n">
        <v>87</v>
      </c>
      <c r="D3" s="2" t="n">
        <v>831.2</v>
      </c>
      <c r="E3" s="2" t="n">
        <v>640</v>
      </c>
      <c r="F3" s="2" t="n">
        <v>1000</v>
      </c>
      <c r="G3" s="2" t="n">
        <v>0.325</v>
      </c>
    </row>
    <row r="4" customFormat="false" ht="15" hidden="false" customHeight="false" outlineLevel="0" collapsed="false">
      <c r="A4" s="2" t="n">
        <v>85</v>
      </c>
      <c r="B4" s="2" t="s">
        <v>528</v>
      </c>
      <c r="C4" s="2" t="n">
        <v>87</v>
      </c>
      <c r="D4" s="2" t="n">
        <v>831.1</v>
      </c>
      <c r="E4" s="2" t="n">
        <v>692.3</v>
      </c>
      <c r="F4" s="2" t="n">
        <v>1105.3</v>
      </c>
      <c r="G4" s="2" t="n">
        <v>0.292</v>
      </c>
    </row>
    <row r="5" customFormat="false" ht="15" hidden="false" customHeight="false" outlineLevel="0" collapsed="false">
      <c r="A5" s="2" t="n">
        <v>62</v>
      </c>
      <c r="B5" s="2" t="s">
        <v>529</v>
      </c>
      <c r="C5" s="2" t="n">
        <v>84</v>
      </c>
      <c r="D5" s="2" t="n">
        <v>753.4</v>
      </c>
      <c r="E5" s="2" t="n">
        <v>613.7</v>
      </c>
      <c r="F5" s="2" t="n">
        <v>997.5</v>
      </c>
      <c r="G5" s="2" t="n">
        <v>0.303</v>
      </c>
    </row>
    <row r="6" customFormat="false" ht="15" hidden="false" customHeight="false" outlineLevel="0" collapsed="false">
      <c r="A6" s="2" t="n">
        <v>60</v>
      </c>
      <c r="B6" s="2" t="s">
        <v>48</v>
      </c>
      <c r="C6" s="2" t="n">
        <v>88</v>
      </c>
      <c r="D6" s="2" t="n">
        <v>704.4</v>
      </c>
      <c r="E6" s="2" t="n">
        <v>574</v>
      </c>
      <c r="F6" s="2" t="n">
        <v>877.8</v>
      </c>
      <c r="G6" s="2" t="n">
        <v>0.29</v>
      </c>
    </row>
    <row r="7" customFormat="false" ht="15" hidden="false" customHeight="false" outlineLevel="0" collapsed="false">
      <c r="A7" s="2" t="n">
        <v>64</v>
      </c>
      <c r="B7" s="2" t="s">
        <v>51</v>
      </c>
      <c r="C7" s="2" t="n">
        <v>88</v>
      </c>
      <c r="D7" s="2" t="n">
        <v>682.1</v>
      </c>
      <c r="E7" s="2" t="n">
        <v>558.1</v>
      </c>
      <c r="F7" s="2" t="n">
        <v>851</v>
      </c>
      <c r="G7" s="2" t="n">
        <v>0.312</v>
      </c>
    </row>
    <row r="8" customFormat="false" ht="15" hidden="false" customHeight="false" outlineLevel="0" collapsed="false">
      <c r="A8" s="2" t="n">
        <v>71</v>
      </c>
      <c r="B8" s="2" t="s">
        <v>113</v>
      </c>
      <c r="C8" s="2" t="n">
        <v>92</v>
      </c>
      <c r="D8" s="2" t="n">
        <v>678.9</v>
      </c>
      <c r="E8" s="2" t="n">
        <v>510.8</v>
      </c>
      <c r="F8" s="2" t="n">
        <v>899.9</v>
      </c>
      <c r="G8" s="2" t="n">
        <v>0.345</v>
      </c>
    </row>
    <row r="9" customFormat="false" ht="15" hidden="false" customHeight="false" outlineLevel="0" collapsed="false">
      <c r="A9" s="2" t="n">
        <v>42</v>
      </c>
      <c r="B9" s="2" t="s">
        <v>53</v>
      </c>
      <c r="C9" s="2" t="n">
        <v>90</v>
      </c>
      <c r="D9" s="2" t="n">
        <v>671.2</v>
      </c>
      <c r="E9" s="2" t="n">
        <v>534.2</v>
      </c>
      <c r="F9" s="2" t="n">
        <v>800.8</v>
      </c>
      <c r="G9" s="2" t="n">
        <v>0.293</v>
      </c>
    </row>
    <row r="10" customFormat="false" ht="15" hidden="false" customHeight="false" outlineLevel="0" collapsed="false">
      <c r="A10" s="2" t="n">
        <v>75</v>
      </c>
      <c r="B10" s="2" t="s">
        <v>84</v>
      </c>
      <c r="C10" s="2" t="n">
        <v>88</v>
      </c>
      <c r="D10" s="2" t="n">
        <v>656.2</v>
      </c>
      <c r="E10" s="2" t="n">
        <v>472.9</v>
      </c>
      <c r="F10" s="2" t="n">
        <v>925.4</v>
      </c>
      <c r="G10" s="2" t="n">
        <v>0.43</v>
      </c>
    </row>
    <row r="11" customFormat="false" ht="15" hidden="false" customHeight="false" outlineLevel="0" collapsed="false">
      <c r="A11" s="2" t="n">
        <v>942</v>
      </c>
      <c r="B11" s="2" t="s">
        <v>52</v>
      </c>
      <c r="C11" s="2" t="n">
        <v>87</v>
      </c>
      <c r="D11" s="2" t="n">
        <v>653.3</v>
      </c>
      <c r="E11" s="2" t="n">
        <v>535.7</v>
      </c>
      <c r="F11" s="2" t="n">
        <v>800</v>
      </c>
      <c r="G11" s="2" t="n">
        <v>0.276</v>
      </c>
    </row>
    <row r="12" customFormat="false" ht="15" hidden="false" customHeight="false" outlineLevel="0" collapsed="false">
      <c r="A12" s="2" t="n">
        <v>930</v>
      </c>
      <c r="B12" s="2" t="s">
        <v>49</v>
      </c>
      <c r="C12" s="2" t="n">
        <v>13</v>
      </c>
      <c r="D12" s="2" t="n">
        <v>650</v>
      </c>
      <c r="E12" s="2" t="n">
        <v>499.9</v>
      </c>
      <c r="F12" s="2" t="n">
        <v>1000</v>
      </c>
      <c r="G12" s="2" t="n">
        <v>0.351</v>
      </c>
    </row>
    <row r="13" customFormat="false" ht="16.4" hidden="false" customHeight="false" outlineLevel="0" collapsed="false">
      <c r="A13" s="2" t="n">
        <v>44</v>
      </c>
      <c r="B13" s="2" t="s">
        <v>56</v>
      </c>
      <c r="C13" s="2" t="n">
        <v>91</v>
      </c>
      <c r="D13" s="2" t="n">
        <v>646.9</v>
      </c>
      <c r="E13" s="2" t="n">
        <v>527.3</v>
      </c>
      <c r="F13" s="2" t="n">
        <v>771.4</v>
      </c>
      <c r="G13" s="2" t="n">
        <v>0.288</v>
      </c>
    </row>
    <row r="14" customFormat="false" ht="15" hidden="false" customHeight="false" outlineLevel="0" collapsed="false">
      <c r="A14" s="2" t="n">
        <v>78</v>
      </c>
      <c r="B14" s="2" t="s">
        <v>530</v>
      </c>
      <c r="C14" s="2" t="n">
        <v>90</v>
      </c>
      <c r="D14" s="2" t="n">
        <v>643.6</v>
      </c>
      <c r="E14" s="2" t="n">
        <v>500</v>
      </c>
      <c r="F14" s="2" t="n">
        <v>750</v>
      </c>
      <c r="G14" s="2" t="n">
        <v>0.282</v>
      </c>
    </row>
    <row r="15" customFormat="false" ht="16.4" hidden="false" customHeight="false" outlineLevel="0" collapsed="false">
      <c r="A15" s="2" t="n">
        <v>45</v>
      </c>
      <c r="B15" s="2" t="s">
        <v>58</v>
      </c>
      <c r="C15" s="2" t="n">
        <v>86</v>
      </c>
      <c r="D15" s="2" t="n">
        <v>636.8</v>
      </c>
      <c r="E15" s="2" t="n">
        <v>500</v>
      </c>
      <c r="F15" s="2" t="n">
        <v>812.5</v>
      </c>
      <c r="G15" s="2" t="n">
        <v>0.347</v>
      </c>
    </row>
    <row r="16" customFormat="false" ht="15" hidden="false" customHeight="false" outlineLevel="0" collapsed="false">
      <c r="A16" s="2" t="n">
        <v>66</v>
      </c>
      <c r="B16" s="2" t="s">
        <v>59</v>
      </c>
      <c r="C16" s="2" t="n">
        <v>88</v>
      </c>
      <c r="D16" s="2" t="n">
        <v>608.8</v>
      </c>
      <c r="E16" s="2" t="n">
        <v>515.7</v>
      </c>
      <c r="F16" s="2" t="n">
        <v>778.7</v>
      </c>
      <c r="G16" s="2" t="n">
        <v>0.296</v>
      </c>
    </row>
    <row r="17" customFormat="false" ht="15" hidden="false" customHeight="false" outlineLevel="0" collapsed="false">
      <c r="A17" s="2" t="n">
        <v>40</v>
      </c>
      <c r="B17" s="2" t="s">
        <v>531</v>
      </c>
      <c r="C17" s="2" t="n">
        <v>89</v>
      </c>
      <c r="D17" s="2" t="n">
        <v>605.3</v>
      </c>
      <c r="E17" s="2" t="n">
        <v>513.7</v>
      </c>
      <c r="F17" s="2" t="n">
        <v>706.1</v>
      </c>
      <c r="G17" s="2" t="n">
        <v>0.23</v>
      </c>
    </row>
    <row r="18" customFormat="false" ht="15" hidden="false" customHeight="false" outlineLevel="0" collapsed="false">
      <c r="A18" s="2" t="n">
        <v>43</v>
      </c>
      <c r="B18" s="2" t="s">
        <v>60</v>
      </c>
      <c r="C18" s="2" t="n">
        <v>90</v>
      </c>
      <c r="D18" s="2" t="n">
        <v>595.9</v>
      </c>
      <c r="E18" s="2" t="n">
        <v>471.7</v>
      </c>
      <c r="F18" s="2" t="n">
        <v>695.1</v>
      </c>
      <c r="G18" s="2" t="n">
        <v>0.256</v>
      </c>
    </row>
    <row r="19" customFormat="false" ht="15" hidden="false" customHeight="false" outlineLevel="0" collapsed="false">
      <c r="A19" s="2" t="n">
        <v>927</v>
      </c>
      <c r="B19" s="2" t="s">
        <v>85</v>
      </c>
      <c r="C19" s="2" t="n">
        <v>90</v>
      </c>
      <c r="D19" s="2" t="n">
        <v>595.7</v>
      </c>
      <c r="E19" s="2" t="n">
        <v>437.5</v>
      </c>
      <c r="F19" s="2" t="n">
        <v>729.9</v>
      </c>
      <c r="G19" s="2" t="n">
        <v>0.309</v>
      </c>
    </row>
    <row r="20" customFormat="false" ht="15" hidden="false" customHeight="false" outlineLevel="0" collapsed="false">
      <c r="A20" s="2" t="n">
        <v>48</v>
      </c>
      <c r="B20" s="2" t="s">
        <v>436</v>
      </c>
      <c r="C20" s="2" t="n">
        <v>89</v>
      </c>
      <c r="D20" s="2" t="n">
        <v>574.4</v>
      </c>
      <c r="E20" s="2" t="n">
        <v>463</v>
      </c>
      <c r="F20" s="2" t="n">
        <v>735</v>
      </c>
      <c r="G20" s="2" t="n">
        <v>0.36</v>
      </c>
    </row>
    <row r="21" customFormat="false" ht="15" hidden="false" customHeight="false" outlineLevel="0" collapsed="false">
      <c r="A21" s="2" t="n">
        <v>65</v>
      </c>
      <c r="B21" s="2" t="s">
        <v>61</v>
      </c>
      <c r="C21" s="2" t="n">
        <v>89</v>
      </c>
      <c r="D21" s="2" t="n">
        <v>562.5</v>
      </c>
      <c r="E21" s="2" t="n">
        <v>451.1</v>
      </c>
      <c r="F21" s="2" t="n">
        <v>666.7</v>
      </c>
      <c r="G21" s="2" t="n">
        <v>0.259</v>
      </c>
    </row>
    <row r="22" customFormat="false" ht="15" hidden="false" customHeight="false" outlineLevel="0" collapsed="false">
      <c r="A22" s="2" t="n">
        <v>67</v>
      </c>
      <c r="B22" s="2" t="s">
        <v>128</v>
      </c>
      <c r="C22" s="2" t="n">
        <v>93</v>
      </c>
      <c r="D22" s="2" t="n">
        <v>548.1</v>
      </c>
      <c r="E22" s="2" t="n">
        <v>455.9</v>
      </c>
      <c r="F22" s="2" t="n">
        <v>646.4</v>
      </c>
      <c r="G22" s="2" t="n">
        <v>0.259</v>
      </c>
    </row>
    <row r="23" customFormat="false" ht="15" hidden="false" customHeight="false" outlineLevel="0" collapsed="false">
      <c r="A23" s="2" t="n">
        <v>61</v>
      </c>
      <c r="B23" s="2" t="s">
        <v>62</v>
      </c>
      <c r="C23" s="2" t="n">
        <v>82</v>
      </c>
      <c r="D23" s="2" t="n">
        <v>546.9</v>
      </c>
      <c r="E23" s="2" t="n">
        <v>461.4</v>
      </c>
      <c r="F23" s="2" t="n">
        <v>639.3</v>
      </c>
      <c r="G23" s="2" t="n">
        <v>0.34</v>
      </c>
    </row>
    <row r="24" customFormat="false" ht="15" hidden="false" customHeight="false" outlineLevel="0" collapsed="false">
      <c r="A24" s="2" t="n">
        <v>138</v>
      </c>
      <c r="B24" s="2" t="s">
        <v>532</v>
      </c>
      <c r="C24" s="2" t="n">
        <v>87</v>
      </c>
      <c r="D24" s="2" t="n">
        <v>520.8</v>
      </c>
      <c r="E24" s="2" t="n">
        <v>384.1</v>
      </c>
      <c r="F24" s="2" t="n">
        <v>600</v>
      </c>
      <c r="G24" s="2" t="n">
        <v>0.294</v>
      </c>
    </row>
    <row r="25" customFormat="false" ht="15" hidden="false" customHeight="false" outlineLevel="0" collapsed="false">
      <c r="A25" s="2" t="n">
        <v>931</v>
      </c>
      <c r="B25" s="2" t="s">
        <v>68</v>
      </c>
      <c r="C25" s="2" t="n">
        <v>91</v>
      </c>
      <c r="D25" s="2" t="n">
        <v>520</v>
      </c>
      <c r="E25" s="2" t="n">
        <v>435.5</v>
      </c>
      <c r="F25" s="2" t="n">
        <v>616.8</v>
      </c>
      <c r="G25" s="2" t="n">
        <v>0.24</v>
      </c>
    </row>
    <row r="26" customFormat="false" ht="15" hidden="false" customHeight="false" outlineLevel="0" collapsed="false">
      <c r="A26" s="2" t="n">
        <v>929</v>
      </c>
      <c r="B26" s="2" t="s">
        <v>87</v>
      </c>
      <c r="C26" s="2" t="n">
        <v>93</v>
      </c>
      <c r="D26" s="2" t="n">
        <v>503.6</v>
      </c>
      <c r="E26" s="2" t="n">
        <v>446.2</v>
      </c>
      <c r="F26" s="2" t="n">
        <v>582.4</v>
      </c>
      <c r="G26" s="2" t="n">
        <v>0.204</v>
      </c>
    </row>
    <row r="27" customFormat="false" ht="15" hidden="false" customHeight="false" outlineLevel="0" collapsed="false">
      <c r="A27" s="2" t="n">
        <v>87</v>
      </c>
      <c r="B27" s="2" t="s">
        <v>122</v>
      </c>
      <c r="C27" s="2" t="n">
        <v>5</v>
      </c>
      <c r="D27" s="2" t="n">
        <v>500</v>
      </c>
      <c r="E27" s="2" t="n">
        <v>312.8</v>
      </c>
      <c r="F27" s="2" t="n">
        <v>516.8</v>
      </c>
      <c r="G27" s="2" t="n">
        <v>0.247</v>
      </c>
    </row>
    <row r="28" customFormat="false" ht="15" hidden="false" customHeight="false" outlineLevel="0" collapsed="false">
      <c r="A28" s="2" t="n">
        <v>924</v>
      </c>
      <c r="B28" s="2" t="s">
        <v>533</v>
      </c>
      <c r="C28" s="2" t="n">
        <v>11</v>
      </c>
      <c r="D28" s="2" t="n">
        <v>487.5</v>
      </c>
      <c r="E28" s="2" t="n">
        <v>408</v>
      </c>
      <c r="F28" s="2" t="n">
        <v>552.4</v>
      </c>
      <c r="G28" s="2" t="n">
        <v>0.158</v>
      </c>
    </row>
    <row r="29" customFormat="false" ht="15" hidden="false" customHeight="false" outlineLevel="0" collapsed="false">
      <c r="A29" s="2" t="n">
        <v>74</v>
      </c>
      <c r="B29" s="2" t="s">
        <v>534</v>
      </c>
      <c r="C29" s="2" t="n">
        <v>89</v>
      </c>
      <c r="D29" s="2" t="n">
        <v>481.8</v>
      </c>
      <c r="E29" s="2" t="n">
        <v>391.5</v>
      </c>
      <c r="F29" s="2" t="n">
        <v>620.8</v>
      </c>
      <c r="G29" s="2" t="n">
        <v>0.251</v>
      </c>
    </row>
    <row r="30" customFormat="false" ht="15" hidden="false" customHeight="false" outlineLevel="0" collapsed="false">
      <c r="A30" s="2" t="n">
        <v>923</v>
      </c>
      <c r="B30" s="2" t="s">
        <v>89</v>
      </c>
      <c r="C30" s="2" t="n">
        <v>60</v>
      </c>
      <c r="D30" s="2" t="n">
        <v>479.8</v>
      </c>
      <c r="E30" s="2" t="n">
        <v>438.4</v>
      </c>
      <c r="F30" s="2" t="n">
        <v>510.1</v>
      </c>
      <c r="G30" s="2" t="n">
        <v>0.157</v>
      </c>
    </row>
    <row r="31" customFormat="false" ht="15" hidden="false" customHeight="false" outlineLevel="0" collapsed="false">
      <c r="A31" s="2" t="n">
        <v>81</v>
      </c>
      <c r="B31" s="2" t="s">
        <v>535</v>
      </c>
      <c r="C31" s="2" t="n">
        <v>10</v>
      </c>
      <c r="D31" s="2" t="n">
        <v>479.8</v>
      </c>
      <c r="E31" s="2" t="n">
        <v>339.4</v>
      </c>
      <c r="F31" s="2" t="n">
        <v>513.5</v>
      </c>
      <c r="G31" s="2" t="n">
        <v>0.462</v>
      </c>
    </row>
    <row r="32" customFormat="false" ht="15" hidden="false" customHeight="false" outlineLevel="0" collapsed="false">
      <c r="A32" s="2" t="n">
        <v>315</v>
      </c>
      <c r="B32" s="2" t="s">
        <v>116</v>
      </c>
      <c r="C32" s="2" t="n">
        <v>86</v>
      </c>
      <c r="D32" s="2" t="n">
        <v>479.5</v>
      </c>
      <c r="E32" s="2" t="n">
        <v>400</v>
      </c>
      <c r="F32" s="2" t="n">
        <v>572.1</v>
      </c>
      <c r="G32" s="2" t="n">
        <v>0.268</v>
      </c>
    </row>
    <row r="33" customFormat="false" ht="15" hidden="false" customHeight="false" outlineLevel="0" collapsed="false">
      <c r="A33" s="2" t="n">
        <v>88</v>
      </c>
      <c r="B33" s="2" t="s">
        <v>91</v>
      </c>
      <c r="C33" s="2" t="n">
        <v>95</v>
      </c>
      <c r="D33" s="2" t="n">
        <v>473.2</v>
      </c>
      <c r="E33" s="2" t="n">
        <v>416.7</v>
      </c>
      <c r="F33" s="2" t="n">
        <v>529.4</v>
      </c>
      <c r="G33" s="2" t="n">
        <v>0.221</v>
      </c>
    </row>
    <row r="34" customFormat="false" ht="15" hidden="false" customHeight="false" outlineLevel="0" collapsed="false">
      <c r="A34" s="2" t="n">
        <v>63</v>
      </c>
      <c r="B34" s="2" t="s">
        <v>69</v>
      </c>
      <c r="C34" s="2" t="n">
        <v>78</v>
      </c>
      <c r="D34" s="2" t="n">
        <v>470.1</v>
      </c>
      <c r="E34" s="2" t="n">
        <v>396</v>
      </c>
      <c r="F34" s="2" t="n">
        <v>542.7</v>
      </c>
      <c r="G34" s="2" t="n">
        <v>0.246</v>
      </c>
    </row>
    <row r="35" customFormat="false" ht="15" hidden="false" customHeight="false" outlineLevel="0" collapsed="false">
      <c r="A35" s="2" t="n">
        <v>360</v>
      </c>
      <c r="B35" s="2" t="s">
        <v>115</v>
      </c>
      <c r="C35" s="2" t="n">
        <v>93</v>
      </c>
      <c r="D35" s="2" t="n">
        <v>464.3</v>
      </c>
      <c r="E35" s="2" t="n">
        <v>395.1</v>
      </c>
      <c r="F35" s="2" t="n">
        <v>564.9</v>
      </c>
      <c r="G35" s="2" t="n">
        <v>0.239</v>
      </c>
    </row>
    <row r="36" customFormat="false" ht="16.4" hidden="false" customHeight="false" outlineLevel="0" collapsed="false">
      <c r="A36" s="2" t="n">
        <v>934</v>
      </c>
      <c r="B36" s="2" t="s">
        <v>195</v>
      </c>
      <c r="C36" s="2" t="n">
        <v>90</v>
      </c>
      <c r="D36" s="2" t="n">
        <v>453.1</v>
      </c>
      <c r="E36" s="2" t="n">
        <v>377.8</v>
      </c>
      <c r="F36" s="2" t="n">
        <v>561.2</v>
      </c>
      <c r="G36" s="2" t="n">
        <v>0.286</v>
      </c>
    </row>
    <row r="37" customFormat="false" ht="15" hidden="false" customHeight="false" outlineLevel="0" collapsed="false">
      <c r="A37" s="2" t="n">
        <v>68</v>
      </c>
      <c r="B37" s="2" t="s">
        <v>117</v>
      </c>
      <c r="C37" s="2" t="n">
        <v>91</v>
      </c>
      <c r="D37" s="2" t="n">
        <v>450</v>
      </c>
      <c r="E37" s="2" t="n">
        <v>403.2</v>
      </c>
      <c r="F37" s="2" t="n">
        <v>548.3</v>
      </c>
      <c r="G37" s="2" t="n">
        <v>0.214</v>
      </c>
    </row>
    <row r="38" customFormat="false" ht="15" hidden="false" customHeight="false" outlineLevel="0" collapsed="false">
      <c r="A38" s="2" t="n">
        <v>72</v>
      </c>
      <c r="B38" s="2" t="s">
        <v>536</v>
      </c>
      <c r="C38" s="2" t="n">
        <v>91</v>
      </c>
      <c r="D38" s="2" t="n">
        <v>450</v>
      </c>
      <c r="E38" s="2" t="n">
        <v>387.8</v>
      </c>
      <c r="F38" s="2" t="n">
        <v>553.8</v>
      </c>
      <c r="G38" s="2" t="n">
        <v>0.228</v>
      </c>
    </row>
    <row r="39" customFormat="false" ht="15" hidden="false" customHeight="false" outlineLevel="0" collapsed="false">
      <c r="A39" s="2" t="n">
        <v>941</v>
      </c>
      <c r="B39" s="2" t="s">
        <v>114</v>
      </c>
      <c r="C39" s="2" t="n">
        <v>92</v>
      </c>
      <c r="D39" s="2" t="n">
        <v>450</v>
      </c>
      <c r="E39" s="2" t="n">
        <v>396.9</v>
      </c>
      <c r="F39" s="2" t="n">
        <v>598.1</v>
      </c>
      <c r="G39" s="2" t="n">
        <v>0.237</v>
      </c>
    </row>
    <row r="40" customFormat="false" ht="15" hidden="false" customHeight="false" outlineLevel="0" collapsed="false">
      <c r="A40" s="2" t="n">
        <v>90</v>
      </c>
      <c r="B40" s="2" t="s">
        <v>193</v>
      </c>
      <c r="C40" s="2" t="n">
        <v>90</v>
      </c>
      <c r="D40" s="2" t="n">
        <v>450</v>
      </c>
      <c r="E40" s="2" t="n">
        <v>382</v>
      </c>
      <c r="F40" s="2" t="n">
        <v>537.8</v>
      </c>
      <c r="G40" s="2" t="n">
        <v>0.225</v>
      </c>
    </row>
    <row r="41" customFormat="false" ht="15" hidden="false" customHeight="false" outlineLevel="0" collapsed="false">
      <c r="A41" s="2" t="n">
        <v>939</v>
      </c>
      <c r="B41" s="2" t="s">
        <v>213</v>
      </c>
      <c r="C41" s="2" t="n">
        <v>94</v>
      </c>
      <c r="D41" s="2" t="n">
        <v>446.9</v>
      </c>
      <c r="E41" s="2" t="n">
        <v>378</v>
      </c>
      <c r="F41" s="2" t="n">
        <v>501.7</v>
      </c>
      <c r="G41" s="2" t="n">
        <v>0.264</v>
      </c>
    </row>
    <row r="42" customFormat="false" ht="15" hidden="false" customHeight="false" outlineLevel="0" collapsed="false">
      <c r="A42" s="2" t="n">
        <v>940</v>
      </c>
      <c r="B42" s="2" t="s">
        <v>118</v>
      </c>
      <c r="C42" s="2" t="n">
        <v>93</v>
      </c>
      <c r="D42" s="2" t="n">
        <v>443</v>
      </c>
      <c r="E42" s="2" t="n">
        <v>412.2</v>
      </c>
      <c r="F42" s="2" t="n">
        <v>540.3</v>
      </c>
      <c r="G42" s="2" t="n">
        <v>0.206</v>
      </c>
    </row>
    <row r="43" customFormat="false" ht="15" hidden="false" customHeight="false" outlineLevel="0" collapsed="false">
      <c r="A43" s="2" t="n">
        <v>926</v>
      </c>
      <c r="B43" s="2" t="s">
        <v>537</v>
      </c>
      <c r="C43" s="2" t="n">
        <v>87</v>
      </c>
      <c r="D43" s="2" t="n">
        <v>440.9</v>
      </c>
      <c r="E43" s="2" t="n">
        <v>398.9</v>
      </c>
      <c r="F43" s="2" t="n">
        <v>550</v>
      </c>
      <c r="G43" s="2" t="n">
        <v>0.238</v>
      </c>
    </row>
    <row r="44" customFormat="false" ht="15" hidden="false" customHeight="false" outlineLevel="0" collapsed="false">
      <c r="A44" s="2" t="n">
        <v>86</v>
      </c>
      <c r="B44" s="2" t="s">
        <v>538</v>
      </c>
      <c r="C44" s="2" t="n">
        <v>84</v>
      </c>
      <c r="D44" s="2" t="n">
        <v>438.9</v>
      </c>
      <c r="E44" s="2" t="n">
        <v>362.9</v>
      </c>
      <c r="F44" s="2" t="n">
        <v>551.6</v>
      </c>
      <c r="G44" s="2" t="n">
        <v>0.252</v>
      </c>
    </row>
    <row r="45" customFormat="false" ht="15" hidden="false" customHeight="false" outlineLevel="0" collapsed="false">
      <c r="A45" s="2" t="n">
        <v>91</v>
      </c>
      <c r="B45" s="2" t="s">
        <v>196</v>
      </c>
      <c r="C45" s="2" t="n">
        <v>94</v>
      </c>
      <c r="D45" s="2" t="n">
        <v>434.7</v>
      </c>
      <c r="E45" s="2" t="n">
        <v>371.2</v>
      </c>
      <c r="F45" s="2" t="n">
        <v>492.3</v>
      </c>
      <c r="G45" s="2" t="n">
        <v>0.204</v>
      </c>
    </row>
    <row r="46" customFormat="false" ht="15" hidden="false" customHeight="false" outlineLevel="0" collapsed="false">
      <c r="A46" s="2" t="n">
        <v>50</v>
      </c>
      <c r="B46" s="2" t="s">
        <v>74</v>
      </c>
      <c r="C46" s="2" t="n">
        <v>29</v>
      </c>
      <c r="D46" s="2" t="n">
        <v>428.2</v>
      </c>
      <c r="E46" s="2" t="n">
        <v>358.1</v>
      </c>
      <c r="F46" s="2" t="n">
        <v>454.5</v>
      </c>
      <c r="G46" s="2" t="n">
        <v>0.297</v>
      </c>
    </row>
    <row r="47" customFormat="false" ht="15" hidden="false" customHeight="false" outlineLevel="0" collapsed="false">
      <c r="A47" s="2" t="n">
        <v>925</v>
      </c>
      <c r="B47" s="2" t="s">
        <v>92</v>
      </c>
      <c r="C47" s="2" t="n">
        <v>89</v>
      </c>
      <c r="D47" s="2" t="n">
        <v>427.3</v>
      </c>
      <c r="E47" s="2" t="n">
        <v>388.7</v>
      </c>
      <c r="F47" s="2" t="n">
        <v>500</v>
      </c>
      <c r="G47" s="2" t="n">
        <v>0.209</v>
      </c>
    </row>
    <row r="48" customFormat="false" ht="15" hidden="false" customHeight="false" outlineLevel="0" collapsed="false">
      <c r="A48" s="2" t="n">
        <v>54</v>
      </c>
      <c r="B48" s="2" t="s">
        <v>72</v>
      </c>
      <c r="C48" s="2" t="n">
        <v>46</v>
      </c>
      <c r="D48" s="2" t="n">
        <v>423.5</v>
      </c>
      <c r="E48" s="2" t="n">
        <v>362</v>
      </c>
      <c r="F48" s="2" t="n">
        <v>567</v>
      </c>
      <c r="G48" s="2" t="n">
        <v>0.334</v>
      </c>
    </row>
    <row r="49" customFormat="false" ht="16.4" hidden="false" customHeight="false" outlineLevel="0" collapsed="false">
      <c r="A49" s="2" t="n">
        <v>49</v>
      </c>
      <c r="B49" s="2" t="s">
        <v>77</v>
      </c>
      <c r="C49" s="2" t="n">
        <v>80</v>
      </c>
      <c r="D49" s="2" t="n">
        <v>423.1</v>
      </c>
      <c r="E49" s="2" t="n">
        <v>311</v>
      </c>
      <c r="F49" s="2" t="n">
        <v>494.9</v>
      </c>
      <c r="G49" s="2" t="n">
        <v>0.24</v>
      </c>
    </row>
    <row r="50" customFormat="false" ht="15" hidden="false" customHeight="false" outlineLevel="0" collapsed="false">
      <c r="A50" s="2" t="n">
        <v>93</v>
      </c>
      <c r="B50" s="2" t="s">
        <v>290</v>
      </c>
      <c r="C50" s="2" t="n">
        <v>3</v>
      </c>
      <c r="D50" s="2" t="n">
        <v>423.1</v>
      </c>
      <c r="E50" s="2"/>
      <c r="F50" s="2"/>
      <c r="G50" s="2" t="n">
        <v>0.65</v>
      </c>
    </row>
    <row r="51" customFormat="false" ht="15" hidden="false" customHeight="false" outlineLevel="0" collapsed="false">
      <c r="A51" s="2" t="n">
        <v>70</v>
      </c>
      <c r="B51" s="2" t="s">
        <v>121</v>
      </c>
      <c r="C51" s="2" t="n">
        <v>91</v>
      </c>
      <c r="D51" s="2" t="n">
        <v>422.2</v>
      </c>
      <c r="E51" s="2" t="n">
        <v>376.5</v>
      </c>
      <c r="F51" s="2" t="n">
        <v>492.3</v>
      </c>
      <c r="G51" s="2" t="n">
        <v>0.29</v>
      </c>
    </row>
    <row r="52" customFormat="false" ht="15" hidden="false" customHeight="false" outlineLevel="0" collapsed="false">
      <c r="A52" s="2" t="n">
        <v>932</v>
      </c>
      <c r="B52" s="2" t="s">
        <v>197</v>
      </c>
      <c r="C52" s="2" t="n">
        <v>71</v>
      </c>
      <c r="D52" s="2" t="n">
        <v>420</v>
      </c>
      <c r="E52" s="2" t="n">
        <v>376</v>
      </c>
      <c r="F52" s="2" t="n">
        <v>470.6</v>
      </c>
      <c r="G52" s="2" t="n">
        <v>0.297</v>
      </c>
    </row>
    <row r="53" customFormat="false" ht="15" hidden="false" customHeight="false" outlineLevel="0" collapsed="false">
      <c r="A53" s="2" t="n">
        <v>1024</v>
      </c>
      <c r="B53" s="2" t="s">
        <v>539</v>
      </c>
      <c r="C53" s="2" t="n">
        <v>86</v>
      </c>
      <c r="D53" s="2" t="n">
        <v>417</v>
      </c>
      <c r="E53" s="2" t="n">
        <v>369.5</v>
      </c>
      <c r="F53" s="2" t="n">
        <v>488.4</v>
      </c>
      <c r="G53" s="2" t="n">
        <v>0.213</v>
      </c>
    </row>
    <row r="54" customFormat="false" ht="15" hidden="false" customHeight="false" outlineLevel="0" collapsed="false">
      <c r="A54" s="2" t="n">
        <v>933</v>
      </c>
      <c r="B54" s="2" t="s">
        <v>198</v>
      </c>
      <c r="C54" s="2" t="n">
        <v>90</v>
      </c>
      <c r="D54" s="2" t="n">
        <v>415.3</v>
      </c>
      <c r="E54" s="2" t="n">
        <v>349.2</v>
      </c>
      <c r="F54" s="2" t="n">
        <v>448.6</v>
      </c>
      <c r="G54" s="2" t="n">
        <v>0.193</v>
      </c>
    </row>
    <row r="55" customFormat="false" ht="15" hidden="false" customHeight="false" outlineLevel="0" collapsed="false">
      <c r="A55" s="2" t="n">
        <v>57</v>
      </c>
      <c r="B55" s="2" t="s">
        <v>71</v>
      </c>
      <c r="C55" s="2" t="n">
        <v>50</v>
      </c>
      <c r="D55" s="2" t="n">
        <v>412.5</v>
      </c>
      <c r="E55" s="2" t="n">
        <v>354</v>
      </c>
      <c r="F55" s="2" t="n">
        <v>534</v>
      </c>
      <c r="G55" s="2" t="n">
        <v>0.36</v>
      </c>
    </row>
    <row r="56" customFormat="false" ht="15" hidden="false" customHeight="false" outlineLevel="0" collapsed="false">
      <c r="A56" s="2" t="n">
        <v>1035</v>
      </c>
      <c r="B56" s="2" t="s">
        <v>540</v>
      </c>
      <c r="C56" s="2" t="n">
        <v>36</v>
      </c>
      <c r="D56" s="2" t="n">
        <v>409.3</v>
      </c>
      <c r="E56" s="2" t="n">
        <v>371.1</v>
      </c>
      <c r="F56" s="2" t="n">
        <v>505.4</v>
      </c>
      <c r="G56" s="2" t="n">
        <v>0.252</v>
      </c>
    </row>
    <row r="57" customFormat="false" ht="15" hidden="false" customHeight="false" outlineLevel="0" collapsed="false">
      <c r="A57" s="2" t="n">
        <v>139</v>
      </c>
      <c r="B57" s="2" t="s">
        <v>94</v>
      </c>
      <c r="C57" s="2" t="n">
        <v>89</v>
      </c>
      <c r="D57" s="2" t="n">
        <v>405.9</v>
      </c>
      <c r="E57" s="2" t="n">
        <v>360</v>
      </c>
      <c r="F57" s="2" t="n">
        <v>466.7</v>
      </c>
      <c r="G57" s="2" t="n">
        <v>0.227</v>
      </c>
    </row>
    <row r="58" customFormat="false" ht="15" hidden="false" customHeight="false" outlineLevel="0" collapsed="false">
      <c r="A58" s="2" t="n">
        <v>84</v>
      </c>
      <c r="B58" s="2" t="s">
        <v>541</v>
      </c>
      <c r="C58" s="2" t="n">
        <v>89</v>
      </c>
      <c r="D58" s="2" t="n">
        <v>400</v>
      </c>
      <c r="E58" s="2" t="n">
        <v>335.1</v>
      </c>
      <c r="F58" s="2" t="n">
        <v>455</v>
      </c>
      <c r="G58" s="2" t="n">
        <v>0.233</v>
      </c>
    </row>
    <row r="59" customFormat="false" ht="15" hidden="false" customHeight="false" outlineLevel="0" collapsed="false">
      <c r="A59" s="2" t="n">
        <v>53</v>
      </c>
      <c r="B59" s="2" t="s">
        <v>70</v>
      </c>
      <c r="C59" s="2" t="n">
        <v>86</v>
      </c>
      <c r="D59" s="2" t="n">
        <v>397.4</v>
      </c>
      <c r="E59" s="2" t="n">
        <v>361.4</v>
      </c>
      <c r="F59" s="2" t="n">
        <v>555.6</v>
      </c>
      <c r="G59" s="2" t="n">
        <v>0.26</v>
      </c>
    </row>
    <row r="60" customFormat="false" ht="15" hidden="false" customHeight="false" outlineLevel="0" collapsed="false">
      <c r="A60" s="2" t="n">
        <v>58</v>
      </c>
      <c r="B60" s="2" t="s">
        <v>75</v>
      </c>
      <c r="C60" s="2" t="n">
        <v>50</v>
      </c>
      <c r="D60" s="2" t="n">
        <v>394.8</v>
      </c>
      <c r="E60" s="2" t="n">
        <v>349.9</v>
      </c>
      <c r="F60" s="2" t="n">
        <v>475.7</v>
      </c>
      <c r="G60" s="2" t="n">
        <v>0.295</v>
      </c>
    </row>
    <row r="61" customFormat="false" ht="15" hidden="false" customHeight="false" outlineLevel="0" collapsed="false">
      <c r="A61" s="2" t="n">
        <v>82</v>
      </c>
      <c r="B61" s="2" t="s">
        <v>99</v>
      </c>
      <c r="C61" s="2" t="n">
        <v>90</v>
      </c>
      <c r="D61" s="2" t="n">
        <v>379.7</v>
      </c>
      <c r="E61" s="2" t="n">
        <v>322.2</v>
      </c>
      <c r="F61" s="2" t="n">
        <v>453.2</v>
      </c>
      <c r="G61" s="2" t="n">
        <v>0.23</v>
      </c>
    </row>
    <row r="62" customFormat="false" ht="15" hidden="false" customHeight="false" outlineLevel="0" collapsed="false">
      <c r="A62" s="2" t="n">
        <v>47</v>
      </c>
      <c r="B62" s="2" t="s">
        <v>78</v>
      </c>
      <c r="C62" s="2" t="n">
        <v>81</v>
      </c>
      <c r="D62" s="2" t="n">
        <v>376.5</v>
      </c>
      <c r="E62" s="2" t="n">
        <v>348.2</v>
      </c>
      <c r="F62" s="2" t="n">
        <v>450</v>
      </c>
      <c r="G62" s="2" t="n">
        <v>0.245</v>
      </c>
    </row>
    <row r="63" customFormat="false" ht="15" hidden="false" customHeight="false" outlineLevel="0" collapsed="false">
      <c r="A63" s="2" t="n">
        <v>52</v>
      </c>
      <c r="B63" s="2" t="s">
        <v>79</v>
      </c>
      <c r="C63" s="2" t="n">
        <v>89</v>
      </c>
      <c r="D63" s="2" t="n">
        <v>375.2</v>
      </c>
      <c r="E63" s="2" t="n">
        <v>345.3</v>
      </c>
      <c r="F63" s="2" t="n">
        <v>454.2</v>
      </c>
      <c r="G63" s="2" t="n">
        <v>0.197</v>
      </c>
    </row>
    <row r="64" customFormat="false" ht="15" hidden="false" customHeight="false" outlineLevel="0" collapsed="false">
      <c r="A64" s="2" t="n">
        <v>1025</v>
      </c>
      <c r="B64" s="2" t="s">
        <v>130</v>
      </c>
      <c r="C64" s="2" t="n">
        <v>86</v>
      </c>
      <c r="D64" s="2" t="n">
        <v>372.9</v>
      </c>
      <c r="E64" s="2" t="n">
        <v>322.9</v>
      </c>
      <c r="F64" s="2" t="n">
        <v>419.7</v>
      </c>
      <c r="G64" s="2" t="n">
        <v>0.244</v>
      </c>
    </row>
    <row r="65" customFormat="false" ht="15" hidden="false" customHeight="false" outlineLevel="0" collapsed="false">
      <c r="A65" s="2" t="n">
        <v>299</v>
      </c>
      <c r="B65" s="2" t="s">
        <v>199</v>
      </c>
      <c r="C65" s="2" t="n">
        <v>92</v>
      </c>
      <c r="D65" s="2" t="n">
        <v>371.1</v>
      </c>
      <c r="E65" s="2" t="n">
        <v>310.4</v>
      </c>
      <c r="F65" s="2" t="n">
        <v>423.8</v>
      </c>
      <c r="G65" s="2" t="n">
        <v>0.282</v>
      </c>
    </row>
    <row r="66" customFormat="false" ht="15" hidden="false" customHeight="false" outlineLevel="0" collapsed="false">
      <c r="A66" s="2" t="n">
        <v>174</v>
      </c>
      <c r="B66" s="2" t="s">
        <v>131</v>
      </c>
      <c r="C66" s="2" t="n">
        <v>90</v>
      </c>
      <c r="D66" s="2" t="n">
        <v>370.3</v>
      </c>
      <c r="E66" s="2" t="n">
        <v>310.9</v>
      </c>
      <c r="F66" s="2" t="n">
        <v>437.6</v>
      </c>
      <c r="G66" s="2" t="n">
        <v>0.255</v>
      </c>
    </row>
    <row r="67" customFormat="false" ht="16.4" hidden="false" customHeight="false" outlineLevel="0" collapsed="false">
      <c r="A67" s="2" t="n">
        <v>1028</v>
      </c>
      <c r="B67" s="2" t="s">
        <v>542</v>
      </c>
      <c r="C67" s="2" t="n">
        <v>83</v>
      </c>
      <c r="D67" s="2" t="n">
        <v>365.4</v>
      </c>
      <c r="E67" s="2" t="n">
        <v>291.7</v>
      </c>
      <c r="F67" s="2" t="n">
        <v>433.3</v>
      </c>
      <c r="G67" s="2" t="n">
        <v>0.246</v>
      </c>
    </row>
    <row r="68" customFormat="false" ht="15" hidden="false" customHeight="false" outlineLevel="0" collapsed="false">
      <c r="A68" s="2" t="n">
        <v>300</v>
      </c>
      <c r="B68" s="2" t="s">
        <v>215</v>
      </c>
      <c r="C68" s="2" t="n">
        <v>93</v>
      </c>
      <c r="D68" s="2" t="n">
        <v>365</v>
      </c>
      <c r="E68" s="2" t="n">
        <v>322.7</v>
      </c>
      <c r="F68" s="2" t="n">
        <v>422.5</v>
      </c>
      <c r="G68" s="2" t="n">
        <v>0.224</v>
      </c>
    </row>
    <row r="69" customFormat="false" ht="15" hidden="false" customHeight="false" outlineLevel="0" collapsed="false">
      <c r="A69" s="2" t="n">
        <v>301</v>
      </c>
      <c r="B69" s="2" t="s">
        <v>543</v>
      </c>
      <c r="C69" s="2" t="n">
        <v>43</v>
      </c>
      <c r="D69" s="2" t="n">
        <v>364.4</v>
      </c>
      <c r="E69" s="2" t="n">
        <v>259.9</v>
      </c>
      <c r="F69" s="2" t="n">
        <v>441.2</v>
      </c>
      <c r="G69" s="2" t="n">
        <v>0.316</v>
      </c>
    </row>
    <row r="70" customFormat="false" ht="15" hidden="false" customHeight="false" outlineLevel="0" collapsed="false">
      <c r="A70" s="2" t="n">
        <v>173</v>
      </c>
      <c r="B70" s="2" t="s">
        <v>159</v>
      </c>
      <c r="C70" s="2" t="n">
        <v>91</v>
      </c>
      <c r="D70" s="2" t="n">
        <v>363</v>
      </c>
      <c r="E70" s="2" t="n">
        <v>319.4</v>
      </c>
      <c r="F70" s="2" t="n">
        <v>437</v>
      </c>
      <c r="G70" s="2" t="n">
        <v>0.245</v>
      </c>
    </row>
    <row r="71" customFormat="false" ht="15" hidden="false" customHeight="false" outlineLevel="0" collapsed="false">
      <c r="A71" s="2" t="n">
        <v>202</v>
      </c>
      <c r="B71" s="2" t="s">
        <v>102</v>
      </c>
      <c r="C71" s="2" t="n">
        <v>93</v>
      </c>
      <c r="D71" s="2" t="n">
        <v>360.5</v>
      </c>
      <c r="E71" s="2" t="n">
        <v>306</v>
      </c>
      <c r="F71" s="2" t="n">
        <v>400</v>
      </c>
      <c r="G71" s="2" t="n">
        <v>0.221</v>
      </c>
    </row>
    <row r="72" customFormat="false" ht="15" hidden="false" customHeight="false" outlineLevel="0" collapsed="false">
      <c r="A72" s="2" t="n">
        <v>113</v>
      </c>
      <c r="B72" s="2" t="s">
        <v>544</v>
      </c>
      <c r="C72" s="2" t="n">
        <v>21</v>
      </c>
      <c r="D72" s="2" t="n">
        <v>360.3</v>
      </c>
      <c r="E72" s="2" t="n">
        <v>338.3</v>
      </c>
      <c r="F72" s="2" t="n">
        <v>403.4</v>
      </c>
      <c r="G72" s="2" t="n">
        <v>0.113</v>
      </c>
    </row>
    <row r="73" customFormat="false" ht="15" hidden="false" customHeight="false" outlineLevel="0" collapsed="false">
      <c r="A73" s="2" t="n">
        <v>921</v>
      </c>
      <c r="B73" s="2" t="s">
        <v>76</v>
      </c>
      <c r="C73" s="2" t="n">
        <v>89</v>
      </c>
      <c r="D73" s="2" t="n">
        <v>356.8</v>
      </c>
      <c r="E73" s="2" t="n">
        <v>316.1</v>
      </c>
      <c r="F73" s="2" t="n">
        <v>400</v>
      </c>
      <c r="G73" s="2" t="n">
        <v>0.179</v>
      </c>
    </row>
    <row r="74" customFormat="false" ht="15" hidden="false" customHeight="false" outlineLevel="0" collapsed="false">
      <c r="A74" s="2" t="n">
        <v>210</v>
      </c>
      <c r="B74" s="2" t="s">
        <v>202</v>
      </c>
      <c r="C74" s="2" t="n">
        <v>90</v>
      </c>
      <c r="D74" s="2" t="n">
        <v>354.7</v>
      </c>
      <c r="E74" s="2" t="n">
        <v>299.5</v>
      </c>
      <c r="F74" s="2" t="n">
        <v>405.5</v>
      </c>
      <c r="G74" s="2" t="n">
        <v>0.22</v>
      </c>
    </row>
    <row r="75" customFormat="false" ht="15" hidden="false" customHeight="false" outlineLevel="0" collapsed="false">
      <c r="A75" s="2" t="n">
        <v>211</v>
      </c>
      <c r="B75" s="2" t="s">
        <v>545</v>
      </c>
      <c r="C75" s="2" t="n">
        <v>87</v>
      </c>
      <c r="D75" s="2" t="n">
        <v>354.5</v>
      </c>
      <c r="E75" s="2" t="n">
        <v>296.2</v>
      </c>
      <c r="F75" s="2" t="n">
        <v>446.2</v>
      </c>
      <c r="G75" s="2" t="n">
        <v>0.232</v>
      </c>
    </row>
    <row r="76" customFormat="false" ht="15" hidden="false" customHeight="false" outlineLevel="0" collapsed="false">
      <c r="A76" s="2" t="n">
        <v>103</v>
      </c>
      <c r="B76" s="2" t="s">
        <v>546</v>
      </c>
      <c r="C76" s="2" t="n">
        <v>31</v>
      </c>
      <c r="D76" s="2" t="n">
        <v>354.1</v>
      </c>
      <c r="E76" s="2" t="n">
        <v>314.3</v>
      </c>
      <c r="F76" s="2" t="n">
        <v>392.6</v>
      </c>
      <c r="G76" s="2" t="n">
        <v>0.193</v>
      </c>
    </row>
    <row r="77" customFormat="false" ht="16.4" hidden="false" customHeight="false" outlineLevel="0" collapsed="false">
      <c r="A77" s="2" t="n">
        <v>95</v>
      </c>
      <c r="B77" s="2" t="s">
        <v>132</v>
      </c>
      <c r="C77" s="2" t="n">
        <v>89</v>
      </c>
      <c r="D77" s="2" t="n">
        <v>352.2</v>
      </c>
      <c r="E77" s="2" t="n">
        <v>315.3</v>
      </c>
      <c r="F77" s="2" t="n">
        <v>424.3</v>
      </c>
      <c r="G77" s="2" t="n">
        <v>0.217</v>
      </c>
    </row>
    <row r="78" customFormat="false" ht="15" hidden="false" customHeight="false" outlineLevel="0" collapsed="false">
      <c r="A78" s="2" t="n">
        <v>51</v>
      </c>
      <c r="B78" s="2" t="s">
        <v>80</v>
      </c>
      <c r="C78" s="2" t="n">
        <v>56</v>
      </c>
      <c r="D78" s="2" t="n">
        <v>343.9</v>
      </c>
      <c r="E78" s="2" t="n">
        <v>316.8</v>
      </c>
      <c r="F78" s="2" t="n">
        <v>391.7</v>
      </c>
      <c r="G78" s="2" t="n">
        <v>0.171</v>
      </c>
    </row>
    <row r="79" customFormat="false" ht="15" hidden="false" customHeight="false" outlineLevel="0" collapsed="false">
      <c r="A79" s="2" t="n">
        <v>201</v>
      </c>
      <c r="B79" s="2" t="s">
        <v>104</v>
      </c>
      <c r="C79" s="2" t="n">
        <v>93</v>
      </c>
      <c r="D79" s="2" t="n">
        <v>343.6</v>
      </c>
      <c r="E79" s="2" t="n">
        <v>282.3</v>
      </c>
      <c r="F79" s="2" t="n">
        <v>384.1</v>
      </c>
      <c r="G79" s="2" t="n">
        <v>0.261</v>
      </c>
    </row>
    <row r="80" customFormat="false" ht="15" hidden="false" customHeight="false" outlineLevel="0" collapsed="false">
      <c r="A80" s="2" t="n">
        <v>167</v>
      </c>
      <c r="B80" s="2" t="s">
        <v>162</v>
      </c>
      <c r="C80" s="2" t="n">
        <v>35</v>
      </c>
      <c r="D80" s="2" t="n">
        <v>340</v>
      </c>
      <c r="E80" s="2" t="n">
        <v>285</v>
      </c>
      <c r="F80" s="2" t="n">
        <v>388.9</v>
      </c>
      <c r="G80" s="2" t="n">
        <v>0.271</v>
      </c>
    </row>
    <row r="81" customFormat="false" ht="15" hidden="false" customHeight="false" outlineLevel="0" collapsed="false">
      <c r="A81" s="2" t="n">
        <v>922</v>
      </c>
      <c r="B81" s="2" t="s">
        <v>100</v>
      </c>
      <c r="C81" s="2" t="n">
        <v>25</v>
      </c>
      <c r="D81" s="2" t="n">
        <v>339.3</v>
      </c>
      <c r="E81" s="2" t="n">
        <v>311.6</v>
      </c>
      <c r="F81" s="2" t="n">
        <v>375.7</v>
      </c>
      <c r="G81" s="2" t="n">
        <v>0.233</v>
      </c>
    </row>
    <row r="82" customFormat="false" ht="15" hidden="false" customHeight="false" outlineLevel="0" collapsed="false">
      <c r="A82" s="2" t="n">
        <v>128</v>
      </c>
      <c r="B82" s="2" t="s">
        <v>547</v>
      </c>
      <c r="C82" s="2" t="n">
        <v>94</v>
      </c>
      <c r="D82" s="2" t="n">
        <v>337.9</v>
      </c>
      <c r="E82" s="2" t="n">
        <v>305.3</v>
      </c>
      <c r="F82" s="2" t="n">
        <v>363.6</v>
      </c>
      <c r="G82" s="2" t="n">
        <v>0.157</v>
      </c>
    </row>
    <row r="83" customFormat="false" ht="15" hidden="false" customHeight="false" outlineLevel="0" collapsed="false">
      <c r="A83" s="2" t="n">
        <v>200</v>
      </c>
      <c r="B83" s="2" t="s">
        <v>548</v>
      </c>
      <c r="C83" s="2" t="n">
        <v>87</v>
      </c>
      <c r="D83" s="2" t="n">
        <v>335</v>
      </c>
      <c r="E83" s="2" t="n">
        <v>305.7</v>
      </c>
      <c r="F83" s="2" t="n">
        <v>372.2</v>
      </c>
      <c r="G83" s="2" t="n">
        <v>0.173</v>
      </c>
    </row>
    <row r="84" customFormat="false" ht="15" hidden="false" customHeight="false" outlineLevel="0" collapsed="false">
      <c r="A84" s="2" t="n">
        <v>158</v>
      </c>
      <c r="B84" s="2" t="s">
        <v>160</v>
      </c>
      <c r="C84" s="2" t="n">
        <v>86</v>
      </c>
      <c r="D84" s="2" t="n">
        <v>333.1</v>
      </c>
      <c r="E84" s="2" t="n">
        <v>301.4</v>
      </c>
      <c r="F84" s="2" t="n">
        <v>388.2</v>
      </c>
      <c r="G84" s="2" t="n">
        <v>0.197</v>
      </c>
    </row>
    <row r="85" customFormat="false" ht="15" hidden="false" customHeight="false" outlineLevel="0" collapsed="false">
      <c r="A85" s="2" t="n">
        <v>170</v>
      </c>
      <c r="B85" s="2" t="s">
        <v>167</v>
      </c>
      <c r="C85" s="2" t="n">
        <v>86</v>
      </c>
      <c r="D85" s="2" t="n">
        <v>327.5</v>
      </c>
      <c r="E85" s="2" t="n">
        <v>286.5</v>
      </c>
      <c r="F85" s="2" t="n">
        <v>387.4</v>
      </c>
      <c r="G85" s="2" t="n">
        <v>0.214</v>
      </c>
    </row>
    <row r="86" customFormat="false" ht="15" hidden="false" customHeight="false" outlineLevel="0" collapsed="false">
      <c r="A86" s="2" t="n">
        <v>148</v>
      </c>
      <c r="B86" s="2" t="s">
        <v>166</v>
      </c>
      <c r="C86" s="2" t="n">
        <v>92</v>
      </c>
      <c r="D86" s="2" t="n">
        <v>326.8</v>
      </c>
      <c r="E86" s="2" t="n">
        <v>296.4</v>
      </c>
      <c r="F86" s="2" t="n">
        <v>352.9</v>
      </c>
      <c r="G86" s="2" t="n">
        <v>0.152</v>
      </c>
    </row>
    <row r="87" customFormat="false" ht="15" hidden="false" customHeight="false" outlineLevel="0" collapsed="false">
      <c r="A87" s="2" t="n">
        <v>208</v>
      </c>
      <c r="B87" s="2" t="s">
        <v>204</v>
      </c>
      <c r="C87" s="2" t="n">
        <v>86</v>
      </c>
      <c r="D87" s="2" t="n">
        <v>326.7</v>
      </c>
      <c r="E87" s="2" t="n">
        <v>252</v>
      </c>
      <c r="F87" s="2" t="n">
        <v>359</v>
      </c>
      <c r="G87" s="2" t="n">
        <v>0.292</v>
      </c>
    </row>
    <row r="88" customFormat="false" ht="15" hidden="false" customHeight="false" outlineLevel="0" collapsed="false">
      <c r="A88" s="2" t="n">
        <v>146</v>
      </c>
      <c r="B88" s="2" t="s">
        <v>164</v>
      </c>
      <c r="C88" s="2" t="n">
        <v>90</v>
      </c>
      <c r="D88" s="2" t="n">
        <v>326.4</v>
      </c>
      <c r="E88" s="2" t="n">
        <v>300.5</v>
      </c>
      <c r="F88" s="2" t="n">
        <v>359.2</v>
      </c>
      <c r="G88" s="2" t="n">
        <v>0.152</v>
      </c>
    </row>
    <row r="89" customFormat="false" ht="15" hidden="false" customHeight="false" outlineLevel="0" collapsed="false">
      <c r="A89" s="2" t="n">
        <v>147</v>
      </c>
      <c r="B89" s="2" t="s">
        <v>168</v>
      </c>
      <c r="C89" s="2" t="n">
        <v>90</v>
      </c>
      <c r="D89" s="2" t="n">
        <v>324.7</v>
      </c>
      <c r="E89" s="2" t="n">
        <v>284.2</v>
      </c>
      <c r="F89" s="2" t="n">
        <v>349</v>
      </c>
      <c r="G89" s="2" t="n">
        <v>0.171</v>
      </c>
    </row>
    <row r="90" customFormat="false" ht="15" hidden="false" customHeight="false" outlineLevel="0" collapsed="false">
      <c r="A90" s="2" t="n">
        <v>96</v>
      </c>
      <c r="B90" s="2" t="s">
        <v>549</v>
      </c>
      <c r="C90" s="2" t="n">
        <v>33</v>
      </c>
      <c r="D90" s="2" t="n">
        <v>321.9</v>
      </c>
      <c r="E90" s="2" t="n">
        <v>292.9</v>
      </c>
      <c r="F90" s="2" t="n">
        <v>426.8</v>
      </c>
      <c r="G90" s="2" t="n">
        <v>0.246</v>
      </c>
    </row>
    <row r="91" customFormat="false" ht="15" hidden="false" customHeight="false" outlineLevel="0" collapsed="false">
      <c r="A91" s="2" t="n">
        <v>302</v>
      </c>
      <c r="B91" s="2" t="s">
        <v>217</v>
      </c>
      <c r="C91" s="2" t="n">
        <v>92</v>
      </c>
      <c r="D91" s="2" t="n">
        <v>320</v>
      </c>
      <c r="E91" s="2" t="n">
        <v>253.7</v>
      </c>
      <c r="F91" s="2" t="n">
        <v>353</v>
      </c>
      <c r="G91" s="2" t="n">
        <v>0.264</v>
      </c>
    </row>
    <row r="92" customFormat="false" ht="15" hidden="false" customHeight="false" outlineLevel="0" collapsed="false">
      <c r="A92" s="2" t="n">
        <v>145</v>
      </c>
      <c r="B92" s="2" t="s">
        <v>171</v>
      </c>
      <c r="C92" s="2" t="n">
        <v>93</v>
      </c>
      <c r="D92" s="2" t="n">
        <v>318.2</v>
      </c>
      <c r="E92" s="2" t="n">
        <v>274.7</v>
      </c>
      <c r="F92" s="2" t="n">
        <v>348</v>
      </c>
      <c r="G92" s="2" t="n">
        <v>0.206</v>
      </c>
    </row>
    <row r="93" customFormat="false" ht="15" hidden="false" customHeight="false" outlineLevel="0" collapsed="false">
      <c r="A93" s="2" t="n">
        <v>140</v>
      </c>
      <c r="B93" s="2" t="s">
        <v>169</v>
      </c>
      <c r="C93" s="2" t="n">
        <v>91</v>
      </c>
      <c r="D93" s="2" t="n">
        <v>316.2</v>
      </c>
      <c r="E93" s="2" t="n">
        <v>278.2</v>
      </c>
      <c r="F93" s="2" t="n">
        <v>353.3</v>
      </c>
      <c r="G93" s="2" t="n">
        <v>0.187</v>
      </c>
    </row>
    <row r="94" customFormat="false" ht="15" hidden="false" customHeight="false" outlineLevel="0" collapsed="false">
      <c r="A94" s="2" t="n">
        <v>160</v>
      </c>
      <c r="B94" s="2" t="s">
        <v>174</v>
      </c>
      <c r="C94" s="2" t="n">
        <v>90</v>
      </c>
      <c r="D94" s="2" t="n">
        <v>314</v>
      </c>
      <c r="E94" s="2" t="n">
        <v>270</v>
      </c>
      <c r="F94" s="2" t="n">
        <v>344.9</v>
      </c>
      <c r="G94" s="2" t="n">
        <v>0.202</v>
      </c>
    </row>
    <row r="95" customFormat="false" ht="15" hidden="false" customHeight="false" outlineLevel="0" collapsed="false">
      <c r="A95" s="2" t="n">
        <v>297</v>
      </c>
      <c r="B95" s="2" t="s">
        <v>206</v>
      </c>
      <c r="C95" s="2" t="n">
        <v>84</v>
      </c>
      <c r="D95" s="2" t="n">
        <v>313.4</v>
      </c>
      <c r="E95" s="2" t="n">
        <v>271.1</v>
      </c>
      <c r="F95" s="2" t="n">
        <v>334.9</v>
      </c>
      <c r="G95" s="2" t="n">
        <v>0.221</v>
      </c>
    </row>
    <row r="96" customFormat="false" ht="15" hidden="false" customHeight="false" outlineLevel="0" collapsed="false">
      <c r="A96" s="2" t="n">
        <v>119</v>
      </c>
      <c r="B96" s="2" t="s">
        <v>235</v>
      </c>
      <c r="C96" s="2" t="n">
        <v>92</v>
      </c>
      <c r="D96" s="2" t="n">
        <v>311.7</v>
      </c>
      <c r="E96" s="2" t="n">
        <v>246.9</v>
      </c>
      <c r="F96" s="2" t="n">
        <v>388.1</v>
      </c>
      <c r="G96" s="2" t="n">
        <v>0.319</v>
      </c>
    </row>
    <row r="97" customFormat="false" ht="15" hidden="false" customHeight="false" outlineLevel="0" collapsed="false">
      <c r="A97" s="2" t="n">
        <v>920</v>
      </c>
      <c r="B97" s="2" t="s">
        <v>172</v>
      </c>
      <c r="C97" s="2" t="n">
        <v>88</v>
      </c>
      <c r="D97" s="2" t="n">
        <v>307.7</v>
      </c>
      <c r="E97" s="2" t="n">
        <v>270.4</v>
      </c>
      <c r="F97" s="2" t="n">
        <v>336.4</v>
      </c>
      <c r="G97" s="2" t="n">
        <v>0.163</v>
      </c>
    </row>
    <row r="98" customFormat="false" ht="15" hidden="false" customHeight="false" outlineLevel="0" collapsed="false">
      <c r="A98" s="2" t="n">
        <v>205</v>
      </c>
      <c r="B98" s="2" t="s">
        <v>107</v>
      </c>
      <c r="C98" s="2" t="n">
        <v>95</v>
      </c>
      <c r="D98" s="2" t="n">
        <v>307.4</v>
      </c>
      <c r="E98" s="2" t="n">
        <v>267.4</v>
      </c>
      <c r="F98" s="2" t="n">
        <v>345.8</v>
      </c>
      <c r="G98" s="2" t="n">
        <v>0.219</v>
      </c>
    </row>
    <row r="99" customFormat="false" ht="15" hidden="false" customHeight="false" outlineLevel="0" collapsed="false">
      <c r="A99" s="2" t="n">
        <v>125</v>
      </c>
      <c r="B99" s="2" t="s">
        <v>396</v>
      </c>
      <c r="C99" s="2" t="n">
        <v>90</v>
      </c>
      <c r="D99" s="2" t="n">
        <v>306.5</v>
      </c>
      <c r="E99" s="2" t="n">
        <v>281.2</v>
      </c>
      <c r="F99" s="2" t="n">
        <v>345.1</v>
      </c>
      <c r="G99" s="2" t="n">
        <v>0.184</v>
      </c>
    </row>
    <row r="100" customFormat="false" ht="15" hidden="false" customHeight="false" outlineLevel="0" collapsed="false">
      <c r="A100" s="2" t="n">
        <v>159</v>
      </c>
      <c r="B100" s="2" t="s">
        <v>173</v>
      </c>
      <c r="C100" s="2" t="n">
        <v>87</v>
      </c>
      <c r="D100" s="2" t="n">
        <v>306.5</v>
      </c>
      <c r="E100" s="2" t="n">
        <v>275.7</v>
      </c>
      <c r="F100" s="2" t="n">
        <v>333.3</v>
      </c>
      <c r="G100" s="2" t="n">
        <v>0.172</v>
      </c>
    </row>
    <row r="101" customFormat="false" ht="15" hidden="false" customHeight="false" outlineLevel="0" collapsed="false">
      <c r="A101" s="2" t="n">
        <v>104</v>
      </c>
      <c r="B101" s="2" t="s">
        <v>550</v>
      </c>
      <c r="C101" s="2" t="n">
        <v>87</v>
      </c>
      <c r="D101" s="2" t="n">
        <v>305.3</v>
      </c>
      <c r="E101" s="2" t="n">
        <v>269.2</v>
      </c>
      <c r="F101" s="2" t="n">
        <v>343.4</v>
      </c>
      <c r="G101" s="2" t="n">
        <v>0.251</v>
      </c>
    </row>
    <row r="102" customFormat="false" ht="15" hidden="false" customHeight="false" outlineLevel="0" collapsed="false">
      <c r="A102" s="2" t="n">
        <v>151</v>
      </c>
      <c r="B102" s="2" t="s">
        <v>175</v>
      </c>
      <c r="C102" s="2" t="n">
        <v>92</v>
      </c>
      <c r="D102" s="2" t="n">
        <v>304.3</v>
      </c>
      <c r="E102" s="2" t="n">
        <v>254</v>
      </c>
      <c r="F102" s="2" t="n">
        <v>333.3</v>
      </c>
      <c r="G102" s="2" t="n">
        <v>0.19</v>
      </c>
    </row>
    <row r="103" customFormat="false" ht="15" hidden="false" customHeight="false" outlineLevel="0" collapsed="false">
      <c r="A103" s="2" t="n">
        <v>938</v>
      </c>
      <c r="B103" s="2" t="s">
        <v>218</v>
      </c>
      <c r="C103" s="2" t="n">
        <v>89</v>
      </c>
      <c r="D103" s="2" t="n">
        <v>300.8</v>
      </c>
      <c r="E103" s="2" t="n">
        <v>252.9</v>
      </c>
      <c r="F103" s="2" t="n">
        <v>342.1</v>
      </c>
      <c r="G103" s="2" t="n">
        <v>0.227</v>
      </c>
    </row>
    <row r="104" customFormat="false" ht="15" hidden="false" customHeight="false" outlineLevel="0" collapsed="false">
      <c r="A104" s="2" t="n">
        <v>935</v>
      </c>
      <c r="B104" s="2" t="s">
        <v>551</v>
      </c>
      <c r="C104" s="2" t="n">
        <v>86</v>
      </c>
      <c r="D104" s="2" t="n">
        <v>294.1</v>
      </c>
      <c r="E104" s="2" t="n">
        <v>250.2</v>
      </c>
      <c r="F104" s="2" t="n">
        <v>316.2</v>
      </c>
      <c r="G104" s="2" t="n">
        <v>0.251</v>
      </c>
    </row>
    <row r="105" customFormat="false" ht="15" hidden="false" customHeight="false" outlineLevel="0" collapsed="false">
      <c r="A105" s="2" t="n">
        <v>108</v>
      </c>
      <c r="B105" s="2" t="s">
        <v>135</v>
      </c>
      <c r="C105" s="2" t="n">
        <v>89</v>
      </c>
      <c r="D105" s="2" t="n">
        <v>292.9</v>
      </c>
      <c r="E105" s="2" t="n">
        <v>240.5</v>
      </c>
      <c r="F105" s="2" t="n">
        <v>340.2</v>
      </c>
      <c r="G105" s="2" t="n">
        <v>0.268</v>
      </c>
    </row>
    <row r="106" customFormat="false" ht="15" hidden="false" customHeight="false" outlineLevel="0" collapsed="false">
      <c r="A106" s="2" t="n">
        <v>203</v>
      </c>
      <c r="B106" s="2" t="s">
        <v>109</v>
      </c>
      <c r="C106" s="2" t="n">
        <v>88</v>
      </c>
      <c r="D106" s="2" t="n">
        <v>291.7</v>
      </c>
      <c r="E106" s="2" t="n">
        <v>236.4</v>
      </c>
      <c r="F106" s="2" t="n">
        <v>320</v>
      </c>
      <c r="G106" s="2" t="n">
        <v>0.329</v>
      </c>
    </row>
    <row r="107" customFormat="false" ht="15" hidden="false" customHeight="false" outlineLevel="0" collapsed="false">
      <c r="A107" s="2" t="n">
        <v>117</v>
      </c>
      <c r="B107" s="2" t="s">
        <v>236</v>
      </c>
      <c r="C107" s="2" t="n">
        <v>91</v>
      </c>
      <c r="D107" s="2" t="n">
        <v>291.2</v>
      </c>
      <c r="E107" s="2" t="n">
        <v>241.9</v>
      </c>
      <c r="F107" s="2" t="n">
        <v>338.7</v>
      </c>
      <c r="G107" s="2" t="n">
        <v>0.248</v>
      </c>
    </row>
    <row r="108" customFormat="false" ht="15" hidden="false" customHeight="false" outlineLevel="0" collapsed="false">
      <c r="A108" s="2" t="n">
        <v>157</v>
      </c>
      <c r="B108" s="2" t="s">
        <v>176</v>
      </c>
      <c r="C108" s="2" t="n">
        <v>90</v>
      </c>
      <c r="D108" s="2" t="n">
        <v>291</v>
      </c>
      <c r="E108" s="2" t="n">
        <v>262.4</v>
      </c>
      <c r="F108" s="2" t="n">
        <v>309.9</v>
      </c>
      <c r="G108" s="2" t="n">
        <v>0.202</v>
      </c>
    </row>
    <row r="109" customFormat="false" ht="15" hidden="false" customHeight="false" outlineLevel="0" collapsed="false">
      <c r="A109" s="2" t="n">
        <v>656</v>
      </c>
      <c r="B109" s="2" t="s">
        <v>552</v>
      </c>
      <c r="C109" s="2" t="n">
        <v>88</v>
      </c>
      <c r="D109" s="2" t="n">
        <v>286.5</v>
      </c>
      <c r="E109" s="2" t="n">
        <v>249.5</v>
      </c>
      <c r="F109" s="2" t="n">
        <v>318.6</v>
      </c>
      <c r="G109" s="2" t="n">
        <v>0.348</v>
      </c>
    </row>
    <row r="110" customFormat="false" ht="15" hidden="false" customHeight="false" outlineLevel="0" collapsed="false">
      <c r="A110" s="2" t="n">
        <v>59</v>
      </c>
      <c r="B110" s="2" t="s">
        <v>111</v>
      </c>
      <c r="C110" s="2" t="n">
        <v>5</v>
      </c>
      <c r="D110" s="2" t="n">
        <v>283</v>
      </c>
      <c r="E110" s="2" t="n">
        <v>147.8</v>
      </c>
      <c r="F110" s="2" t="n">
        <v>320.9</v>
      </c>
      <c r="G110" s="2" t="n">
        <v>0.477</v>
      </c>
    </row>
    <row r="111" customFormat="false" ht="15" hidden="false" customHeight="false" outlineLevel="0" collapsed="false">
      <c r="A111" s="2" t="n">
        <v>298</v>
      </c>
      <c r="B111" s="2" t="s">
        <v>207</v>
      </c>
      <c r="C111" s="2" t="n">
        <v>92</v>
      </c>
      <c r="D111" s="2" t="n">
        <v>280.7</v>
      </c>
      <c r="E111" s="2" t="n">
        <v>243.9</v>
      </c>
      <c r="F111" s="2" t="n">
        <v>314.6</v>
      </c>
      <c r="G111" s="2" t="n">
        <v>0.252</v>
      </c>
    </row>
    <row r="112" customFormat="false" ht="15" hidden="false" customHeight="false" outlineLevel="0" collapsed="false">
      <c r="A112" s="2" t="n">
        <v>105</v>
      </c>
      <c r="B112" s="2" t="s">
        <v>137</v>
      </c>
      <c r="C112" s="2" t="n">
        <v>77</v>
      </c>
      <c r="D112" s="2" t="n">
        <v>280</v>
      </c>
      <c r="E112" s="2" t="n">
        <v>253</v>
      </c>
      <c r="F112" s="2" t="n">
        <v>335.5</v>
      </c>
      <c r="G112" s="2" t="n">
        <v>0.195</v>
      </c>
    </row>
    <row r="113" customFormat="false" ht="15" hidden="false" customHeight="false" outlineLevel="0" collapsed="false">
      <c r="A113" s="2" t="n">
        <v>172</v>
      </c>
      <c r="B113" s="2" t="s">
        <v>108</v>
      </c>
      <c r="C113" s="2" t="n">
        <v>92</v>
      </c>
      <c r="D113" s="2" t="n">
        <v>279.5</v>
      </c>
      <c r="E113" s="2" t="n">
        <v>255.6</v>
      </c>
      <c r="F113" s="2" t="n">
        <v>327.2</v>
      </c>
      <c r="G113" s="2" t="n">
        <v>0.205</v>
      </c>
    </row>
    <row r="114" customFormat="false" ht="15" hidden="false" customHeight="false" outlineLevel="0" collapsed="false">
      <c r="A114" s="2" t="n">
        <v>152</v>
      </c>
      <c r="B114" s="2" t="s">
        <v>177</v>
      </c>
      <c r="C114" s="2" t="n">
        <v>90</v>
      </c>
      <c r="D114" s="2" t="n">
        <v>275.3</v>
      </c>
      <c r="E114" s="2" t="n">
        <v>254</v>
      </c>
      <c r="F114" s="2" t="n">
        <v>316.2</v>
      </c>
      <c r="G114" s="2" t="n">
        <v>0.194</v>
      </c>
    </row>
    <row r="115" customFormat="false" ht="16.4" hidden="false" customHeight="false" outlineLevel="0" collapsed="false">
      <c r="A115" s="2" t="n">
        <v>937</v>
      </c>
      <c r="B115" s="2" t="s">
        <v>220</v>
      </c>
      <c r="C115" s="2" t="n">
        <v>63</v>
      </c>
      <c r="D115" s="2" t="n">
        <v>273.8</v>
      </c>
      <c r="E115" s="2" t="n">
        <v>235.3</v>
      </c>
      <c r="F115" s="2" t="n">
        <v>291.7</v>
      </c>
      <c r="G115" s="2" t="n">
        <v>0.229</v>
      </c>
    </row>
    <row r="116" customFormat="false" ht="15" hidden="false" customHeight="false" outlineLevel="0" collapsed="false">
      <c r="A116" s="2" t="n">
        <v>399</v>
      </c>
      <c r="B116" s="2" t="s">
        <v>139</v>
      </c>
      <c r="C116" s="2" t="n">
        <v>92</v>
      </c>
      <c r="D116" s="2" t="n">
        <v>273.8</v>
      </c>
      <c r="E116" s="2" t="n">
        <v>224.1</v>
      </c>
      <c r="F116" s="2" t="n">
        <v>323.2</v>
      </c>
      <c r="G116" s="2" t="n">
        <v>0.226</v>
      </c>
    </row>
    <row r="117" customFormat="false" ht="15" hidden="false" customHeight="false" outlineLevel="0" collapsed="false">
      <c r="A117" s="2" t="n">
        <v>143</v>
      </c>
      <c r="B117" s="2" t="s">
        <v>178</v>
      </c>
      <c r="C117" s="2" t="n">
        <v>91</v>
      </c>
      <c r="D117" s="2" t="n">
        <v>271.1</v>
      </c>
      <c r="E117" s="2" t="n">
        <v>236.6</v>
      </c>
      <c r="F117" s="2" t="n">
        <v>323.1</v>
      </c>
      <c r="G117" s="2" t="n">
        <v>0.198</v>
      </c>
    </row>
    <row r="118" customFormat="false" ht="15" hidden="false" customHeight="false" outlineLevel="0" collapsed="false">
      <c r="A118" s="2" t="n">
        <v>991</v>
      </c>
      <c r="B118" s="2" t="s">
        <v>291</v>
      </c>
      <c r="C118" s="2" t="n">
        <v>75</v>
      </c>
      <c r="D118" s="2" t="n">
        <v>270</v>
      </c>
      <c r="E118" s="2" t="n">
        <v>206.4</v>
      </c>
      <c r="F118" s="2" t="n">
        <v>298.9</v>
      </c>
      <c r="G118" s="2" t="n">
        <v>0.258</v>
      </c>
    </row>
    <row r="119" customFormat="false" ht="15" hidden="false" customHeight="false" outlineLevel="0" collapsed="false">
      <c r="A119" s="2" t="n">
        <v>120</v>
      </c>
      <c r="B119" s="2" t="s">
        <v>237</v>
      </c>
      <c r="C119" s="2" t="n">
        <v>89</v>
      </c>
      <c r="D119" s="2" t="n">
        <v>267.3</v>
      </c>
      <c r="E119" s="2" t="n">
        <v>224.8</v>
      </c>
      <c r="F119" s="2" t="n">
        <v>317.9</v>
      </c>
      <c r="G119" s="2" t="n">
        <v>0.262</v>
      </c>
    </row>
    <row r="120" customFormat="false" ht="15" hidden="false" customHeight="false" outlineLevel="0" collapsed="false">
      <c r="A120" s="2" t="n">
        <v>168</v>
      </c>
      <c r="B120" s="2" t="s">
        <v>182</v>
      </c>
      <c r="C120" s="2" t="n">
        <v>86</v>
      </c>
      <c r="D120" s="2" t="n">
        <v>266.5</v>
      </c>
      <c r="E120" s="2" t="n">
        <v>235.1</v>
      </c>
      <c r="F120" s="2" t="n">
        <v>293.6</v>
      </c>
      <c r="G120" s="2" t="n">
        <v>0.176</v>
      </c>
    </row>
    <row r="121" customFormat="false" ht="15" hidden="false" customHeight="false" outlineLevel="0" collapsed="false">
      <c r="A121" s="2" t="n">
        <v>127</v>
      </c>
      <c r="B121" s="2" t="s">
        <v>222</v>
      </c>
      <c r="C121" s="2" t="n">
        <v>90</v>
      </c>
      <c r="D121" s="2" t="n">
        <v>266.3</v>
      </c>
      <c r="E121" s="2" t="n">
        <v>227.5</v>
      </c>
      <c r="F121" s="2" t="n">
        <v>287.7</v>
      </c>
      <c r="G121" s="2" t="n">
        <v>0.226</v>
      </c>
    </row>
    <row r="122" customFormat="false" ht="15" hidden="false" customHeight="false" outlineLevel="0" collapsed="false">
      <c r="A122" s="2" t="n">
        <v>965</v>
      </c>
      <c r="B122" s="2" t="s">
        <v>324</v>
      </c>
      <c r="C122" s="2" t="n">
        <v>86</v>
      </c>
      <c r="D122" s="2" t="n">
        <v>262</v>
      </c>
      <c r="E122" s="2" t="n">
        <v>218.3</v>
      </c>
      <c r="F122" s="2" t="n">
        <v>310</v>
      </c>
      <c r="G122" s="2" t="n">
        <v>0.262</v>
      </c>
    </row>
    <row r="123" customFormat="false" ht="15" hidden="false" customHeight="false" outlineLevel="0" collapsed="false">
      <c r="A123" s="2" t="n">
        <v>46</v>
      </c>
      <c r="B123" s="2" t="s">
        <v>82</v>
      </c>
      <c r="C123" s="2" t="n">
        <v>17</v>
      </c>
      <c r="D123" s="2" t="n">
        <v>260</v>
      </c>
      <c r="E123" s="2" t="n">
        <v>142.4</v>
      </c>
      <c r="F123" s="2" t="n">
        <v>400.7</v>
      </c>
      <c r="G123" s="2" t="n">
        <v>0.605</v>
      </c>
    </row>
    <row r="124" customFormat="false" ht="15" hidden="false" customHeight="false" outlineLevel="0" collapsed="false">
      <c r="A124" s="2" t="n">
        <v>169</v>
      </c>
      <c r="B124" s="2" t="s">
        <v>180</v>
      </c>
      <c r="C124" s="2" t="n">
        <v>2</v>
      </c>
      <c r="D124" s="2" t="n">
        <v>256</v>
      </c>
      <c r="E124" s="2"/>
      <c r="F124" s="2"/>
      <c r="G124" s="2" t="n">
        <v>0.108</v>
      </c>
    </row>
    <row r="125" customFormat="false" ht="15" hidden="false" customHeight="false" outlineLevel="0" collapsed="false">
      <c r="A125" s="2" t="n">
        <v>928</v>
      </c>
      <c r="B125" s="2" t="s">
        <v>553</v>
      </c>
      <c r="C125" s="2" t="n">
        <v>92</v>
      </c>
      <c r="D125" s="2" t="n">
        <v>255.8</v>
      </c>
      <c r="E125" s="2" t="n">
        <v>223.1</v>
      </c>
      <c r="F125" s="2" t="n">
        <v>290.9</v>
      </c>
      <c r="G125" s="2" t="n">
        <v>0.189</v>
      </c>
    </row>
    <row r="126" customFormat="false" ht="15" hidden="false" customHeight="false" outlineLevel="0" collapsed="false">
      <c r="A126" s="2" t="n">
        <v>121</v>
      </c>
      <c r="B126" s="2" t="s">
        <v>142</v>
      </c>
      <c r="C126" s="2" t="n">
        <v>81</v>
      </c>
      <c r="D126" s="2" t="n">
        <v>255</v>
      </c>
      <c r="E126" s="2" t="n">
        <v>226.5</v>
      </c>
      <c r="F126" s="2" t="n">
        <v>281</v>
      </c>
      <c r="G126" s="2" t="n">
        <v>0.323</v>
      </c>
    </row>
    <row r="127" customFormat="false" ht="15" hidden="false" customHeight="false" outlineLevel="0" collapsed="false">
      <c r="A127" s="2" t="n">
        <v>171</v>
      </c>
      <c r="B127" s="2" t="s">
        <v>110</v>
      </c>
      <c r="C127" s="2" t="n">
        <v>87</v>
      </c>
      <c r="D127" s="2" t="n">
        <v>252.9</v>
      </c>
      <c r="E127" s="2" t="n">
        <v>227</v>
      </c>
      <c r="F127" s="2" t="n">
        <v>277.8</v>
      </c>
      <c r="G127" s="2" t="n">
        <v>0.196</v>
      </c>
    </row>
    <row r="128" customFormat="false" ht="15" hidden="false" customHeight="false" outlineLevel="0" collapsed="false">
      <c r="A128" s="2" t="n">
        <v>154</v>
      </c>
      <c r="B128" s="2" t="s">
        <v>183</v>
      </c>
      <c r="C128" s="2" t="n">
        <v>88</v>
      </c>
      <c r="D128" s="2" t="n">
        <v>251.9</v>
      </c>
      <c r="E128" s="2" t="n">
        <v>240.1</v>
      </c>
      <c r="F128" s="2" t="n">
        <v>276.9</v>
      </c>
      <c r="G128" s="2" t="n">
        <v>0.2</v>
      </c>
    </row>
    <row r="129" customFormat="false" ht="16.4" hidden="false" customHeight="false" outlineLevel="0" collapsed="false">
      <c r="A129" s="2" t="n">
        <v>134</v>
      </c>
      <c r="B129" s="2" t="s">
        <v>308</v>
      </c>
      <c r="C129" s="2" t="n">
        <v>91</v>
      </c>
      <c r="D129" s="2" t="n">
        <v>249.8</v>
      </c>
      <c r="E129" s="2" t="n">
        <v>200</v>
      </c>
      <c r="F129" s="2" t="n">
        <v>315.9</v>
      </c>
      <c r="G129" s="2" t="n">
        <v>0.368</v>
      </c>
    </row>
    <row r="130" customFormat="false" ht="15" hidden="false" customHeight="false" outlineLevel="0" collapsed="false">
      <c r="A130" s="2" t="n">
        <v>163</v>
      </c>
      <c r="B130" s="2" t="s">
        <v>470</v>
      </c>
      <c r="C130" s="2" t="n">
        <v>62</v>
      </c>
      <c r="D130" s="2" t="n">
        <v>249.1</v>
      </c>
      <c r="E130" s="2" t="n">
        <v>229.9</v>
      </c>
      <c r="F130" s="2" t="n">
        <v>268.9</v>
      </c>
      <c r="G130" s="2" t="n">
        <v>0.249</v>
      </c>
    </row>
    <row r="131" customFormat="false" ht="16.4" hidden="false" customHeight="false" outlineLevel="0" collapsed="false">
      <c r="A131" s="2" t="n">
        <v>165</v>
      </c>
      <c r="B131" s="2" t="s">
        <v>271</v>
      </c>
      <c r="C131" s="2" t="n">
        <v>81</v>
      </c>
      <c r="D131" s="2" t="n">
        <v>247.6</v>
      </c>
      <c r="E131" s="2" t="n">
        <v>205.3</v>
      </c>
      <c r="F131" s="2" t="n">
        <v>313.3</v>
      </c>
      <c r="G131" s="2" t="n">
        <v>0.66</v>
      </c>
    </row>
    <row r="132" customFormat="false" ht="16.4" hidden="false" customHeight="false" outlineLevel="0" collapsed="false">
      <c r="A132" s="2" t="n">
        <v>156</v>
      </c>
      <c r="B132" s="2" t="s">
        <v>187</v>
      </c>
      <c r="C132" s="2" t="n">
        <v>91</v>
      </c>
      <c r="D132" s="2" t="n">
        <v>247.2</v>
      </c>
      <c r="E132" s="2" t="n">
        <v>214.3</v>
      </c>
      <c r="F132" s="2" t="n">
        <v>272.4</v>
      </c>
      <c r="G132" s="2" t="n">
        <v>0.311</v>
      </c>
    </row>
    <row r="133" customFormat="false" ht="15" hidden="false" customHeight="false" outlineLevel="0" collapsed="false">
      <c r="A133" s="2" t="n">
        <v>118</v>
      </c>
      <c r="B133" s="2" t="s">
        <v>238</v>
      </c>
      <c r="C133" s="2" t="n">
        <v>90</v>
      </c>
      <c r="D133" s="2" t="n">
        <v>245.4</v>
      </c>
      <c r="E133" s="2" t="n">
        <v>209.6</v>
      </c>
      <c r="F133" s="2" t="n">
        <v>309.6</v>
      </c>
      <c r="G133" s="2" t="n">
        <v>0.236</v>
      </c>
    </row>
    <row r="134" customFormat="false" ht="15" hidden="false" customHeight="false" outlineLevel="0" collapsed="false">
      <c r="A134" s="2" t="n">
        <v>155</v>
      </c>
      <c r="B134" s="2" t="s">
        <v>189</v>
      </c>
      <c r="C134" s="2" t="n">
        <v>83</v>
      </c>
      <c r="D134" s="2" t="n">
        <v>244.6</v>
      </c>
      <c r="E134" s="2" t="n">
        <v>177.9</v>
      </c>
      <c r="F134" s="2" t="n">
        <v>275</v>
      </c>
      <c r="G134" s="2" t="n">
        <v>0.491</v>
      </c>
    </row>
    <row r="135" customFormat="false" ht="15" hidden="false" customHeight="false" outlineLevel="0" collapsed="false">
      <c r="A135" s="2" t="n">
        <v>126</v>
      </c>
      <c r="B135" s="2" t="s">
        <v>241</v>
      </c>
      <c r="C135" s="2" t="n">
        <v>86</v>
      </c>
      <c r="D135" s="2" t="n">
        <v>242.5</v>
      </c>
      <c r="E135" s="2" t="n">
        <v>193.8</v>
      </c>
      <c r="F135" s="2" t="n">
        <v>261.9</v>
      </c>
      <c r="G135" s="2" t="n">
        <v>0.215</v>
      </c>
    </row>
    <row r="136" customFormat="false" ht="15" hidden="false" customHeight="false" outlineLevel="0" collapsed="false">
      <c r="A136" s="2" t="n">
        <v>959</v>
      </c>
      <c r="B136" s="2" t="s">
        <v>223</v>
      </c>
      <c r="C136" s="2" t="n">
        <v>89</v>
      </c>
      <c r="D136" s="2" t="n">
        <v>240</v>
      </c>
      <c r="E136" s="2" t="n">
        <v>201.7</v>
      </c>
      <c r="F136" s="2" t="n">
        <v>299.4</v>
      </c>
      <c r="G136" s="2" t="n">
        <v>0.265</v>
      </c>
    </row>
    <row r="137" customFormat="false" ht="15" hidden="false" customHeight="false" outlineLevel="0" collapsed="false">
      <c r="A137" s="2" t="n">
        <v>909</v>
      </c>
      <c r="B137" s="2" t="s">
        <v>471</v>
      </c>
      <c r="C137" s="2" t="n">
        <v>72</v>
      </c>
      <c r="D137" s="2" t="n">
        <v>239.6</v>
      </c>
      <c r="E137" s="2" t="n">
        <v>219.2</v>
      </c>
      <c r="F137" s="2" t="n">
        <v>271.8</v>
      </c>
      <c r="G137" s="2" t="n">
        <v>0.285</v>
      </c>
    </row>
    <row r="138" customFormat="false" ht="15" hidden="false" customHeight="false" outlineLevel="0" collapsed="false">
      <c r="A138" s="2" t="n">
        <v>291</v>
      </c>
      <c r="B138" s="2" t="s">
        <v>554</v>
      </c>
      <c r="C138" s="2" t="n">
        <v>84</v>
      </c>
      <c r="D138" s="2" t="n">
        <v>238.1</v>
      </c>
      <c r="E138" s="2" t="n">
        <v>206</v>
      </c>
      <c r="F138" s="2" t="n">
        <v>264.5</v>
      </c>
      <c r="G138" s="2" t="n">
        <v>0.192</v>
      </c>
    </row>
    <row r="139" customFormat="false" ht="15" hidden="false" customHeight="false" outlineLevel="0" collapsed="false">
      <c r="A139" s="2" t="n">
        <v>658</v>
      </c>
      <c r="B139" s="2" t="s">
        <v>209</v>
      </c>
      <c r="C139" s="2" t="n">
        <v>88</v>
      </c>
      <c r="D139" s="2" t="n">
        <v>238</v>
      </c>
      <c r="E139" s="2" t="n">
        <v>218.6</v>
      </c>
      <c r="F139" s="2" t="n">
        <v>280</v>
      </c>
      <c r="G139" s="2" t="n">
        <v>0.194</v>
      </c>
    </row>
    <row r="140" customFormat="false" ht="15" hidden="false" customHeight="false" outlineLevel="0" collapsed="false">
      <c r="A140" s="2" t="n">
        <v>141</v>
      </c>
      <c r="B140" s="2" t="s">
        <v>185</v>
      </c>
      <c r="C140" s="2" t="n">
        <v>23</v>
      </c>
      <c r="D140" s="2" t="n">
        <v>234.9</v>
      </c>
      <c r="E140" s="2" t="n">
        <v>200.6</v>
      </c>
      <c r="F140" s="2" t="n">
        <v>275</v>
      </c>
      <c r="G140" s="2" t="n">
        <v>0.288</v>
      </c>
    </row>
    <row r="141" customFormat="false" ht="15" hidden="false" customHeight="false" outlineLevel="0" collapsed="false">
      <c r="A141" s="2" t="n">
        <v>116</v>
      </c>
      <c r="B141" s="2" t="s">
        <v>146</v>
      </c>
      <c r="C141" s="2" t="n">
        <v>87</v>
      </c>
      <c r="D141" s="2" t="n">
        <v>233.8</v>
      </c>
      <c r="E141" s="2" t="n">
        <v>206.5</v>
      </c>
      <c r="F141" s="2" t="n">
        <v>270</v>
      </c>
      <c r="G141" s="2" t="n">
        <v>0.21</v>
      </c>
    </row>
    <row r="142" customFormat="false" ht="15" hidden="false" customHeight="false" outlineLevel="0" collapsed="false">
      <c r="A142" s="2" t="n">
        <v>910</v>
      </c>
      <c r="B142" s="2" t="s">
        <v>454</v>
      </c>
      <c r="C142" s="2" t="n">
        <v>89</v>
      </c>
      <c r="D142" s="2" t="n">
        <v>232.1</v>
      </c>
      <c r="E142" s="2" t="n">
        <v>207.6</v>
      </c>
      <c r="F142" s="2" t="n">
        <v>250</v>
      </c>
      <c r="G142" s="2" t="n">
        <v>0.127</v>
      </c>
    </row>
    <row r="143" customFormat="false" ht="15" hidden="false" customHeight="false" outlineLevel="0" collapsed="false">
      <c r="A143" s="2" t="n">
        <v>954</v>
      </c>
      <c r="B143" s="2" t="s">
        <v>555</v>
      </c>
      <c r="C143" s="2" t="n">
        <v>92</v>
      </c>
      <c r="D143" s="2" t="n">
        <v>232</v>
      </c>
      <c r="E143" s="2" t="n">
        <v>205.5</v>
      </c>
      <c r="F143" s="2" t="n">
        <v>280.9</v>
      </c>
      <c r="G143" s="2" t="n">
        <v>0.231</v>
      </c>
    </row>
    <row r="144" customFormat="false" ht="15" hidden="false" customHeight="false" outlineLevel="0" collapsed="false">
      <c r="A144" s="2" t="n">
        <v>945</v>
      </c>
      <c r="B144" s="2" t="s">
        <v>242</v>
      </c>
      <c r="C144" s="2" t="n">
        <v>91</v>
      </c>
      <c r="D144" s="2" t="n">
        <v>231.9</v>
      </c>
      <c r="E144" s="2" t="n">
        <v>195.7</v>
      </c>
      <c r="F144" s="2" t="n">
        <v>254.9</v>
      </c>
      <c r="G144" s="2" t="n">
        <v>0.209</v>
      </c>
    </row>
    <row r="145" customFormat="false" ht="15" hidden="false" customHeight="false" outlineLevel="0" collapsed="false">
      <c r="A145" s="2" t="n">
        <v>110</v>
      </c>
      <c r="B145" s="2" t="s">
        <v>148</v>
      </c>
      <c r="C145" s="2" t="n">
        <v>85</v>
      </c>
      <c r="D145" s="2" t="n">
        <v>230</v>
      </c>
      <c r="E145" s="2" t="n">
        <v>208</v>
      </c>
      <c r="F145" s="2" t="n">
        <v>250.4</v>
      </c>
      <c r="G145" s="2" t="n">
        <v>0.187</v>
      </c>
    </row>
    <row r="146" customFormat="false" ht="15" hidden="false" customHeight="false" outlineLevel="0" collapsed="false">
      <c r="A146" s="2" t="n">
        <v>1031</v>
      </c>
      <c r="B146" s="2" t="s">
        <v>472</v>
      </c>
      <c r="C146" s="2" t="n">
        <v>86</v>
      </c>
      <c r="D146" s="2" t="n">
        <v>229.3</v>
      </c>
      <c r="E146" s="2" t="n">
        <v>200</v>
      </c>
      <c r="F146" s="2" t="n">
        <v>291.9</v>
      </c>
      <c r="G146" s="2" t="n">
        <v>0.375</v>
      </c>
    </row>
    <row r="147" customFormat="false" ht="15" hidden="false" customHeight="false" outlineLevel="0" collapsed="false">
      <c r="A147" s="2" t="n">
        <v>951</v>
      </c>
      <c r="B147" s="2" t="s">
        <v>310</v>
      </c>
      <c r="C147" s="2" t="n">
        <v>78</v>
      </c>
      <c r="D147" s="2" t="n">
        <v>225.6</v>
      </c>
      <c r="E147" s="2" t="n">
        <v>197.9</v>
      </c>
      <c r="F147" s="2" t="n">
        <v>266.9</v>
      </c>
      <c r="G147" s="2" t="n">
        <v>0.217</v>
      </c>
    </row>
    <row r="148" customFormat="false" ht="15" hidden="false" customHeight="false" outlineLevel="0" collapsed="false">
      <c r="A148" s="2" t="n">
        <v>311</v>
      </c>
      <c r="B148" s="2" t="s">
        <v>462</v>
      </c>
      <c r="C148" s="2" t="n">
        <v>79</v>
      </c>
      <c r="D148" s="2" t="n">
        <v>220.5</v>
      </c>
      <c r="E148" s="2" t="n">
        <v>150</v>
      </c>
      <c r="F148" s="2" t="n">
        <v>239.8</v>
      </c>
      <c r="G148" s="2" t="n">
        <v>0.561</v>
      </c>
    </row>
    <row r="149" customFormat="false" ht="15" hidden="false" customHeight="false" outlineLevel="0" collapsed="false">
      <c r="A149" s="2" t="n">
        <v>961</v>
      </c>
      <c r="B149" s="2" t="s">
        <v>151</v>
      </c>
      <c r="C149" s="2" t="n">
        <v>90</v>
      </c>
      <c r="D149" s="2" t="n">
        <v>219.7</v>
      </c>
      <c r="E149" s="2" t="n">
        <v>199.7</v>
      </c>
      <c r="F149" s="2" t="n">
        <v>245.3</v>
      </c>
      <c r="G149" s="2" t="n">
        <v>0.19</v>
      </c>
    </row>
    <row r="150" customFormat="false" ht="15" hidden="false" customHeight="false" outlineLevel="0" collapsed="false">
      <c r="A150" s="2" t="n">
        <v>162</v>
      </c>
      <c r="B150" s="2" t="s">
        <v>473</v>
      </c>
      <c r="C150" s="2" t="n">
        <v>85</v>
      </c>
      <c r="D150" s="2" t="n">
        <v>218.8</v>
      </c>
      <c r="E150" s="2" t="n">
        <v>194.2</v>
      </c>
      <c r="F150" s="2" t="n">
        <v>293.9</v>
      </c>
      <c r="G150" s="2" t="n">
        <v>0.267</v>
      </c>
    </row>
    <row r="151" customFormat="false" ht="15" hidden="false" customHeight="false" outlineLevel="0" collapsed="false">
      <c r="A151" s="2" t="n">
        <v>123</v>
      </c>
      <c r="B151" s="2" t="s">
        <v>556</v>
      </c>
      <c r="C151" s="2" t="n">
        <v>85</v>
      </c>
      <c r="D151" s="2" t="n">
        <v>217.7</v>
      </c>
      <c r="E151" s="2" t="n">
        <v>185.8</v>
      </c>
      <c r="F151" s="2" t="n">
        <v>266.6</v>
      </c>
      <c r="G151" s="2" t="n">
        <v>0.237</v>
      </c>
    </row>
    <row r="152" customFormat="false" ht="15" hidden="false" customHeight="false" outlineLevel="0" collapsed="false">
      <c r="A152" s="2" t="n">
        <v>285</v>
      </c>
      <c r="B152" s="2" t="s">
        <v>292</v>
      </c>
      <c r="C152" s="2" t="n">
        <v>85</v>
      </c>
      <c r="D152" s="2" t="n">
        <v>216.5</v>
      </c>
      <c r="E152" s="2" t="n">
        <v>164.6</v>
      </c>
      <c r="F152" s="2" t="n">
        <v>250</v>
      </c>
      <c r="G152" s="2" t="n">
        <v>0.284</v>
      </c>
    </row>
    <row r="153" customFormat="false" ht="15" hidden="false" customHeight="false" outlineLevel="0" collapsed="false">
      <c r="A153" s="2" t="n">
        <v>153</v>
      </c>
      <c r="B153" s="2" t="s">
        <v>190</v>
      </c>
      <c r="C153" s="2" t="n">
        <v>70</v>
      </c>
      <c r="D153" s="2" t="n">
        <v>214.8</v>
      </c>
      <c r="E153" s="2" t="n">
        <v>190.5</v>
      </c>
      <c r="F153" s="2" t="n">
        <v>250</v>
      </c>
      <c r="G153" s="2" t="n">
        <v>0.268</v>
      </c>
    </row>
    <row r="154" customFormat="false" ht="15" hidden="false" customHeight="false" outlineLevel="0" collapsed="false">
      <c r="A154" s="2" t="n">
        <v>94</v>
      </c>
      <c r="B154" s="2" t="s">
        <v>272</v>
      </c>
      <c r="C154" s="2" t="n">
        <v>90</v>
      </c>
      <c r="D154" s="2" t="n">
        <v>214.8</v>
      </c>
      <c r="E154" s="2" t="n">
        <v>170.2</v>
      </c>
      <c r="F154" s="2" t="n">
        <v>242.9</v>
      </c>
      <c r="G154" s="2" t="n">
        <v>0.206</v>
      </c>
    </row>
    <row r="155" customFormat="false" ht="15" hidden="false" customHeight="false" outlineLevel="0" collapsed="false">
      <c r="A155" s="2" t="n">
        <v>952</v>
      </c>
      <c r="B155" s="2" t="s">
        <v>311</v>
      </c>
      <c r="C155" s="2" t="n">
        <v>82</v>
      </c>
      <c r="D155" s="2" t="n">
        <v>214.7</v>
      </c>
      <c r="E155" s="2" t="n">
        <v>180.9</v>
      </c>
      <c r="F155" s="2" t="n">
        <v>250.6</v>
      </c>
      <c r="G155" s="2" t="n">
        <v>0.225</v>
      </c>
    </row>
    <row r="156" customFormat="false" ht="15" hidden="false" customHeight="false" outlineLevel="0" collapsed="false">
      <c r="A156" s="2" t="n">
        <v>112</v>
      </c>
      <c r="B156" s="2" t="s">
        <v>452</v>
      </c>
      <c r="C156" s="2" t="n">
        <v>73</v>
      </c>
      <c r="D156" s="2" t="n">
        <v>214.6</v>
      </c>
      <c r="E156" s="2" t="n">
        <v>193.5</v>
      </c>
      <c r="F156" s="2" t="n">
        <v>236.1</v>
      </c>
      <c r="G156" s="2" t="n">
        <v>0.195</v>
      </c>
    </row>
    <row r="157" customFormat="false" ht="15" hidden="false" customHeight="false" outlineLevel="0" collapsed="false">
      <c r="A157" s="2" t="n">
        <v>179</v>
      </c>
      <c r="B157" s="2" t="s">
        <v>455</v>
      </c>
      <c r="C157" s="2" t="n">
        <v>23</v>
      </c>
      <c r="D157" s="2" t="n">
        <v>214.3</v>
      </c>
      <c r="E157" s="2" t="n">
        <v>200</v>
      </c>
      <c r="F157" s="2" t="n">
        <v>230</v>
      </c>
      <c r="G157" s="2" t="n">
        <v>0.103</v>
      </c>
    </row>
    <row r="158" customFormat="false" ht="15" hidden="false" customHeight="false" outlineLevel="0" collapsed="false">
      <c r="A158" s="2" t="n">
        <v>115</v>
      </c>
      <c r="B158" s="2" t="s">
        <v>149</v>
      </c>
      <c r="C158" s="2" t="n">
        <v>86</v>
      </c>
      <c r="D158" s="2" t="n">
        <v>213.3</v>
      </c>
      <c r="E158" s="2" t="n">
        <v>189.7</v>
      </c>
      <c r="F158" s="2" t="n">
        <v>234.4</v>
      </c>
      <c r="G158" s="2" t="n">
        <v>0.263</v>
      </c>
    </row>
    <row r="159" customFormat="false" ht="15" hidden="false" customHeight="false" outlineLevel="0" collapsed="false">
      <c r="A159" s="2" t="n">
        <v>109</v>
      </c>
      <c r="B159" s="2" t="s">
        <v>152</v>
      </c>
      <c r="C159" s="2" t="n">
        <v>85</v>
      </c>
      <c r="D159" s="2" t="n">
        <v>211.1</v>
      </c>
      <c r="E159" s="2" t="n">
        <v>187.9</v>
      </c>
      <c r="F159" s="2" t="n">
        <v>227.8</v>
      </c>
      <c r="G159" s="2" t="n">
        <v>0.181</v>
      </c>
    </row>
    <row r="160" customFormat="false" ht="15" hidden="false" customHeight="false" outlineLevel="0" collapsed="false">
      <c r="A160" s="2" t="n">
        <v>962</v>
      </c>
      <c r="B160" s="2" t="s">
        <v>313</v>
      </c>
      <c r="C160" s="2" t="n">
        <v>80</v>
      </c>
      <c r="D160" s="2" t="n">
        <v>210.4</v>
      </c>
      <c r="E160" s="2" t="n">
        <v>189</v>
      </c>
      <c r="F160" s="2" t="n">
        <v>255.8</v>
      </c>
      <c r="G160" s="2" t="n">
        <v>0.196</v>
      </c>
    </row>
    <row r="161" customFormat="false" ht="15" hidden="false" customHeight="false" outlineLevel="0" collapsed="false">
      <c r="A161" s="2" t="n">
        <v>204</v>
      </c>
      <c r="B161" s="2" t="s">
        <v>211</v>
      </c>
      <c r="C161" s="2" t="n">
        <v>89</v>
      </c>
      <c r="D161" s="2" t="n">
        <v>210.3</v>
      </c>
      <c r="E161" s="2" t="n">
        <v>171.2</v>
      </c>
      <c r="F161" s="2" t="n">
        <v>228.9</v>
      </c>
      <c r="G161" s="2" t="n">
        <v>0.215</v>
      </c>
    </row>
    <row r="162" customFormat="false" ht="15" hidden="false" customHeight="false" outlineLevel="0" collapsed="false">
      <c r="A162" s="2" t="n">
        <v>908</v>
      </c>
      <c r="B162" s="2" t="s">
        <v>480</v>
      </c>
      <c r="C162" s="2" t="n">
        <v>82</v>
      </c>
      <c r="D162" s="2" t="n">
        <v>210</v>
      </c>
      <c r="E162" s="2" t="n">
        <v>180</v>
      </c>
      <c r="F162" s="2" t="n">
        <v>246.7</v>
      </c>
      <c r="G162" s="2" t="n">
        <v>0.229</v>
      </c>
    </row>
    <row r="163" customFormat="false" ht="15" hidden="false" customHeight="false" outlineLevel="0" collapsed="false">
      <c r="A163" s="2" t="n">
        <v>936</v>
      </c>
      <c r="B163" s="2" t="s">
        <v>557</v>
      </c>
      <c r="C163" s="2" t="n">
        <v>89</v>
      </c>
      <c r="D163" s="2" t="n">
        <v>208.3</v>
      </c>
      <c r="E163" s="2" t="n">
        <v>169.8</v>
      </c>
      <c r="F163" s="2" t="n">
        <v>292.9</v>
      </c>
      <c r="G163" s="2" t="n">
        <v>0.348</v>
      </c>
    </row>
    <row r="164" customFormat="false" ht="15" hidden="false" customHeight="false" outlineLevel="0" collapsed="false">
      <c r="A164" s="2" t="n">
        <v>967</v>
      </c>
      <c r="B164" s="2" t="s">
        <v>325</v>
      </c>
      <c r="C164" s="2" t="n">
        <v>84</v>
      </c>
      <c r="D164" s="2" t="n">
        <v>208</v>
      </c>
      <c r="E164" s="2" t="n">
        <v>166</v>
      </c>
      <c r="F164" s="2" t="n">
        <v>246.1</v>
      </c>
      <c r="G164" s="2" t="n">
        <v>0.208</v>
      </c>
    </row>
    <row r="165" customFormat="false" ht="15" hidden="false" customHeight="false" outlineLevel="0" collapsed="false">
      <c r="A165" s="2" t="n">
        <v>161</v>
      </c>
      <c r="B165" s="2" t="s">
        <v>474</v>
      </c>
      <c r="C165" s="2" t="n">
        <v>48</v>
      </c>
      <c r="D165" s="2" t="n">
        <v>207.6</v>
      </c>
      <c r="E165" s="2" t="n">
        <v>189.7</v>
      </c>
      <c r="F165" s="2" t="n">
        <v>297.1</v>
      </c>
      <c r="G165" s="2" t="n">
        <v>0.31</v>
      </c>
    </row>
    <row r="166" customFormat="false" ht="15" hidden="false" customHeight="false" outlineLevel="0" collapsed="false">
      <c r="A166" s="2" t="n">
        <v>182</v>
      </c>
      <c r="B166" s="2" t="s">
        <v>249</v>
      </c>
      <c r="C166" s="2" t="n">
        <v>2</v>
      </c>
      <c r="D166" s="2" t="n">
        <v>207.5</v>
      </c>
      <c r="E166" s="2"/>
      <c r="F166" s="2"/>
      <c r="G166" s="2" t="n">
        <v>0.208</v>
      </c>
    </row>
    <row r="167" customFormat="false" ht="15" hidden="false" customHeight="false" outlineLevel="0" collapsed="false">
      <c r="A167" s="2" t="n">
        <v>953</v>
      </c>
      <c r="B167" s="2" t="s">
        <v>314</v>
      </c>
      <c r="C167" s="2" t="n">
        <v>85</v>
      </c>
      <c r="D167" s="2" t="n">
        <v>207.1</v>
      </c>
      <c r="E167" s="2" t="n">
        <v>176.2</v>
      </c>
      <c r="F167" s="2" t="n">
        <v>247</v>
      </c>
      <c r="G167" s="2" t="n">
        <v>0.292</v>
      </c>
    </row>
    <row r="168" customFormat="false" ht="15" hidden="false" customHeight="false" outlineLevel="0" collapsed="false">
      <c r="A168" s="2" t="n">
        <v>130</v>
      </c>
      <c r="B168" s="2" t="s">
        <v>228</v>
      </c>
      <c r="C168" s="2" t="n">
        <v>88</v>
      </c>
      <c r="D168" s="2" t="n">
        <v>203.9</v>
      </c>
      <c r="E168" s="2" t="n">
        <v>170.5</v>
      </c>
      <c r="F168" s="2" t="n">
        <v>243.4</v>
      </c>
      <c r="G168" s="2" t="n">
        <v>0.256</v>
      </c>
    </row>
    <row r="169" customFormat="false" ht="16.4" hidden="false" customHeight="false" outlineLevel="0" collapsed="false">
      <c r="A169" s="2" t="n">
        <v>907</v>
      </c>
      <c r="B169" s="2" t="s">
        <v>558</v>
      </c>
      <c r="C169" s="2" t="n">
        <v>75</v>
      </c>
      <c r="D169" s="2" t="n">
        <v>201.3</v>
      </c>
      <c r="E169" s="2" t="n">
        <v>176.5</v>
      </c>
      <c r="F169" s="2" t="n">
        <v>211.3</v>
      </c>
      <c r="G169" s="2" t="n">
        <v>0.283</v>
      </c>
    </row>
    <row r="170" customFormat="false" ht="15" hidden="false" customHeight="false" outlineLevel="0" collapsed="false">
      <c r="A170" s="2" t="n">
        <v>273</v>
      </c>
      <c r="B170" s="2" t="s">
        <v>559</v>
      </c>
      <c r="C170" s="2" t="n">
        <v>85</v>
      </c>
      <c r="D170" s="2" t="n">
        <v>200</v>
      </c>
      <c r="E170" s="2" t="n">
        <v>160.9</v>
      </c>
      <c r="F170" s="2" t="n">
        <v>258.9</v>
      </c>
      <c r="G170" s="2" t="n">
        <v>0.395</v>
      </c>
    </row>
    <row r="171" customFormat="false" ht="15" hidden="false" customHeight="false" outlineLevel="0" collapsed="false">
      <c r="A171" s="2" t="n">
        <v>278</v>
      </c>
      <c r="B171" s="2" t="s">
        <v>276</v>
      </c>
      <c r="C171" s="2" t="n">
        <v>91</v>
      </c>
      <c r="D171" s="2" t="n">
        <v>200</v>
      </c>
      <c r="E171" s="2" t="n">
        <v>161.6</v>
      </c>
      <c r="F171" s="2" t="n">
        <v>250</v>
      </c>
      <c r="G171" s="2" t="n">
        <v>0.281</v>
      </c>
    </row>
    <row r="172" customFormat="false" ht="16.4" hidden="false" customHeight="false" outlineLevel="0" collapsed="false">
      <c r="A172" s="2" t="n">
        <v>655</v>
      </c>
      <c r="B172" s="2" t="s">
        <v>274</v>
      </c>
      <c r="C172" s="2" t="n">
        <v>89</v>
      </c>
      <c r="D172" s="2" t="n">
        <v>200</v>
      </c>
      <c r="E172" s="2" t="n">
        <v>170.9</v>
      </c>
      <c r="F172" s="2" t="n">
        <v>238.8</v>
      </c>
      <c r="G172" s="2" t="n">
        <v>0.253</v>
      </c>
    </row>
    <row r="173" customFormat="false" ht="15" hidden="false" customHeight="false" outlineLevel="0" collapsed="false">
      <c r="A173" s="2" t="n">
        <v>1023</v>
      </c>
      <c r="B173" s="2" t="s">
        <v>348</v>
      </c>
      <c r="C173" s="2" t="n">
        <v>40</v>
      </c>
      <c r="D173" s="2" t="n">
        <v>200</v>
      </c>
      <c r="E173" s="2" t="n">
        <v>133.6</v>
      </c>
      <c r="F173" s="2" t="n">
        <v>200</v>
      </c>
      <c r="G173" s="2" t="n">
        <v>0.239</v>
      </c>
    </row>
    <row r="174" customFormat="false" ht="15" hidden="false" customHeight="false" outlineLevel="0" collapsed="false">
      <c r="A174" s="2" t="n">
        <v>164</v>
      </c>
      <c r="B174" s="2" t="s">
        <v>560</v>
      </c>
      <c r="C174" s="2" t="n">
        <v>74</v>
      </c>
      <c r="D174" s="2" t="n">
        <v>198</v>
      </c>
      <c r="E174" s="2" t="n">
        <v>179.5</v>
      </c>
      <c r="F174" s="2" t="n">
        <v>217.5</v>
      </c>
      <c r="G174" s="2" t="n">
        <v>0.241</v>
      </c>
    </row>
    <row r="175" customFormat="false" ht="15" hidden="false" customHeight="false" outlineLevel="0" collapsed="false">
      <c r="A175" s="2" t="n">
        <v>654</v>
      </c>
      <c r="B175" s="2" t="s">
        <v>561</v>
      </c>
      <c r="C175" s="2" t="n">
        <v>88</v>
      </c>
      <c r="D175" s="2" t="n">
        <v>198</v>
      </c>
      <c r="E175" s="2" t="n">
        <v>168.7</v>
      </c>
      <c r="F175" s="2" t="n">
        <v>225.5</v>
      </c>
      <c r="G175" s="2" t="n">
        <v>0.275</v>
      </c>
    </row>
    <row r="176" customFormat="false" ht="15" hidden="false" customHeight="false" outlineLevel="0" collapsed="false">
      <c r="A176" s="2" t="n">
        <v>286</v>
      </c>
      <c r="B176" s="2" t="s">
        <v>226</v>
      </c>
      <c r="C176" s="2" t="n">
        <v>88</v>
      </c>
      <c r="D176" s="2" t="n">
        <v>197.4</v>
      </c>
      <c r="E176" s="2" t="n">
        <v>171.2</v>
      </c>
      <c r="F176" s="2" t="n">
        <v>259.7</v>
      </c>
      <c r="G176" s="2" t="n">
        <v>0.274</v>
      </c>
    </row>
    <row r="177" customFormat="false" ht="15" hidden="false" customHeight="false" outlineLevel="0" collapsed="false">
      <c r="A177" s="2" t="n">
        <v>289</v>
      </c>
      <c r="B177" s="2" t="s">
        <v>328</v>
      </c>
      <c r="C177" s="2" t="n">
        <v>77</v>
      </c>
      <c r="D177" s="2" t="n">
        <v>197.4</v>
      </c>
      <c r="E177" s="2" t="n">
        <v>170.7</v>
      </c>
      <c r="F177" s="2" t="n">
        <v>228.2</v>
      </c>
      <c r="G177" s="2" t="n">
        <v>0.215</v>
      </c>
    </row>
    <row r="178" customFormat="false" ht="15" hidden="false" customHeight="false" outlineLevel="0" collapsed="false">
      <c r="A178" s="2" t="n">
        <v>1030</v>
      </c>
      <c r="B178" s="2" t="s">
        <v>482</v>
      </c>
      <c r="C178" s="2" t="n">
        <v>79</v>
      </c>
      <c r="D178" s="2" t="n">
        <v>195.4</v>
      </c>
      <c r="E178" s="2" t="n">
        <v>181.2</v>
      </c>
      <c r="F178" s="2" t="n">
        <v>214.3</v>
      </c>
      <c r="G178" s="2" t="n">
        <v>0.226</v>
      </c>
    </row>
    <row r="179" customFormat="false" ht="16.4" hidden="false" customHeight="false" outlineLevel="0" collapsed="false">
      <c r="A179" s="2" t="n">
        <v>949</v>
      </c>
      <c r="B179" s="2" t="s">
        <v>245</v>
      </c>
      <c r="C179" s="2" t="n">
        <v>86</v>
      </c>
      <c r="D179" s="2" t="n">
        <v>195.2</v>
      </c>
      <c r="E179" s="2" t="n">
        <v>167.4</v>
      </c>
      <c r="F179" s="2" t="n">
        <v>212.9</v>
      </c>
      <c r="G179" s="2" t="n">
        <v>0.204</v>
      </c>
    </row>
    <row r="180" customFormat="false" ht="15" hidden="false" customHeight="false" outlineLevel="0" collapsed="false">
      <c r="A180" s="2" t="n">
        <v>955</v>
      </c>
      <c r="B180" s="2" t="s">
        <v>243</v>
      </c>
      <c r="C180" s="2" t="n">
        <v>91</v>
      </c>
      <c r="D180" s="2" t="n">
        <v>194.5</v>
      </c>
      <c r="E180" s="2" t="n">
        <v>173.8</v>
      </c>
      <c r="F180" s="2" t="n">
        <v>215.8</v>
      </c>
      <c r="G180" s="2" t="n">
        <v>0.22</v>
      </c>
    </row>
    <row r="181" customFormat="false" ht="15" hidden="false" customHeight="false" outlineLevel="0" collapsed="false">
      <c r="A181" s="2" t="n">
        <v>277</v>
      </c>
      <c r="B181" s="2" t="s">
        <v>277</v>
      </c>
      <c r="C181" s="2" t="n">
        <v>92</v>
      </c>
      <c r="D181" s="2" t="n">
        <v>194.3</v>
      </c>
      <c r="E181" s="2" t="n">
        <v>146.8</v>
      </c>
      <c r="F181" s="2" t="n">
        <v>244.5</v>
      </c>
      <c r="G181" s="2" t="n">
        <v>0.331</v>
      </c>
    </row>
    <row r="182" customFormat="false" ht="15" hidden="false" customHeight="false" outlineLevel="0" collapsed="false">
      <c r="A182" s="2" t="n">
        <v>1020</v>
      </c>
      <c r="B182" s="2" t="s">
        <v>329</v>
      </c>
      <c r="C182" s="2" t="n">
        <v>85</v>
      </c>
      <c r="D182" s="2" t="n">
        <v>193.1</v>
      </c>
      <c r="E182" s="2" t="n">
        <v>163.9</v>
      </c>
      <c r="F182" s="2" t="n">
        <v>247.4</v>
      </c>
      <c r="G182" s="2" t="n">
        <v>0.3</v>
      </c>
    </row>
    <row r="183" customFormat="false" ht="15" hidden="false" customHeight="false" outlineLevel="0" collapsed="false">
      <c r="A183" s="2" t="n">
        <v>911</v>
      </c>
      <c r="B183" s="2" t="s">
        <v>562</v>
      </c>
      <c r="C183" s="2" t="n">
        <v>10</v>
      </c>
      <c r="D183" s="2" t="n">
        <v>192.4</v>
      </c>
      <c r="E183" s="2" t="n">
        <v>143</v>
      </c>
      <c r="F183" s="2" t="n">
        <v>235.8</v>
      </c>
      <c r="G183" s="2" t="n">
        <v>0.3</v>
      </c>
    </row>
    <row r="184" customFormat="false" ht="15" hidden="false" customHeight="false" outlineLevel="0" collapsed="false">
      <c r="A184" s="2" t="n">
        <v>1034</v>
      </c>
      <c r="B184" s="2" t="s">
        <v>563</v>
      </c>
      <c r="C184" s="2" t="n">
        <v>76</v>
      </c>
      <c r="D184" s="2" t="n">
        <v>192</v>
      </c>
      <c r="E184" s="2" t="n">
        <v>125</v>
      </c>
      <c r="F184" s="2" t="n">
        <v>242</v>
      </c>
      <c r="G184" s="2" t="n">
        <v>0.49</v>
      </c>
    </row>
    <row r="185" customFormat="false" ht="15" hidden="false" customHeight="false" outlineLevel="0" collapsed="false">
      <c r="A185" s="2" t="n">
        <v>308</v>
      </c>
      <c r="B185" s="2" t="s">
        <v>456</v>
      </c>
      <c r="C185" s="2" t="n">
        <v>50</v>
      </c>
      <c r="D185" s="2" t="n">
        <v>190.2</v>
      </c>
      <c r="E185" s="2" t="n">
        <v>180</v>
      </c>
      <c r="F185" s="2" t="n">
        <v>206.7</v>
      </c>
      <c r="G185" s="2" t="n">
        <v>0.241</v>
      </c>
    </row>
    <row r="186" customFormat="false" ht="15" hidden="false" customHeight="false" outlineLevel="0" collapsed="false">
      <c r="A186" s="2" t="n">
        <v>1029</v>
      </c>
      <c r="B186" s="2" t="s">
        <v>251</v>
      </c>
      <c r="C186" s="2" t="n">
        <v>87</v>
      </c>
      <c r="D186" s="2" t="n">
        <v>189</v>
      </c>
      <c r="E186" s="2" t="n">
        <v>158.3</v>
      </c>
      <c r="F186" s="2" t="n">
        <v>226.6</v>
      </c>
      <c r="G186" s="2" t="n">
        <v>0.324</v>
      </c>
    </row>
    <row r="187" customFormat="false" ht="15" hidden="false" customHeight="false" outlineLevel="0" collapsed="false">
      <c r="A187" s="2" t="n">
        <v>956</v>
      </c>
      <c r="B187" s="2" t="s">
        <v>247</v>
      </c>
      <c r="C187" s="2" t="n">
        <v>84</v>
      </c>
      <c r="D187" s="2" t="n">
        <v>188.1</v>
      </c>
      <c r="E187" s="2" t="n">
        <v>164.9</v>
      </c>
      <c r="F187" s="2" t="n">
        <v>204.2</v>
      </c>
      <c r="G187" s="2" t="n">
        <v>0.185</v>
      </c>
    </row>
    <row r="188" customFormat="false" ht="15" hidden="false" customHeight="false" outlineLevel="0" collapsed="false">
      <c r="A188" s="2" t="n">
        <v>252</v>
      </c>
      <c r="B188" s="2" t="s">
        <v>370</v>
      </c>
      <c r="C188" s="2" t="n">
        <v>81</v>
      </c>
      <c r="D188" s="2" t="n">
        <v>187.5</v>
      </c>
      <c r="E188" s="2" t="n">
        <v>156.3</v>
      </c>
      <c r="F188" s="2" t="n">
        <v>209.8</v>
      </c>
      <c r="G188" s="2" t="n">
        <v>0.228</v>
      </c>
    </row>
    <row r="189" customFormat="false" ht="15" hidden="false" customHeight="false" outlineLevel="0" collapsed="false">
      <c r="A189" s="2" t="n">
        <v>990</v>
      </c>
      <c r="B189" s="2" t="s">
        <v>564</v>
      </c>
      <c r="C189" s="2" t="n">
        <v>2</v>
      </c>
      <c r="D189" s="2" t="n">
        <v>186.3</v>
      </c>
      <c r="E189" s="2"/>
      <c r="F189" s="2"/>
      <c r="G189" s="2" t="n">
        <v>0.115</v>
      </c>
    </row>
    <row r="190" customFormat="false" ht="15" hidden="false" customHeight="false" outlineLevel="0" collapsed="false">
      <c r="A190" s="2" t="n">
        <v>957</v>
      </c>
      <c r="B190" s="2" t="s">
        <v>565</v>
      </c>
      <c r="C190" s="2" t="n">
        <v>92</v>
      </c>
      <c r="D190" s="2" t="n">
        <v>186.2</v>
      </c>
      <c r="E190" s="2" t="n">
        <v>174.2</v>
      </c>
      <c r="F190" s="2" t="n">
        <v>203.1</v>
      </c>
      <c r="G190" s="2" t="n">
        <v>0.168</v>
      </c>
    </row>
    <row r="191" customFormat="false" ht="15" hidden="false" customHeight="false" outlineLevel="0" collapsed="false">
      <c r="A191" s="2" t="n">
        <v>281</v>
      </c>
      <c r="B191" s="2" t="s">
        <v>283</v>
      </c>
      <c r="C191" s="2" t="n">
        <v>85</v>
      </c>
      <c r="D191" s="2" t="n">
        <v>182.9</v>
      </c>
      <c r="E191" s="2" t="n">
        <v>149.6</v>
      </c>
      <c r="F191" s="2" t="n">
        <v>220.9</v>
      </c>
      <c r="G191" s="2" t="n">
        <v>0.262</v>
      </c>
    </row>
    <row r="192" customFormat="false" ht="15" hidden="false" customHeight="false" outlineLevel="0" collapsed="false">
      <c r="A192" s="2" t="n">
        <v>994</v>
      </c>
      <c r="B192" s="2" t="s">
        <v>293</v>
      </c>
      <c r="C192" s="2" t="n">
        <v>26</v>
      </c>
      <c r="D192" s="2" t="n">
        <v>182.6</v>
      </c>
      <c r="E192" s="2" t="n">
        <v>148.7</v>
      </c>
      <c r="F192" s="2" t="n">
        <v>222.2</v>
      </c>
      <c r="G192" s="2" t="n">
        <v>0.29</v>
      </c>
    </row>
    <row r="193" customFormat="false" ht="15" hidden="false" customHeight="false" outlineLevel="0" collapsed="false">
      <c r="A193" s="2" t="n">
        <v>966</v>
      </c>
      <c r="B193" s="2" t="s">
        <v>326</v>
      </c>
      <c r="C193" s="2" t="n">
        <v>79</v>
      </c>
      <c r="D193" s="2" t="n">
        <v>182.5</v>
      </c>
      <c r="E193" s="2" t="n">
        <v>166</v>
      </c>
      <c r="F193" s="2" t="n">
        <v>233.3</v>
      </c>
      <c r="G193" s="2" t="n">
        <v>0.264</v>
      </c>
    </row>
    <row r="194" customFormat="false" ht="15" hidden="false" customHeight="false" outlineLevel="0" collapsed="false">
      <c r="A194" s="2" t="n">
        <v>131</v>
      </c>
      <c r="B194" s="2" t="s">
        <v>231</v>
      </c>
      <c r="C194" s="2" t="n">
        <v>82</v>
      </c>
      <c r="D194" s="2" t="n">
        <v>182.2</v>
      </c>
      <c r="E194" s="2" t="n">
        <v>158.5</v>
      </c>
      <c r="F194" s="2" t="n">
        <v>204.7</v>
      </c>
      <c r="G194" s="2" t="n">
        <v>0.167</v>
      </c>
    </row>
    <row r="195" customFormat="false" ht="15" hidden="false" customHeight="false" outlineLevel="0" collapsed="false">
      <c r="A195" s="2" t="n">
        <v>132</v>
      </c>
      <c r="B195" s="2" t="s">
        <v>233</v>
      </c>
      <c r="C195" s="2" t="n">
        <v>86</v>
      </c>
      <c r="D195" s="2" t="n">
        <v>181.3</v>
      </c>
      <c r="E195" s="2" t="n">
        <v>166.1</v>
      </c>
      <c r="F195" s="2" t="n">
        <v>200.4</v>
      </c>
      <c r="G195" s="2" t="n">
        <v>0.163</v>
      </c>
    </row>
    <row r="196" customFormat="false" ht="15" hidden="false" customHeight="false" outlineLevel="0" collapsed="false">
      <c r="A196" s="2" t="n">
        <v>133</v>
      </c>
      <c r="B196" s="2" t="s">
        <v>248</v>
      </c>
      <c r="C196" s="2" t="n">
        <v>86</v>
      </c>
      <c r="D196" s="2" t="n">
        <v>180.8</v>
      </c>
      <c r="E196" s="2" t="n">
        <v>154.8</v>
      </c>
      <c r="F196" s="2" t="n">
        <v>199</v>
      </c>
      <c r="G196" s="2" t="n">
        <v>0.174</v>
      </c>
    </row>
    <row r="197" customFormat="false" ht="15" hidden="false" customHeight="false" outlineLevel="0" collapsed="false">
      <c r="A197" s="2" t="n">
        <v>166</v>
      </c>
      <c r="B197" s="2" t="s">
        <v>566</v>
      </c>
      <c r="C197" s="2" t="n">
        <v>32</v>
      </c>
      <c r="D197" s="2" t="n">
        <v>180.4</v>
      </c>
      <c r="E197" s="2" t="n">
        <v>169.2</v>
      </c>
      <c r="F197" s="2" t="n">
        <v>189.8</v>
      </c>
      <c r="G197" s="2" t="n">
        <v>0.149</v>
      </c>
    </row>
    <row r="198" customFormat="false" ht="15" hidden="false" customHeight="false" outlineLevel="0" collapsed="false">
      <c r="A198" s="2" t="n">
        <v>960</v>
      </c>
      <c r="B198" s="2" t="s">
        <v>567</v>
      </c>
      <c r="C198" s="2" t="n">
        <v>85</v>
      </c>
      <c r="D198" s="2" t="n">
        <v>180</v>
      </c>
      <c r="E198" s="2" t="n">
        <v>149.6</v>
      </c>
      <c r="F198" s="2" t="n">
        <v>206.6</v>
      </c>
      <c r="G198" s="2" t="n">
        <v>0.195</v>
      </c>
    </row>
    <row r="199" customFormat="false" ht="15" hidden="false" customHeight="false" outlineLevel="0" collapsed="false">
      <c r="A199" s="2" t="n">
        <v>992</v>
      </c>
      <c r="B199" s="2" t="s">
        <v>295</v>
      </c>
      <c r="C199" s="2" t="n">
        <v>72</v>
      </c>
      <c r="D199" s="2" t="n">
        <v>179.7</v>
      </c>
      <c r="E199" s="2" t="n">
        <v>149</v>
      </c>
      <c r="F199" s="2" t="n">
        <v>207.5</v>
      </c>
      <c r="G199" s="2" t="n">
        <v>0.241</v>
      </c>
    </row>
    <row r="200" customFormat="false" ht="15" hidden="false" customHeight="false" outlineLevel="0" collapsed="false">
      <c r="A200" s="2" t="n">
        <v>964</v>
      </c>
      <c r="B200" s="2" t="s">
        <v>320</v>
      </c>
      <c r="C200" s="2" t="n">
        <v>90</v>
      </c>
      <c r="D200" s="2" t="n">
        <v>179.7</v>
      </c>
      <c r="E200" s="2" t="n">
        <v>139.6</v>
      </c>
      <c r="F200" s="2" t="n">
        <v>205.4</v>
      </c>
      <c r="G200" s="2" t="n">
        <v>0.239</v>
      </c>
    </row>
    <row r="201" customFormat="false" ht="15" hidden="false" customHeight="false" outlineLevel="0" collapsed="false">
      <c r="A201" s="2" t="n">
        <v>92</v>
      </c>
      <c r="B201" s="2" t="s">
        <v>296</v>
      </c>
      <c r="C201" s="2" t="n">
        <v>57</v>
      </c>
      <c r="D201" s="2" t="n">
        <v>179.5</v>
      </c>
      <c r="E201" s="2" t="n">
        <v>146.5</v>
      </c>
      <c r="F201" s="2" t="n">
        <v>220.5</v>
      </c>
      <c r="G201" s="2" t="n">
        <v>0.26</v>
      </c>
    </row>
    <row r="202" customFormat="false" ht="15" hidden="false" customHeight="false" outlineLevel="0" collapsed="false">
      <c r="A202" s="2" t="n">
        <v>1003</v>
      </c>
      <c r="B202" s="2" t="s">
        <v>250</v>
      </c>
      <c r="C202" s="2" t="n">
        <v>92</v>
      </c>
      <c r="D202" s="2" t="n">
        <v>179.4</v>
      </c>
      <c r="E202" s="2" t="n">
        <v>167.4</v>
      </c>
      <c r="F202" s="2" t="n">
        <v>195.4</v>
      </c>
      <c r="G202" s="2" t="n">
        <v>0.126</v>
      </c>
    </row>
    <row r="203" customFormat="false" ht="15" hidden="false" customHeight="false" outlineLevel="0" collapsed="false">
      <c r="A203" s="2" t="n">
        <v>958</v>
      </c>
      <c r="B203" s="2" t="s">
        <v>234</v>
      </c>
      <c r="C203" s="2" t="n">
        <v>90</v>
      </c>
      <c r="D203" s="2" t="n">
        <v>177.1</v>
      </c>
      <c r="E203" s="2" t="n">
        <v>154.4</v>
      </c>
      <c r="F203" s="2" t="n">
        <v>204.6</v>
      </c>
      <c r="G203" s="2" t="n">
        <v>0.176</v>
      </c>
    </row>
    <row r="204" customFormat="false" ht="15" hidden="false" customHeight="false" outlineLevel="0" collapsed="false">
      <c r="A204" s="2" t="n">
        <v>282</v>
      </c>
      <c r="B204" s="2" t="s">
        <v>284</v>
      </c>
      <c r="C204" s="2" t="n">
        <v>83</v>
      </c>
      <c r="D204" s="2" t="n">
        <v>176.9</v>
      </c>
      <c r="E204" s="2" t="n">
        <v>146.2</v>
      </c>
      <c r="F204" s="2" t="n">
        <v>206.5</v>
      </c>
      <c r="G204" s="2" t="n">
        <v>0.324</v>
      </c>
    </row>
    <row r="205" customFormat="false" ht="15" hidden="false" customHeight="false" outlineLevel="0" collapsed="false">
      <c r="A205" s="2" t="n">
        <v>251</v>
      </c>
      <c r="B205" s="2" t="s">
        <v>338</v>
      </c>
      <c r="C205" s="2" t="n">
        <v>88</v>
      </c>
      <c r="D205" s="2" t="n">
        <v>174.6</v>
      </c>
      <c r="E205" s="2" t="n">
        <v>137.5</v>
      </c>
      <c r="F205" s="2" t="n">
        <v>219.3</v>
      </c>
      <c r="G205" s="2" t="n">
        <v>0.283</v>
      </c>
    </row>
    <row r="206" customFormat="false" ht="15" hidden="false" customHeight="false" outlineLevel="0" collapsed="false">
      <c r="A206" s="2" t="n">
        <v>249</v>
      </c>
      <c r="B206" s="2" t="s">
        <v>347</v>
      </c>
      <c r="C206" s="2" t="n">
        <v>70</v>
      </c>
      <c r="D206" s="2" t="n">
        <v>173.9</v>
      </c>
      <c r="E206" s="2" t="n">
        <v>126.8</v>
      </c>
      <c r="F206" s="2" t="n">
        <v>195.8</v>
      </c>
      <c r="G206" s="2" t="n">
        <v>0.348</v>
      </c>
    </row>
    <row r="207" customFormat="false" ht="15" hidden="false" customHeight="false" outlineLevel="0" collapsed="false">
      <c r="A207" s="2" t="n">
        <v>1001</v>
      </c>
      <c r="B207" s="2" t="s">
        <v>258</v>
      </c>
      <c r="C207" s="2" t="n">
        <v>92</v>
      </c>
      <c r="D207" s="2" t="n">
        <v>173.8</v>
      </c>
      <c r="E207" s="2" t="n">
        <v>140.8</v>
      </c>
      <c r="F207" s="2" t="n">
        <v>215.2</v>
      </c>
      <c r="G207" s="2" t="n">
        <v>0.28</v>
      </c>
    </row>
    <row r="208" customFormat="false" ht="15" hidden="false" customHeight="false" outlineLevel="0" collapsed="false">
      <c r="A208" s="2" t="n">
        <v>989</v>
      </c>
      <c r="B208" s="2" t="s">
        <v>417</v>
      </c>
      <c r="C208" s="2" t="n">
        <v>59</v>
      </c>
      <c r="D208" s="2" t="n">
        <v>173.6</v>
      </c>
      <c r="E208" s="2" t="n">
        <v>143.9</v>
      </c>
      <c r="F208" s="2" t="n">
        <v>199.3</v>
      </c>
      <c r="G208" s="2" t="n">
        <v>0.368</v>
      </c>
    </row>
    <row r="209" customFormat="false" ht="15" hidden="false" customHeight="false" outlineLevel="0" collapsed="false">
      <c r="A209" s="2" t="n">
        <v>973</v>
      </c>
      <c r="B209" s="2" t="s">
        <v>568</v>
      </c>
      <c r="C209" s="2" t="n">
        <v>84</v>
      </c>
      <c r="D209" s="2" t="n">
        <v>171.1</v>
      </c>
      <c r="E209" s="2" t="n">
        <v>151.4</v>
      </c>
      <c r="F209" s="2" t="n">
        <v>192.2</v>
      </c>
      <c r="G209" s="2" t="n">
        <v>0.179</v>
      </c>
    </row>
    <row r="210" customFormat="false" ht="15" hidden="false" customHeight="false" outlineLevel="0" collapsed="false">
      <c r="A210" s="2" t="n">
        <v>1002</v>
      </c>
      <c r="B210" s="2" t="s">
        <v>259</v>
      </c>
      <c r="C210" s="2" t="n">
        <v>93</v>
      </c>
      <c r="D210" s="2" t="n">
        <v>170.7</v>
      </c>
      <c r="E210" s="2" t="n">
        <v>146.4</v>
      </c>
      <c r="F210" s="2" t="n">
        <v>191.9</v>
      </c>
      <c r="G210" s="2" t="n">
        <v>0.192</v>
      </c>
    </row>
    <row r="211" customFormat="false" ht="15" hidden="false" customHeight="false" outlineLevel="0" collapsed="false">
      <c r="A211" s="2" t="n">
        <v>947</v>
      </c>
      <c r="B211" s="2" t="s">
        <v>154</v>
      </c>
      <c r="C211" s="2" t="n">
        <v>79</v>
      </c>
      <c r="D211" s="2" t="n">
        <v>170</v>
      </c>
      <c r="E211" s="2" t="n">
        <v>123.3</v>
      </c>
      <c r="F211" s="2" t="n">
        <v>196.7</v>
      </c>
      <c r="G211" s="2" t="n">
        <v>0.323</v>
      </c>
    </row>
    <row r="212" customFormat="false" ht="15" hidden="false" customHeight="false" outlineLevel="0" collapsed="false">
      <c r="A212" s="2" t="n">
        <v>969</v>
      </c>
      <c r="B212" s="2" t="s">
        <v>339</v>
      </c>
      <c r="C212" s="2" t="n">
        <v>86</v>
      </c>
      <c r="D212" s="2" t="n">
        <v>169.7</v>
      </c>
      <c r="E212" s="2" t="n">
        <v>135.9</v>
      </c>
      <c r="F212" s="2" t="n">
        <v>193.6</v>
      </c>
      <c r="G212" s="2" t="n">
        <v>0.255</v>
      </c>
    </row>
    <row r="213" customFormat="false" ht="15" hidden="false" customHeight="false" outlineLevel="0" collapsed="false">
      <c r="A213" s="2" t="n">
        <v>254</v>
      </c>
      <c r="B213" s="2" t="s">
        <v>419</v>
      </c>
      <c r="C213" s="2" t="n">
        <v>25</v>
      </c>
      <c r="D213" s="2" t="n">
        <v>168.4</v>
      </c>
      <c r="E213" s="2" t="n">
        <v>154.3</v>
      </c>
      <c r="F213" s="2" t="n">
        <v>182.3</v>
      </c>
      <c r="G213" s="2" t="n">
        <v>0.367</v>
      </c>
    </row>
    <row r="214" customFormat="false" ht="15" hidden="false" customHeight="false" outlineLevel="0" collapsed="false">
      <c r="A214" s="2" t="n">
        <v>257</v>
      </c>
      <c r="B214" s="2" t="s">
        <v>423</v>
      </c>
      <c r="C214" s="2" t="n">
        <v>86</v>
      </c>
      <c r="D214" s="2" t="n">
        <v>167.8</v>
      </c>
      <c r="E214" s="2" t="n">
        <v>140</v>
      </c>
      <c r="F214" s="2" t="n">
        <v>185.7</v>
      </c>
      <c r="G214" s="2" t="n">
        <v>0.204</v>
      </c>
    </row>
    <row r="215" customFormat="false" ht="15" hidden="false" customHeight="false" outlineLevel="0" collapsed="false">
      <c r="A215" s="2" t="n">
        <v>283</v>
      </c>
      <c r="B215" s="2" t="s">
        <v>285</v>
      </c>
      <c r="C215" s="2" t="n">
        <v>89</v>
      </c>
      <c r="D215" s="2" t="n">
        <v>166.3</v>
      </c>
      <c r="E215" s="2" t="n">
        <v>137.5</v>
      </c>
      <c r="F215" s="2" t="n">
        <v>194.3</v>
      </c>
      <c r="G215" s="2" t="n">
        <v>0.249</v>
      </c>
    </row>
    <row r="216" customFormat="false" ht="15" hidden="false" customHeight="false" outlineLevel="0" collapsed="false">
      <c r="A216" s="2" t="n">
        <v>963</v>
      </c>
      <c r="B216" s="2" t="s">
        <v>322</v>
      </c>
      <c r="C216" s="2" t="n">
        <v>89</v>
      </c>
      <c r="D216" s="2" t="n">
        <v>165.2</v>
      </c>
      <c r="E216" s="2" t="n">
        <v>130.2</v>
      </c>
      <c r="F216" s="2" t="n">
        <v>194</v>
      </c>
      <c r="G216" s="2" t="n">
        <v>0.223</v>
      </c>
    </row>
    <row r="217" customFormat="false" ht="15" hidden="false" customHeight="false" outlineLevel="0" collapsed="false">
      <c r="A217" s="2" t="n">
        <v>919</v>
      </c>
      <c r="B217" s="2" t="s">
        <v>191</v>
      </c>
      <c r="C217" s="2" t="n">
        <v>12</v>
      </c>
      <c r="D217" s="2" t="n">
        <v>165.1</v>
      </c>
      <c r="E217" s="2" t="n">
        <v>120.7</v>
      </c>
      <c r="F217" s="2" t="n">
        <v>216.9</v>
      </c>
      <c r="G217" s="2" t="n">
        <v>0.383</v>
      </c>
    </row>
    <row r="218" customFormat="false" ht="15" hidden="false" customHeight="false" outlineLevel="0" collapsed="false">
      <c r="A218" s="2" t="n">
        <v>287</v>
      </c>
      <c r="B218" s="2" t="s">
        <v>569</v>
      </c>
      <c r="C218" s="2" t="n">
        <v>86</v>
      </c>
      <c r="D218" s="2" t="n">
        <v>165</v>
      </c>
      <c r="E218" s="2" t="n">
        <v>135.9</v>
      </c>
      <c r="F218" s="2" t="n">
        <v>180</v>
      </c>
      <c r="G218" s="2" t="n">
        <v>0.2</v>
      </c>
    </row>
    <row r="219" customFormat="false" ht="15" hidden="false" customHeight="false" outlineLevel="0" collapsed="false">
      <c r="A219" s="2" t="n">
        <v>657</v>
      </c>
      <c r="B219" s="2" t="s">
        <v>570</v>
      </c>
      <c r="C219" s="2" t="n">
        <v>82</v>
      </c>
      <c r="D219" s="2" t="n">
        <v>164.8</v>
      </c>
      <c r="E219" s="2" t="n">
        <v>139.6</v>
      </c>
      <c r="F219" s="2" t="n">
        <v>187.5</v>
      </c>
      <c r="G219" s="2" t="n">
        <v>0.224</v>
      </c>
    </row>
    <row r="220" customFormat="false" ht="16.4" hidden="false" customHeight="false" outlineLevel="0" collapsed="false">
      <c r="A220" s="2" t="n">
        <v>970</v>
      </c>
      <c r="B220" s="2" t="s">
        <v>341</v>
      </c>
      <c r="C220" s="2" t="n">
        <v>85</v>
      </c>
      <c r="D220" s="2" t="n">
        <v>164.5</v>
      </c>
      <c r="E220" s="2" t="n">
        <v>138.9</v>
      </c>
      <c r="F220" s="2" t="n">
        <v>179</v>
      </c>
      <c r="G220" s="2" t="n">
        <v>0.175</v>
      </c>
    </row>
    <row r="221" customFormat="false" ht="15" hidden="false" customHeight="false" outlineLevel="0" collapsed="false">
      <c r="A221" s="2" t="n">
        <v>288</v>
      </c>
      <c r="B221" s="2" t="s">
        <v>323</v>
      </c>
      <c r="C221" s="2" t="n">
        <v>82</v>
      </c>
      <c r="D221" s="2" t="n">
        <v>164.2</v>
      </c>
      <c r="E221" s="2" t="n">
        <v>128.8</v>
      </c>
      <c r="F221" s="2" t="n">
        <v>194.9</v>
      </c>
      <c r="G221" s="2" t="n">
        <v>0.229</v>
      </c>
    </row>
    <row r="222" customFormat="false" ht="15" hidden="false" customHeight="false" outlineLevel="0" collapsed="false">
      <c r="A222" s="2" t="n">
        <v>974</v>
      </c>
      <c r="B222" s="2" t="s">
        <v>571</v>
      </c>
      <c r="C222" s="2" t="n">
        <v>35</v>
      </c>
      <c r="D222" s="2" t="n">
        <v>162.9</v>
      </c>
      <c r="E222" s="2" t="n">
        <v>140.6</v>
      </c>
      <c r="F222" s="2" t="n">
        <v>184.8</v>
      </c>
      <c r="G222" s="2" t="n">
        <v>0.184</v>
      </c>
    </row>
    <row r="223" customFormat="false" ht="15" hidden="false" customHeight="false" outlineLevel="0" collapsed="false">
      <c r="A223" s="2" t="n">
        <v>995</v>
      </c>
      <c r="B223" s="2" t="s">
        <v>299</v>
      </c>
      <c r="C223" s="2" t="n">
        <v>47</v>
      </c>
      <c r="D223" s="2" t="n">
        <v>162.9</v>
      </c>
      <c r="E223" s="2" t="n">
        <v>138.1</v>
      </c>
      <c r="F223" s="2" t="n">
        <v>192.3</v>
      </c>
      <c r="G223" s="2" t="n">
        <v>0.243</v>
      </c>
    </row>
    <row r="224" customFormat="false" ht="15" hidden="false" customHeight="false" outlineLevel="0" collapsed="false">
      <c r="A224" s="2" t="n">
        <v>236</v>
      </c>
      <c r="B224" s="2" t="s">
        <v>301</v>
      </c>
      <c r="C224" s="2" t="n">
        <v>71</v>
      </c>
      <c r="D224" s="2" t="n">
        <v>161.9</v>
      </c>
      <c r="E224" s="2" t="n">
        <v>147.9</v>
      </c>
      <c r="F224" s="2" t="n">
        <v>176.1</v>
      </c>
      <c r="G224" s="2" t="n">
        <v>0.176</v>
      </c>
    </row>
    <row r="225" customFormat="false" ht="15" hidden="false" customHeight="false" outlineLevel="0" collapsed="false">
      <c r="A225" s="2" t="n">
        <v>284</v>
      </c>
      <c r="B225" s="2" t="s">
        <v>260</v>
      </c>
      <c r="C225" s="2" t="n">
        <v>88</v>
      </c>
      <c r="D225" s="2" t="n">
        <v>160.9</v>
      </c>
      <c r="E225" s="2" t="n">
        <v>138.3</v>
      </c>
      <c r="F225" s="2" t="n">
        <v>190.4</v>
      </c>
      <c r="G225" s="2" t="n">
        <v>0.228</v>
      </c>
    </row>
    <row r="226" customFormat="false" ht="15" hidden="false" customHeight="false" outlineLevel="0" collapsed="false">
      <c r="A226" s="2" t="n">
        <v>276</v>
      </c>
      <c r="B226" s="2" t="s">
        <v>287</v>
      </c>
      <c r="C226" s="2" t="n">
        <v>82</v>
      </c>
      <c r="D226" s="2" t="n">
        <v>160.5</v>
      </c>
      <c r="E226" s="2" t="n">
        <v>131</v>
      </c>
      <c r="F226" s="2" t="n">
        <v>192.9</v>
      </c>
      <c r="G226" s="2" t="n">
        <v>0.255</v>
      </c>
    </row>
    <row r="227" customFormat="false" ht="15" hidden="false" customHeight="false" outlineLevel="0" collapsed="false">
      <c r="A227" s="2" t="n">
        <v>946</v>
      </c>
      <c r="B227" s="2" t="s">
        <v>318</v>
      </c>
      <c r="C227" s="2" t="n">
        <v>9</v>
      </c>
      <c r="D227" s="2" t="n">
        <v>160</v>
      </c>
      <c r="E227" s="2" t="n">
        <v>142.2</v>
      </c>
      <c r="F227" s="2" t="n">
        <v>260.4</v>
      </c>
      <c r="G227" s="2" t="n">
        <v>0.308</v>
      </c>
    </row>
    <row r="228" customFormat="false" ht="15" hidden="false" customHeight="false" outlineLevel="0" collapsed="false">
      <c r="A228" s="2" t="n">
        <v>178</v>
      </c>
      <c r="B228" s="2" t="s">
        <v>464</v>
      </c>
      <c r="C228" s="2" t="n">
        <v>86</v>
      </c>
      <c r="D228" s="2" t="n">
        <v>158.7</v>
      </c>
      <c r="E228" s="2" t="n">
        <v>107.9</v>
      </c>
      <c r="F228" s="2" t="n">
        <v>216.8</v>
      </c>
      <c r="G228" s="2" t="n">
        <v>0.34</v>
      </c>
    </row>
    <row r="229" customFormat="false" ht="15" hidden="false" customHeight="false" outlineLevel="0" collapsed="false">
      <c r="A229" s="2" t="n">
        <v>250</v>
      </c>
      <c r="B229" s="2" t="s">
        <v>372</v>
      </c>
      <c r="C229" s="2" t="n">
        <v>67</v>
      </c>
      <c r="D229" s="2" t="n">
        <v>158.6</v>
      </c>
      <c r="E229" s="2" t="n">
        <v>137.7</v>
      </c>
      <c r="F229" s="2" t="n">
        <v>177.9</v>
      </c>
      <c r="G229" s="2" t="n">
        <v>0.318</v>
      </c>
    </row>
    <row r="230" customFormat="false" ht="15" hidden="false" customHeight="false" outlineLevel="0" collapsed="false">
      <c r="A230" s="2" t="n">
        <v>914</v>
      </c>
      <c r="B230" s="2" t="s">
        <v>572</v>
      </c>
      <c r="C230" s="2" t="n">
        <v>80</v>
      </c>
      <c r="D230" s="2" t="n">
        <v>156.6</v>
      </c>
      <c r="E230" s="2" t="n">
        <v>137.9</v>
      </c>
      <c r="F230" s="2" t="n">
        <v>171.8</v>
      </c>
      <c r="G230" s="2" t="n">
        <v>0.169</v>
      </c>
    </row>
    <row r="231" customFormat="false" ht="15" hidden="false" customHeight="false" outlineLevel="0" collapsed="false">
      <c r="A231" s="2" t="n">
        <v>915</v>
      </c>
      <c r="B231" s="2" t="s">
        <v>255</v>
      </c>
      <c r="C231" s="2" t="n">
        <v>89</v>
      </c>
      <c r="D231" s="2" t="n">
        <v>154.6</v>
      </c>
      <c r="E231" s="2" t="n">
        <v>135.4</v>
      </c>
      <c r="F231" s="2" t="n">
        <v>166.3</v>
      </c>
      <c r="G231" s="2" t="n">
        <v>0.137</v>
      </c>
    </row>
    <row r="232" customFormat="false" ht="15" hidden="false" customHeight="false" outlineLevel="0" collapsed="false">
      <c r="A232" s="2" t="n">
        <v>971</v>
      </c>
      <c r="B232" s="2" t="s">
        <v>573</v>
      </c>
      <c r="C232" s="2" t="n">
        <v>82</v>
      </c>
      <c r="D232" s="2" t="n">
        <v>152.9</v>
      </c>
      <c r="E232" s="2" t="n">
        <v>134.5</v>
      </c>
      <c r="F232" s="2" t="n">
        <v>175.8</v>
      </c>
      <c r="G232" s="2" t="n">
        <v>0.204</v>
      </c>
    </row>
    <row r="233" customFormat="false" ht="15" hidden="false" customHeight="false" outlineLevel="0" collapsed="false">
      <c r="A233" s="2" t="n">
        <v>290</v>
      </c>
      <c r="B233" s="2" t="s">
        <v>574</v>
      </c>
      <c r="C233" s="2" t="n">
        <v>89</v>
      </c>
      <c r="D233" s="2" t="n">
        <v>151.8</v>
      </c>
      <c r="E233" s="2" t="n">
        <v>124.5</v>
      </c>
      <c r="F233" s="2" t="n">
        <v>181.1</v>
      </c>
      <c r="G233" s="2" t="n">
        <v>0.31</v>
      </c>
    </row>
    <row r="234" customFormat="false" ht="15" hidden="false" customHeight="false" outlineLevel="0" collapsed="false">
      <c r="A234" s="2" t="n">
        <v>99</v>
      </c>
      <c r="B234" s="2" t="s">
        <v>575</v>
      </c>
      <c r="C234" s="2" t="n">
        <v>1</v>
      </c>
      <c r="D234" s="2" t="n">
        <v>150.5</v>
      </c>
      <c r="E234" s="2"/>
      <c r="F234" s="2"/>
      <c r="G234" s="2"/>
    </row>
    <row r="235" customFormat="false" ht="15" hidden="false" customHeight="false" outlineLevel="0" collapsed="false">
      <c r="A235" s="2" t="n">
        <v>1006</v>
      </c>
      <c r="B235" s="2" t="s">
        <v>264</v>
      </c>
      <c r="C235" s="2" t="n">
        <v>92</v>
      </c>
      <c r="D235" s="2" t="n">
        <v>150</v>
      </c>
      <c r="E235" s="2" t="n">
        <v>133.1</v>
      </c>
      <c r="F235" s="2" t="n">
        <v>173.9</v>
      </c>
      <c r="G235" s="2" t="n">
        <v>0.191</v>
      </c>
    </row>
    <row r="236" customFormat="false" ht="15" hidden="false" customHeight="false" outlineLevel="0" collapsed="false">
      <c r="A236" s="2" t="n">
        <v>241</v>
      </c>
      <c r="B236" s="2" t="s">
        <v>350</v>
      </c>
      <c r="C236" s="2" t="n">
        <v>72</v>
      </c>
      <c r="D236" s="2" t="n">
        <v>149.8</v>
      </c>
      <c r="E236" s="2" t="n">
        <v>120</v>
      </c>
      <c r="F236" s="2" t="n">
        <v>169.8</v>
      </c>
      <c r="G236" s="2" t="n">
        <v>0.227</v>
      </c>
    </row>
    <row r="237" customFormat="false" ht="15" hidden="false" customHeight="false" outlineLevel="0" collapsed="false">
      <c r="A237" s="2" t="n">
        <v>968</v>
      </c>
      <c r="B237" s="2" t="s">
        <v>344</v>
      </c>
      <c r="C237" s="2" t="n">
        <v>85</v>
      </c>
      <c r="D237" s="2" t="n">
        <v>149.1</v>
      </c>
      <c r="E237" s="2" t="n">
        <v>136.7</v>
      </c>
      <c r="F237" s="2" t="n">
        <v>169.9</v>
      </c>
      <c r="G237" s="2" t="n">
        <v>0.173</v>
      </c>
    </row>
    <row r="238" customFormat="false" ht="15" hidden="false" customHeight="false" outlineLevel="0" collapsed="false">
      <c r="A238" s="2" t="n">
        <v>256</v>
      </c>
      <c r="B238" s="2" t="s">
        <v>426</v>
      </c>
      <c r="C238" s="2" t="n">
        <v>75</v>
      </c>
      <c r="D238" s="2" t="n">
        <v>148.9</v>
      </c>
      <c r="E238" s="2" t="n">
        <v>121.2</v>
      </c>
      <c r="F238" s="2" t="n">
        <v>176.9</v>
      </c>
      <c r="G238" s="2" t="n">
        <v>0.269</v>
      </c>
    </row>
    <row r="239" customFormat="false" ht="15" hidden="false" customHeight="false" outlineLevel="0" collapsed="false">
      <c r="A239" s="2" t="n">
        <v>975</v>
      </c>
      <c r="B239" s="2" t="s">
        <v>343</v>
      </c>
      <c r="C239" s="2" t="n">
        <v>69</v>
      </c>
      <c r="D239" s="2" t="n">
        <v>148.6</v>
      </c>
      <c r="E239" s="2" t="n">
        <v>126.7</v>
      </c>
      <c r="F239" s="2" t="n">
        <v>183.3</v>
      </c>
      <c r="G239" s="2" t="n">
        <v>0.352</v>
      </c>
    </row>
    <row r="240" customFormat="false" ht="15" hidden="false" customHeight="false" outlineLevel="0" collapsed="false">
      <c r="A240" s="2" t="n">
        <v>999</v>
      </c>
      <c r="B240" s="2" t="s">
        <v>576</v>
      </c>
      <c r="C240" s="2" t="n">
        <v>90</v>
      </c>
      <c r="D240" s="2" t="n">
        <v>147.8</v>
      </c>
      <c r="E240" s="2" t="n">
        <v>126.8</v>
      </c>
      <c r="F240" s="2" t="n">
        <v>169.5</v>
      </c>
      <c r="G240" s="2" t="n">
        <v>0.211</v>
      </c>
    </row>
    <row r="241" customFormat="false" ht="15" hidden="false" customHeight="false" outlineLevel="0" collapsed="false">
      <c r="A241" s="2" t="n">
        <v>916</v>
      </c>
      <c r="B241" s="2" t="s">
        <v>397</v>
      </c>
      <c r="C241" s="2" t="n">
        <v>86</v>
      </c>
      <c r="D241" s="2" t="n">
        <v>147.1</v>
      </c>
      <c r="E241" s="2" t="n">
        <v>124.6</v>
      </c>
      <c r="F241" s="2" t="n">
        <v>169.6</v>
      </c>
      <c r="G241" s="2" t="n">
        <v>0.22</v>
      </c>
    </row>
    <row r="242" customFormat="false" ht="15" hidden="false" customHeight="false" outlineLevel="0" collapsed="false">
      <c r="A242" s="2" t="n">
        <v>186</v>
      </c>
      <c r="B242" s="2" t="s">
        <v>257</v>
      </c>
      <c r="C242" s="2" t="n">
        <v>78</v>
      </c>
      <c r="D242" s="2" t="n">
        <v>146.4</v>
      </c>
      <c r="E242" s="2" t="n">
        <v>134.7</v>
      </c>
      <c r="F242" s="2" t="n">
        <v>160.5</v>
      </c>
      <c r="G242" s="2" t="n">
        <v>0.161</v>
      </c>
    </row>
    <row r="243" customFormat="false" ht="15" hidden="false" customHeight="false" outlineLevel="0" collapsed="false">
      <c r="A243" s="2" t="n">
        <v>998</v>
      </c>
      <c r="B243" s="2" t="s">
        <v>288</v>
      </c>
      <c r="C243" s="2" t="n">
        <v>69</v>
      </c>
      <c r="D243" s="2" t="n">
        <v>146.2</v>
      </c>
      <c r="E243" s="2" t="n">
        <v>125</v>
      </c>
      <c r="F243" s="2" t="n">
        <v>170.7</v>
      </c>
      <c r="G243" s="2" t="n">
        <v>0.197</v>
      </c>
    </row>
    <row r="244" customFormat="false" ht="15" hidden="false" customHeight="false" outlineLevel="0" collapsed="false">
      <c r="A244" s="2" t="n">
        <v>196</v>
      </c>
      <c r="B244" s="2" t="s">
        <v>268</v>
      </c>
      <c r="C244" s="2" t="n">
        <v>94</v>
      </c>
      <c r="D244" s="2" t="n">
        <v>145.1</v>
      </c>
      <c r="E244" s="2" t="n">
        <v>129</v>
      </c>
      <c r="F244" s="2" t="n">
        <v>160.5</v>
      </c>
      <c r="G244" s="2" t="n">
        <v>0.169</v>
      </c>
    </row>
    <row r="245" customFormat="false" ht="15" hidden="false" customHeight="false" outlineLevel="0" collapsed="false">
      <c r="A245" s="2" t="n">
        <v>374</v>
      </c>
      <c r="B245" s="2" t="s">
        <v>465</v>
      </c>
      <c r="C245" s="2" t="n">
        <v>86</v>
      </c>
      <c r="D245" s="2" t="n">
        <v>144.3</v>
      </c>
      <c r="E245" s="2" t="n">
        <v>94.5</v>
      </c>
      <c r="F245" s="2" t="n">
        <v>164.3</v>
      </c>
      <c r="G245" s="2" t="n">
        <v>0.325</v>
      </c>
    </row>
    <row r="246" customFormat="false" ht="15" hidden="false" customHeight="false" outlineLevel="0" collapsed="false">
      <c r="A246" s="2" t="n">
        <v>1022</v>
      </c>
      <c r="B246" s="2" t="s">
        <v>382</v>
      </c>
      <c r="C246" s="2" t="n">
        <v>91</v>
      </c>
      <c r="D246" s="2" t="n">
        <v>143.3</v>
      </c>
      <c r="E246" s="2" t="n">
        <v>127.3</v>
      </c>
      <c r="F246" s="2" t="n">
        <v>164.2</v>
      </c>
      <c r="G246" s="2" t="n">
        <v>0.176</v>
      </c>
    </row>
    <row r="247" customFormat="false" ht="15" hidden="false" customHeight="false" outlineLevel="0" collapsed="false">
      <c r="A247" s="2" t="n">
        <v>195</v>
      </c>
      <c r="B247" s="2" t="s">
        <v>256</v>
      </c>
      <c r="C247" s="2" t="n">
        <v>82</v>
      </c>
      <c r="D247" s="2" t="n">
        <v>143.1</v>
      </c>
      <c r="E247" s="2" t="n">
        <v>105</v>
      </c>
      <c r="F247" s="2" t="n">
        <v>197.2</v>
      </c>
      <c r="G247" s="2" t="n">
        <v>0.354</v>
      </c>
    </row>
    <row r="248" customFormat="false" ht="15" hidden="false" customHeight="false" outlineLevel="0" collapsed="false">
      <c r="A248" s="2" t="n">
        <v>1000</v>
      </c>
      <c r="B248" s="2" t="s">
        <v>289</v>
      </c>
      <c r="C248" s="2" t="n">
        <v>86</v>
      </c>
      <c r="D248" s="2" t="n">
        <v>142.4</v>
      </c>
      <c r="E248" s="2" t="n">
        <v>118.2</v>
      </c>
      <c r="F248" s="2" t="n">
        <v>188.4</v>
      </c>
      <c r="G248" s="2" t="n">
        <v>0.243</v>
      </c>
    </row>
    <row r="249" customFormat="false" ht="15" hidden="false" customHeight="false" outlineLevel="0" collapsed="false">
      <c r="A249" s="2" t="n">
        <v>1005</v>
      </c>
      <c r="B249" s="2" t="s">
        <v>266</v>
      </c>
      <c r="C249" s="2" t="n">
        <v>96</v>
      </c>
      <c r="D249" s="2" t="n">
        <v>141.5</v>
      </c>
      <c r="E249" s="2" t="n">
        <v>127.9</v>
      </c>
      <c r="F249" s="2" t="n">
        <v>166.2</v>
      </c>
      <c r="G249" s="2" t="n">
        <v>0.197</v>
      </c>
    </row>
    <row r="250" customFormat="false" ht="15" hidden="false" customHeight="false" outlineLevel="0" collapsed="false">
      <c r="A250" s="2" t="n">
        <v>917</v>
      </c>
      <c r="B250" s="2" t="s">
        <v>398</v>
      </c>
      <c r="C250" s="2" t="n">
        <v>84</v>
      </c>
      <c r="D250" s="2" t="n">
        <v>139.2</v>
      </c>
      <c r="E250" s="2" t="n">
        <v>119.2</v>
      </c>
      <c r="F250" s="2" t="n">
        <v>171.6</v>
      </c>
      <c r="G250" s="2" t="n">
        <v>0.273</v>
      </c>
    </row>
    <row r="251" customFormat="false" ht="15" hidden="false" customHeight="false" outlineLevel="0" collapsed="false">
      <c r="A251" s="2" t="n">
        <v>197</v>
      </c>
      <c r="B251" s="2" t="s">
        <v>269</v>
      </c>
      <c r="C251" s="2" t="n">
        <v>85</v>
      </c>
      <c r="D251" s="2" t="n">
        <v>138.5</v>
      </c>
      <c r="E251" s="2" t="n">
        <v>115.9</v>
      </c>
      <c r="F251" s="2" t="n">
        <v>158.1</v>
      </c>
      <c r="G251" s="2" t="n">
        <v>0.229</v>
      </c>
    </row>
    <row r="252" customFormat="false" ht="15" hidden="false" customHeight="false" outlineLevel="0" collapsed="false">
      <c r="A252" s="2" t="n">
        <v>188</v>
      </c>
      <c r="B252" s="2" t="s">
        <v>400</v>
      </c>
      <c r="C252" s="2" t="n">
        <v>91</v>
      </c>
      <c r="D252" s="2" t="n">
        <v>135.2</v>
      </c>
      <c r="E252" s="2" t="n">
        <v>122.7</v>
      </c>
      <c r="F252" s="2" t="n">
        <v>143.8</v>
      </c>
      <c r="G252" s="2" t="n">
        <v>0.126</v>
      </c>
    </row>
    <row r="253" customFormat="false" ht="15" hidden="false" customHeight="false" outlineLevel="0" collapsed="false">
      <c r="A253" s="2" t="n">
        <v>1007</v>
      </c>
      <c r="B253" s="2" t="s">
        <v>384</v>
      </c>
      <c r="C253" s="2" t="n">
        <v>88</v>
      </c>
      <c r="D253" s="2" t="n">
        <v>133.3</v>
      </c>
      <c r="E253" s="2" t="n">
        <v>116</v>
      </c>
      <c r="F253" s="2" t="n">
        <v>151.1</v>
      </c>
      <c r="G253" s="2" t="n">
        <v>0.169</v>
      </c>
    </row>
    <row r="254" customFormat="false" ht="15" hidden="false" customHeight="false" outlineLevel="0" collapsed="false">
      <c r="A254" s="2" t="n">
        <v>1012</v>
      </c>
      <c r="B254" s="2" t="s">
        <v>383</v>
      </c>
      <c r="C254" s="2" t="n">
        <v>84</v>
      </c>
      <c r="D254" s="2" t="n">
        <v>132.9</v>
      </c>
      <c r="E254" s="2" t="n">
        <v>120</v>
      </c>
      <c r="F254" s="2" t="n">
        <v>147.4</v>
      </c>
      <c r="G254" s="2" t="n">
        <v>0.149</v>
      </c>
    </row>
    <row r="255" customFormat="false" ht="16.4" hidden="false" customHeight="false" outlineLevel="0" collapsed="false">
      <c r="A255" s="2" t="n">
        <v>185</v>
      </c>
      <c r="B255" s="2" t="s">
        <v>402</v>
      </c>
      <c r="C255" s="2" t="n">
        <v>85</v>
      </c>
      <c r="D255" s="2" t="n">
        <v>131</v>
      </c>
      <c r="E255" s="2" t="n">
        <v>119.7</v>
      </c>
      <c r="F255" s="2" t="n">
        <v>145.5</v>
      </c>
      <c r="G255" s="2" t="n">
        <v>0.174</v>
      </c>
    </row>
    <row r="256" customFormat="false" ht="15" hidden="false" customHeight="false" outlineLevel="0" collapsed="false">
      <c r="A256" s="2" t="n">
        <v>253</v>
      </c>
      <c r="B256" s="2" t="s">
        <v>374</v>
      </c>
      <c r="C256" s="2" t="n">
        <v>84</v>
      </c>
      <c r="D256" s="2" t="n">
        <v>130.4</v>
      </c>
      <c r="E256" s="2" t="n">
        <v>118.7</v>
      </c>
      <c r="F256" s="2" t="n">
        <v>140</v>
      </c>
      <c r="G256" s="2" t="n">
        <v>0.208</v>
      </c>
    </row>
    <row r="257" customFormat="false" ht="15" hidden="false" customHeight="false" outlineLevel="0" collapsed="false">
      <c r="A257" s="2" t="n">
        <v>246</v>
      </c>
      <c r="B257" s="2" t="s">
        <v>352</v>
      </c>
      <c r="C257" s="2" t="n">
        <v>72</v>
      </c>
      <c r="D257" s="2" t="n">
        <v>129.8</v>
      </c>
      <c r="E257" s="2" t="n">
        <v>108.1</v>
      </c>
      <c r="F257" s="2" t="n">
        <v>140.2</v>
      </c>
      <c r="G257" s="2" t="n">
        <v>0.318</v>
      </c>
    </row>
    <row r="258" customFormat="false" ht="15" hidden="false" customHeight="false" outlineLevel="0" collapsed="false">
      <c r="A258" s="2" t="n">
        <v>997</v>
      </c>
      <c r="B258" s="2" t="s">
        <v>302</v>
      </c>
      <c r="C258" s="2" t="n">
        <v>75</v>
      </c>
      <c r="D258" s="2" t="n">
        <v>128.6</v>
      </c>
      <c r="E258" s="2" t="n">
        <v>108.8</v>
      </c>
      <c r="F258" s="2" t="n">
        <v>154.8</v>
      </c>
      <c r="G258" s="2" t="n">
        <v>0.317</v>
      </c>
    </row>
    <row r="259" customFormat="false" ht="15" hidden="false" customHeight="false" outlineLevel="0" collapsed="false">
      <c r="A259" s="2" t="n">
        <v>184</v>
      </c>
      <c r="B259" s="2" t="s">
        <v>403</v>
      </c>
      <c r="C259" s="2" t="n">
        <v>75</v>
      </c>
      <c r="D259" s="2" t="n">
        <v>127.5</v>
      </c>
      <c r="E259" s="2" t="n">
        <v>110</v>
      </c>
      <c r="F259" s="2" t="n">
        <v>145</v>
      </c>
      <c r="G259" s="2" t="n">
        <v>0.19</v>
      </c>
    </row>
    <row r="260" customFormat="false" ht="15" hidden="false" customHeight="false" outlineLevel="0" collapsed="false">
      <c r="A260" s="2" t="n">
        <v>1014</v>
      </c>
      <c r="B260" s="2" t="s">
        <v>385</v>
      </c>
      <c r="C260" s="2" t="n">
        <v>88</v>
      </c>
      <c r="D260" s="2" t="n">
        <v>125.8</v>
      </c>
      <c r="E260" s="2" t="n">
        <v>108.3</v>
      </c>
      <c r="F260" s="2" t="n">
        <v>146.8</v>
      </c>
      <c r="G260" s="2" t="n">
        <v>0.208</v>
      </c>
    </row>
    <row r="261" customFormat="false" ht="15" hidden="false" customHeight="false" outlineLevel="0" collapsed="false">
      <c r="A261" s="2" t="n">
        <v>199</v>
      </c>
      <c r="B261" s="2" t="s">
        <v>577</v>
      </c>
      <c r="C261" s="2" t="n">
        <v>89</v>
      </c>
      <c r="D261" s="2" t="n">
        <v>125.7</v>
      </c>
      <c r="E261" s="2" t="n">
        <v>114</v>
      </c>
      <c r="F261" s="2" t="n">
        <v>134.8</v>
      </c>
      <c r="G261" s="2" t="n">
        <v>0.151</v>
      </c>
    </row>
    <row r="262" customFormat="false" ht="15" hidden="false" customHeight="false" outlineLevel="0" collapsed="false">
      <c r="A262" s="2" t="n">
        <v>272</v>
      </c>
      <c r="B262" s="2" t="s">
        <v>345</v>
      </c>
      <c r="C262" s="2" t="n">
        <v>88</v>
      </c>
      <c r="D262" s="2" t="n">
        <v>124.7</v>
      </c>
      <c r="E262" s="2" t="n">
        <v>117.3</v>
      </c>
      <c r="F262" s="2" t="n">
        <v>137.7</v>
      </c>
      <c r="G262" s="2" t="n">
        <v>0.156</v>
      </c>
    </row>
    <row r="263" customFormat="false" ht="15" hidden="false" customHeight="false" outlineLevel="0" collapsed="false">
      <c r="A263" s="2" t="n">
        <v>1017</v>
      </c>
      <c r="B263" s="2" t="s">
        <v>578</v>
      </c>
      <c r="C263" s="2" t="n">
        <v>79</v>
      </c>
      <c r="D263" s="2" t="n">
        <v>123.6</v>
      </c>
      <c r="E263" s="2" t="n">
        <v>108.1</v>
      </c>
      <c r="F263" s="2" t="n">
        <v>139.6</v>
      </c>
      <c r="G263" s="2" t="n">
        <v>0.184</v>
      </c>
    </row>
    <row r="264" customFormat="false" ht="15" hidden="false" customHeight="false" outlineLevel="0" collapsed="false">
      <c r="A264" s="2" t="n">
        <v>235</v>
      </c>
      <c r="B264" s="2" t="s">
        <v>376</v>
      </c>
      <c r="C264" s="2" t="n">
        <v>72</v>
      </c>
      <c r="D264" s="2" t="n">
        <v>122.5</v>
      </c>
      <c r="E264" s="2" t="n">
        <v>92.7</v>
      </c>
      <c r="F264" s="2" t="n">
        <v>137.3</v>
      </c>
      <c r="G264" s="2" t="n">
        <v>0.272</v>
      </c>
    </row>
    <row r="265" customFormat="false" ht="15" hidden="false" customHeight="false" outlineLevel="0" collapsed="false">
      <c r="A265" s="2" t="n">
        <v>243</v>
      </c>
      <c r="B265" s="2" t="s">
        <v>356</v>
      </c>
      <c r="C265" s="2" t="n">
        <v>84</v>
      </c>
      <c r="D265" s="2" t="n">
        <v>121.8</v>
      </c>
      <c r="E265" s="2" t="n">
        <v>110</v>
      </c>
      <c r="F265" s="2" t="n">
        <v>150</v>
      </c>
      <c r="G265" s="2" t="n">
        <v>0.218</v>
      </c>
    </row>
    <row r="266" customFormat="false" ht="15" hidden="false" customHeight="false" outlineLevel="0" collapsed="false">
      <c r="A266" s="2" t="n">
        <v>306</v>
      </c>
      <c r="B266" s="2" t="s">
        <v>466</v>
      </c>
      <c r="C266" s="2" t="n">
        <v>59</v>
      </c>
      <c r="D266" s="2" t="n">
        <v>121.4</v>
      </c>
      <c r="E266" s="2" t="n">
        <v>101.3</v>
      </c>
      <c r="F266" s="2" t="n">
        <v>132</v>
      </c>
      <c r="G266" s="2" t="n">
        <v>0.24</v>
      </c>
    </row>
    <row r="267" customFormat="false" ht="15" hidden="false" customHeight="false" outlineLevel="0" collapsed="false">
      <c r="A267" s="2" t="n">
        <v>189</v>
      </c>
      <c r="B267" s="2" t="s">
        <v>407</v>
      </c>
      <c r="C267" s="2" t="n">
        <v>80</v>
      </c>
      <c r="D267" s="2" t="n">
        <v>121</v>
      </c>
      <c r="E267" s="2" t="n">
        <v>107.1</v>
      </c>
      <c r="F267" s="2" t="n">
        <v>138.1</v>
      </c>
      <c r="G267" s="2" t="n">
        <v>0.199</v>
      </c>
    </row>
    <row r="268" customFormat="false" ht="15" hidden="false" customHeight="false" outlineLevel="0" collapsed="false">
      <c r="A268" s="2" t="n">
        <v>187</v>
      </c>
      <c r="B268" s="2" t="s">
        <v>579</v>
      </c>
      <c r="C268" s="2" t="n">
        <v>39</v>
      </c>
      <c r="D268" s="2" t="n">
        <v>120</v>
      </c>
      <c r="E268" s="2" t="n">
        <v>110.6</v>
      </c>
      <c r="F268" s="2" t="n">
        <v>133.9</v>
      </c>
      <c r="G268" s="2" t="n">
        <v>0.116</v>
      </c>
    </row>
    <row r="269" customFormat="false" ht="15" hidden="false" customHeight="false" outlineLevel="0" collapsed="false">
      <c r="A269" s="2" t="n">
        <v>275</v>
      </c>
      <c r="B269" s="2" t="s">
        <v>580</v>
      </c>
      <c r="C269" s="2" t="n">
        <v>76</v>
      </c>
      <c r="D269" s="2" t="n">
        <v>120</v>
      </c>
      <c r="E269" s="2" t="n">
        <v>113.8</v>
      </c>
      <c r="F269" s="2" t="n">
        <v>126.8</v>
      </c>
      <c r="G269" s="2" t="n">
        <v>0.118</v>
      </c>
    </row>
    <row r="270" customFormat="false" ht="15" hidden="false" customHeight="false" outlineLevel="0" collapsed="false">
      <c r="A270" s="2" t="n">
        <v>976</v>
      </c>
      <c r="B270" s="2" t="s">
        <v>581</v>
      </c>
      <c r="C270" s="2" t="n">
        <v>1</v>
      </c>
      <c r="D270" s="2" t="n">
        <v>119.3</v>
      </c>
      <c r="E270" s="2"/>
      <c r="F270" s="2"/>
      <c r="G270" s="2"/>
    </row>
    <row r="271" customFormat="false" ht="15" hidden="false" customHeight="false" outlineLevel="0" collapsed="false">
      <c r="A271" s="2" t="n">
        <v>1032</v>
      </c>
      <c r="B271" s="2" t="s">
        <v>582</v>
      </c>
      <c r="C271" s="2" t="n">
        <v>38</v>
      </c>
      <c r="D271" s="2" t="n">
        <v>118.6</v>
      </c>
      <c r="E271" s="2" t="n">
        <v>102.6</v>
      </c>
      <c r="F271" s="2" t="n">
        <v>126.4</v>
      </c>
      <c r="G271" s="2" t="n">
        <v>0.207</v>
      </c>
    </row>
    <row r="272" customFormat="false" ht="15" hidden="false" customHeight="false" outlineLevel="0" collapsed="false">
      <c r="A272" s="2" t="n">
        <v>1013</v>
      </c>
      <c r="B272" s="2" t="s">
        <v>387</v>
      </c>
      <c r="C272" s="2" t="n">
        <v>84</v>
      </c>
      <c r="D272" s="2" t="n">
        <v>118.4</v>
      </c>
      <c r="E272" s="2" t="n">
        <v>106.3</v>
      </c>
      <c r="F272" s="2" t="n">
        <v>133.1</v>
      </c>
      <c r="G272" s="2" t="n">
        <v>0.211</v>
      </c>
    </row>
    <row r="273" customFormat="false" ht="15" hidden="false" customHeight="false" outlineLevel="0" collapsed="false">
      <c r="A273" s="2" t="n">
        <v>1010</v>
      </c>
      <c r="B273" s="2" t="s">
        <v>388</v>
      </c>
      <c r="C273" s="2" t="n">
        <v>88</v>
      </c>
      <c r="D273" s="2" t="n">
        <v>117.9</v>
      </c>
      <c r="E273" s="2" t="n">
        <v>107.9</v>
      </c>
      <c r="F273" s="2" t="n">
        <v>129.6</v>
      </c>
      <c r="G273" s="2" t="n">
        <v>0.154</v>
      </c>
    </row>
    <row r="274" customFormat="false" ht="15" hidden="false" customHeight="false" outlineLevel="0" collapsed="false">
      <c r="A274" s="2" t="n">
        <v>265</v>
      </c>
      <c r="B274" s="2" t="s">
        <v>153</v>
      </c>
      <c r="C274" s="2" t="n">
        <v>77</v>
      </c>
      <c r="D274" s="2" t="n">
        <v>117.3</v>
      </c>
      <c r="E274" s="2" t="n">
        <v>104.9</v>
      </c>
      <c r="F274" s="2" t="n">
        <v>134.9</v>
      </c>
      <c r="G274" s="2" t="n">
        <v>0.225</v>
      </c>
    </row>
    <row r="275" customFormat="false" ht="15" hidden="false" customHeight="false" outlineLevel="0" collapsed="false">
      <c r="A275" s="2" t="n">
        <v>1008</v>
      </c>
      <c r="B275" s="2" t="s">
        <v>390</v>
      </c>
      <c r="C275" s="2" t="n">
        <v>73</v>
      </c>
      <c r="D275" s="2" t="n">
        <v>116.4</v>
      </c>
      <c r="E275" s="2" t="n">
        <v>104</v>
      </c>
      <c r="F275" s="2" t="n">
        <v>131.2</v>
      </c>
      <c r="G275" s="2" t="n">
        <v>0.152</v>
      </c>
    </row>
    <row r="276" customFormat="false" ht="16.4" hidden="false" customHeight="false" outlineLevel="0" collapsed="false">
      <c r="A276" s="2" t="n">
        <v>279</v>
      </c>
      <c r="B276" s="2" t="s">
        <v>304</v>
      </c>
      <c r="C276" s="2" t="n">
        <v>67</v>
      </c>
      <c r="D276" s="2" t="n">
        <v>116</v>
      </c>
      <c r="E276" s="2" t="n">
        <v>105</v>
      </c>
      <c r="F276" s="2" t="n">
        <v>138</v>
      </c>
      <c r="G276" s="2" t="n">
        <v>0.205</v>
      </c>
    </row>
    <row r="277" customFormat="false" ht="15" hidden="false" customHeight="false" outlineLevel="0" collapsed="false">
      <c r="A277" s="2" t="n">
        <v>198</v>
      </c>
      <c r="B277" s="2" t="s">
        <v>386</v>
      </c>
      <c r="C277" s="2" t="n">
        <v>83</v>
      </c>
      <c r="D277" s="2" t="n">
        <v>115.4</v>
      </c>
      <c r="E277" s="2" t="n">
        <v>110</v>
      </c>
      <c r="F277" s="2" t="n">
        <v>131.7</v>
      </c>
      <c r="G277" s="2" t="n">
        <v>0.137</v>
      </c>
    </row>
    <row r="278" customFormat="false" ht="15" hidden="false" customHeight="false" outlineLevel="0" collapsed="false">
      <c r="A278" s="2" t="n">
        <v>260</v>
      </c>
      <c r="B278" s="2" t="s">
        <v>583</v>
      </c>
      <c r="C278" s="2" t="n">
        <v>7</v>
      </c>
      <c r="D278" s="2" t="n">
        <v>115</v>
      </c>
      <c r="E278" s="2" t="n">
        <v>110.9</v>
      </c>
      <c r="F278" s="2" t="n">
        <v>120</v>
      </c>
      <c r="G278" s="2" t="n">
        <v>0.058</v>
      </c>
    </row>
    <row r="279" customFormat="false" ht="15" hidden="false" customHeight="false" outlineLevel="0" collapsed="false">
      <c r="A279" s="2" t="n">
        <v>1016</v>
      </c>
      <c r="B279" s="2" t="s">
        <v>357</v>
      </c>
      <c r="C279" s="2" t="n">
        <v>77</v>
      </c>
      <c r="D279" s="2" t="n">
        <v>115</v>
      </c>
      <c r="E279" s="2" t="n">
        <v>105</v>
      </c>
      <c r="F279" s="2" t="n">
        <v>124.7</v>
      </c>
      <c r="G279" s="2" t="n">
        <v>0.138</v>
      </c>
    </row>
    <row r="280" customFormat="false" ht="15" hidden="false" customHeight="false" outlineLevel="0" collapsed="false">
      <c r="A280" s="2" t="n">
        <v>1021</v>
      </c>
      <c r="B280" s="2" t="s">
        <v>391</v>
      </c>
      <c r="C280" s="2" t="n">
        <v>89</v>
      </c>
      <c r="D280" s="2" t="n">
        <v>114.7</v>
      </c>
      <c r="E280" s="2" t="n">
        <v>104.6</v>
      </c>
      <c r="F280" s="2" t="n">
        <v>124.8</v>
      </c>
      <c r="G280" s="2" t="n">
        <v>0.151</v>
      </c>
    </row>
    <row r="281" customFormat="false" ht="15" hidden="false" customHeight="false" outlineLevel="0" collapsed="false">
      <c r="A281" s="2" t="n">
        <v>263</v>
      </c>
      <c r="B281" s="2" t="s">
        <v>411</v>
      </c>
      <c r="C281" s="2" t="n">
        <v>79</v>
      </c>
      <c r="D281" s="2" t="n">
        <v>114.6</v>
      </c>
      <c r="E281" s="2" t="n">
        <v>101.1</v>
      </c>
      <c r="F281" s="2" t="n">
        <v>129.9</v>
      </c>
      <c r="G281" s="2" t="n">
        <v>0.208</v>
      </c>
    </row>
    <row r="282" customFormat="false" ht="15" hidden="false" customHeight="false" outlineLevel="0" collapsed="false">
      <c r="A282" s="2" t="n">
        <v>220</v>
      </c>
      <c r="B282" s="2" t="s">
        <v>584</v>
      </c>
      <c r="C282" s="2" t="n">
        <v>21</v>
      </c>
      <c r="D282" s="2" t="n">
        <v>114.2</v>
      </c>
      <c r="E282" s="2" t="n">
        <v>108</v>
      </c>
      <c r="F282" s="2" t="n">
        <v>138.9</v>
      </c>
      <c r="G282" s="2" t="n">
        <v>0.16</v>
      </c>
    </row>
    <row r="283" customFormat="false" ht="15" hidden="false" customHeight="false" outlineLevel="0" collapsed="false">
      <c r="A283" s="2" t="n">
        <v>194</v>
      </c>
      <c r="B283" s="2" t="s">
        <v>409</v>
      </c>
      <c r="C283" s="2" t="n">
        <v>89</v>
      </c>
      <c r="D283" s="2" t="n">
        <v>113.9</v>
      </c>
      <c r="E283" s="2" t="n">
        <v>101.9</v>
      </c>
      <c r="F283" s="2" t="n">
        <v>130.1</v>
      </c>
      <c r="G283" s="2" t="n">
        <v>0.204</v>
      </c>
    </row>
    <row r="284" customFormat="false" ht="15" hidden="false" customHeight="false" outlineLevel="0" collapsed="false">
      <c r="A284" s="2" t="n">
        <v>948</v>
      </c>
      <c r="B284" s="2" t="s">
        <v>585</v>
      </c>
      <c r="C284" s="2" t="n">
        <v>70</v>
      </c>
      <c r="D284" s="2" t="n">
        <v>112.5</v>
      </c>
      <c r="E284" s="2" t="n">
        <v>91</v>
      </c>
      <c r="F284" s="2" t="n">
        <v>166.4</v>
      </c>
      <c r="G284" s="2" t="n">
        <v>0.39</v>
      </c>
    </row>
    <row r="285" customFormat="false" ht="15" hidden="false" customHeight="false" outlineLevel="0" collapsed="false">
      <c r="A285" s="2" t="n">
        <v>193</v>
      </c>
      <c r="B285" s="2" t="s">
        <v>333</v>
      </c>
      <c r="C285" s="2" t="n">
        <v>73</v>
      </c>
      <c r="D285" s="2" t="n">
        <v>110.5</v>
      </c>
      <c r="E285" s="2" t="n">
        <v>100</v>
      </c>
      <c r="F285" s="2" t="n">
        <v>121.2</v>
      </c>
      <c r="G285" s="2" t="n">
        <v>0.175</v>
      </c>
    </row>
    <row r="286" customFormat="false" ht="15" hidden="false" customHeight="false" outlineLevel="0" collapsed="false">
      <c r="A286" s="2" t="n">
        <v>175</v>
      </c>
      <c r="B286" s="2" t="s">
        <v>468</v>
      </c>
      <c r="C286" s="2" t="n">
        <v>41</v>
      </c>
      <c r="D286" s="2" t="n">
        <v>110</v>
      </c>
      <c r="E286" s="2" t="n">
        <v>87.4</v>
      </c>
      <c r="F286" s="2" t="n">
        <v>127.2</v>
      </c>
      <c r="G286" s="2" t="n">
        <v>0.284</v>
      </c>
    </row>
    <row r="287" customFormat="false" ht="15" hidden="false" customHeight="false" outlineLevel="0" collapsed="false">
      <c r="A287" s="2" t="n">
        <v>270</v>
      </c>
      <c r="B287" s="2" t="s">
        <v>361</v>
      </c>
      <c r="C287" s="2" t="n">
        <v>82</v>
      </c>
      <c r="D287" s="2" t="n">
        <v>110</v>
      </c>
      <c r="E287" s="2" t="n">
        <v>100</v>
      </c>
      <c r="F287" s="2" t="n">
        <v>124.5</v>
      </c>
      <c r="G287" s="2" t="n">
        <v>0.151</v>
      </c>
    </row>
    <row r="288" customFormat="false" ht="15" hidden="false" customHeight="false" outlineLevel="0" collapsed="false">
      <c r="A288" s="2" t="n">
        <v>918</v>
      </c>
      <c r="B288" s="2" t="s">
        <v>432</v>
      </c>
      <c r="C288" s="2" t="n">
        <v>77</v>
      </c>
      <c r="D288" s="2" t="n">
        <v>110</v>
      </c>
      <c r="E288" s="2" t="n">
        <v>99.3</v>
      </c>
      <c r="F288" s="2" t="n">
        <v>114.9</v>
      </c>
      <c r="G288" s="2" t="n">
        <v>0.136</v>
      </c>
    </row>
    <row r="289" customFormat="false" ht="15" hidden="false" customHeight="false" outlineLevel="0" collapsed="false">
      <c r="A289" s="2" t="n">
        <v>1015</v>
      </c>
      <c r="B289" s="2" t="s">
        <v>359</v>
      </c>
      <c r="C289" s="2" t="n">
        <v>83</v>
      </c>
      <c r="D289" s="2" t="n">
        <v>109.7</v>
      </c>
      <c r="E289" s="2" t="n">
        <v>105</v>
      </c>
      <c r="F289" s="2" t="n">
        <v>120</v>
      </c>
      <c r="G289" s="2" t="n">
        <v>0.139</v>
      </c>
    </row>
    <row r="290" customFormat="false" ht="15" hidden="false" customHeight="false" outlineLevel="0" collapsed="false">
      <c r="A290" s="2" t="n">
        <v>255</v>
      </c>
      <c r="B290" s="2" t="s">
        <v>431</v>
      </c>
      <c r="C290" s="2" t="n">
        <v>84</v>
      </c>
      <c r="D290" s="2" t="n">
        <v>108.7</v>
      </c>
      <c r="E290" s="2" t="n">
        <v>100</v>
      </c>
      <c r="F290" s="2" t="n">
        <v>118.7</v>
      </c>
      <c r="G290" s="2" t="n">
        <v>0.297</v>
      </c>
    </row>
    <row r="291" customFormat="false" ht="15" hidden="false" customHeight="false" outlineLevel="0" collapsed="false">
      <c r="A291" s="2" t="n">
        <v>266</v>
      </c>
      <c r="B291" s="2" t="s">
        <v>586</v>
      </c>
      <c r="C291" s="2" t="n">
        <v>83</v>
      </c>
      <c r="D291" s="2" t="n">
        <v>107.1</v>
      </c>
      <c r="E291" s="2" t="n">
        <v>84.1</v>
      </c>
      <c r="F291" s="2" t="n">
        <v>133.3</v>
      </c>
      <c r="G291" s="2" t="n">
        <v>0.301</v>
      </c>
    </row>
    <row r="292" customFormat="false" ht="15" hidden="false" customHeight="false" outlineLevel="0" collapsed="false">
      <c r="A292" s="2" t="n">
        <v>1009</v>
      </c>
      <c r="B292" s="2" t="s">
        <v>392</v>
      </c>
      <c r="C292" s="2" t="n">
        <v>88</v>
      </c>
      <c r="D292" s="2" t="n">
        <v>106.7</v>
      </c>
      <c r="E292" s="2" t="n">
        <v>101.5</v>
      </c>
      <c r="F292" s="2" t="n">
        <v>121.1</v>
      </c>
      <c r="G292" s="2" t="n">
        <v>0.145</v>
      </c>
    </row>
    <row r="293" customFormat="false" ht="15" hidden="false" customHeight="false" outlineLevel="0" collapsed="false">
      <c r="A293" s="2" t="n">
        <v>245</v>
      </c>
      <c r="B293" s="2" t="s">
        <v>364</v>
      </c>
      <c r="C293" s="2" t="n">
        <v>88</v>
      </c>
      <c r="D293" s="2" t="n">
        <v>106</v>
      </c>
      <c r="E293" s="2" t="n">
        <v>93</v>
      </c>
      <c r="F293" s="2" t="n">
        <v>121.3</v>
      </c>
      <c r="G293" s="2" t="n">
        <v>0.161</v>
      </c>
    </row>
    <row r="294" customFormat="false" ht="15" hidden="false" customHeight="false" outlineLevel="0" collapsed="false">
      <c r="A294" s="2" t="n">
        <v>307</v>
      </c>
      <c r="B294" s="2" t="s">
        <v>467</v>
      </c>
      <c r="C294" s="2" t="n">
        <v>2</v>
      </c>
      <c r="D294" s="2" t="n">
        <v>104</v>
      </c>
      <c r="E294" s="2"/>
      <c r="F294" s="2"/>
      <c r="G294" s="2" t="n">
        <v>0.198</v>
      </c>
    </row>
    <row r="295" customFormat="false" ht="15" hidden="false" customHeight="false" outlineLevel="0" collapsed="false">
      <c r="A295" s="2" t="n">
        <v>993</v>
      </c>
      <c r="B295" s="2" t="s">
        <v>587</v>
      </c>
      <c r="C295" s="2" t="n">
        <v>10</v>
      </c>
      <c r="D295" s="2" t="n">
        <v>103.4</v>
      </c>
      <c r="E295" s="2" t="n">
        <v>98.6</v>
      </c>
      <c r="F295" s="2" t="n">
        <v>120.7</v>
      </c>
      <c r="G295" s="2" t="n">
        <v>0.178</v>
      </c>
    </row>
    <row r="296" customFormat="false" ht="15" hidden="false" customHeight="false" outlineLevel="0" collapsed="false">
      <c r="A296" s="2" t="n">
        <v>268</v>
      </c>
      <c r="B296" s="2" t="s">
        <v>393</v>
      </c>
      <c r="C296" s="2" t="n">
        <v>85</v>
      </c>
      <c r="D296" s="2" t="n">
        <v>103.3</v>
      </c>
      <c r="E296" s="2" t="n">
        <v>98</v>
      </c>
      <c r="F296" s="2" t="n">
        <v>121.5</v>
      </c>
      <c r="G296" s="2" t="n">
        <v>0.157</v>
      </c>
    </row>
    <row r="297" customFormat="false" ht="15" hidden="false" customHeight="false" outlineLevel="0" collapsed="false">
      <c r="A297" s="2" t="n">
        <v>1019</v>
      </c>
      <c r="B297" s="2" t="s">
        <v>365</v>
      </c>
      <c r="C297" s="2" t="n">
        <v>81</v>
      </c>
      <c r="D297" s="2" t="n">
        <v>103.1</v>
      </c>
      <c r="E297" s="2" t="n">
        <v>94.7</v>
      </c>
      <c r="F297" s="2" t="n">
        <v>115.4</v>
      </c>
      <c r="G297" s="2" t="n">
        <v>0.162</v>
      </c>
    </row>
    <row r="298" customFormat="false" ht="15" hidden="false" customHeight="false" outlineLevel="0" collapsed="false">
      <c r="A298" s="2" t="n">
        <v>1018</v>
      </c>
      <c r="B298" s="2" t="s">
        <v>362</v>
      </c>
      <c r="C298" s="2" t="n">
        <v>87</v>
      </c>
      <c r="D298" s="2" t="n">
        <v>102.9</v>
      </c>
      <c r="E298" s="2" t="n">
        <v>92</v>
      </c>
      <c r="F298" s="2" t="n">
        <v>113.9</v>
      </c>
      <c r="G298" s="2" t="n">
        <v>0.323</v>
      </c>
    </row>
    <row r="299" customFormat="false" ht="15" hidden="false" customHeight="false" outlineLevel="0" collapsed="false">
      <c r="A299" s="2" t="n">
        <v>996</v>
      </c>
      <c r="B299" s="2" t="s">
        <v>588</v>
      </c>
      <c r="C299" s="2" t="n">
        <v>9</v>
      </c>
      <c r="D299" s="2" t="n">
        <v>101.8</v>
      </c>
      <c r="E299" s="2" t="n">
        <v>93.3</v>
      </c>
      <c r="F299" s="2" t="n">
        <v>119.5</v>
      </c>
      <c r="G299" s="2" t="n">
        <v>0.136</v>
      </c>
    </row>
    <row r="300" customFormat="false" ht="15" hidden="false" customHeight="false" outlineLevel="0" collapsed="false">
      <c r="A300" s="2" t="n">
        <v>269</v>
      </c>
      <c r="B300" s="2" t="s">
        <v>394</v>
      </c>
      <c r="C300" s="2" t="n">
        <v>84</v>
      </c>
      <c r="D300" s="2" t="n">
        <v>97.3</v>
      </c>
      <c r="E300" s="2" t="n">
        <v>90.2</v>
      </c>
      <c r="F300" s="2" t="n">
        <v>117.7</v>
      </c>
      <c r="G300" s="2" t="n">
        <v>0.173</v>
      </c>
    </row>
    <row r="301" customFormat="false" ht="16.4" hidden="false" customHeight="false" outlineLevel="0" collapsed="false">
      <c r="A301" s="2" t="n">
        <v>264</v>
      </c>
      <c r="B301" s="2" t="s">
        <v>379</v>
      </c>
      <c r="C301" s="2" t="n">
        <v>13</v>
      </c>
      <c r="D301" s="2" t="n">
        <v>97.2</v>
      </c>
      <c r="E301" s="2" t="n">
        <v>92.3</v>
      </c>
      <c r="F301" s="2" t="n">
        <v>107.2</v>
      </c>
      <c r="G301" s="2" t="n">
        <v>0.114</v>
      </c>
    </row>
    <row r="302" customFormat="false" ht="15" hidden="false" customHeight="false" outlineLevel="0" collapsed="false">
      <c r="A302" s="2" t="n">
        <v>106</v>
      </c>
      <c r="B302" s="2" t="s">
        <v>156</v>
      </c>
      <c r="C302" s="2" t="n">
        <v>65</v>
      </c>
      <c r="D302" s="2" t="n">
        <v>95.2</v>
      </c>
      <c r="E302" s="2" t="n">
        <v>78.9</v>
      </c>
      <c r="F302" s="2" t="n">
        <v>113.2</v>
      </c>
      <c r="G302" s="2" t="n">
        <v>0.303</v>
      </c>
    </row>
    <row r="303" customFormat="false" ht="15" hidden="false" customHeight="false" outlineLevel="0" collapsed="false">
      <c r="A303" s="2" t="n">
        <v>262</v>
      </c>
      <c r="B303" s="2" t="s">
        <v>435</v>
      </c>
      <c r="C303" s="2" t="n">
        <v>33</v>
      </c>
      <c r="D303" s="2" t="n">
        <v>94.7</v>
      </c>
      <c r="E303" s="2" t="n">
        <v>89.3</v>
      </c>
      <c r="F303" s="2" t="n">
        <v>108.3</v>
      </c>
      <c r="G303" s="2" t="n">
        <v>0.222</v>
      </c>
    </row>
    <row r="304" customFormat="false" ht="15" hidden="false" customHeight="false" outlineLevel="0" collapsed="false">
      <c r="A304" s="2" t="n">
        <v>240</v>
      </c>
      <c r="B304" s="2" t="s">
        <v>366</v>
      </c>
      <c r="C304" s="2" t="n">
        <v>86</v>
      </c>
      <c r="D304" s="2" t="n">
        <v>94.5</v>
      </c>
      <c r="E304" s="2" t="n">
        <v>83.9</v>
      </c>
      <c r="F304" s="2" t="n">
        <v>103.4</v>
      </c>
      <c r="G304" s="2" t="n">
        <v>0.186</v>
      </c>
    </row>
    <row r="305" customFormat="false" ht="15" hidden="false" customHeight="false" outlineLevel="0" collapsed="false">
      <c r="A305" s="2" t="n">
        <v>191</v>
      </c>
      <c r="B305" s="2" t="s">
        <v>412</v>
      </c>
      <c r="C305" s="2" t="n">
        <v>78</v>
      </c>
      <c r="D305" s="2" t="n">
        <v>94.5</v>
      </c>
      <c r="E305" s="2" t="n">
        <v>82</v>
      </c>
      <c r="F305" s="2" t="n">
        <v>106.4</v>
      </c>
      <c r="G305" s="2" t="n">
        <v>0.2</v>
      </c>
    </row>
    <row r="306" customFormat="false" ht="15" hidden="false" customHeight="false" outlineLevel="0" collapsed="false">
      <c r="A306" s="2" t="n">
        <v>280</v>
      </c>
      <c r="B306" s="2" t="s">
        <v>306</v>
      </c>
      <c r="C306" s="2" t="n">
        <v>2</v>
      </c>
      <c r="D306" s="2" t="n">
        <v>92.8</v>
      </c>
      <c r="E306" s="2"/>
      <c r="F306" s="2"/>
      <c r="G306" s="2" t="n">
        <v>0.139</v>
      </c>
    </row>
    <row r="307" customFormat="false" ht="15" hidden="false" customHeight="false" outlineLevel="0" collapsed="false">
      <c r="A307" s="2" t="n">
        <v>913</v>
      </c>
      <c r="B307" s="2" t="s">
        <v>414</v>
      </c>
      <c r="C307" s="2" t="n">
        <v>13</v>
      </c>
      <c r="D307" s="2" t="n">
        <v>90.8</v>
      </c>
      <c r="E307" s="2" t="n">
        <v>82.1</v>
      </c>
      <c r="F307" s="2" t="n">
        <v>101</v>
      </c>
      <c r="G307" s="2" t="n">
        <v>0.108</v>
      </c>
    </row>
    <row r="308" customFormat="false" ht="15" hidden="false" customHeight="false" outlineLevel="0" collapsed="false">
      <c r="A308" s="2" t="n">
        <v>192</v>
      </c>
      <c r="B308" s="2" t="s">
        <v>415</v>
      </c>
      <c r="C308" s="2" t="n">
        <v>84</v>
      </c>
      <c r="D308" s="2" t="n">
        <v>83.5</v>
      </c>
      <c r="E308" s="2" t="n">
        <v>71.2</v>
      </c>
      <c r="F308" s="2" t="n">
        <v>97.9</v>
      </c>
      <c r="G308" s="2" t="n">
        <v>0.272</v>
      </c>
    </row>
    <row r="309" customFormat="false" ht="15" hidden="false" customHeight="false" outlineLevel="0" collapsed="false">
      <c r="A309" s="2" t="n">
        <v>259</v>
      </c>
      <c r="B309" s="2" t="s">
        <v>368</v>
      </c>
      <c r="C309" s="2" t="n">
        <v>46</v>
      </c>
      <c r="D309" s="2" t="n">
        <v>74.7</v>
      </c>
      <c r="E309" s="2" t="n">
        <v>66.2</v>
      </c>
      <c r="F309" s="2" t="n">
        <v>80.1</v>
      </c>
      <c r="G309" s="2" t="n">
        <v>0.23</v>
      </c>
    </row>
    <row r="310" customFormat="false" ht="15" hidden="false" customHeight="false" outlineLevel="0" collapsed="false">
      <c r="A310" s="2" t="n">
        <v>180</v>
      </c>
      <c r="B310" s="2" t="s">
        <v>589</v>
      </c>
      <c r="C310" s="2" t="n">
        <v>0</v>
      </c>
      <c r="D310" s="2"/>
      <c r="E310" s="2"/>
      <c r="F310" s="2"/>
      <c r="G310" s="2"/>
    </row>
    <row r="311" customFormat="false" ht="15" hidden="false" customHeight="false" outlineLevel="0" collapsed="false">
      <c r="A311" s="2" t="n">
        <v>190</v>
      </c>
      <c r="B311" s="2" t="s">
        <v>590</v>
      </c>
      <c r="C311" s="2" t="n">
        <v>0</v>
      </c>
      <c r="D311" s="2"/>
      <c r="E311" s="2"/>
      <c r="F311" s="2"/>
      <c r="G311" s="2"/>
    </row>
    <row r="312" customFormat="false" ht="15" hidden="false" customHeight="false" outlineLevel="0" collapsed="false">
      <c r="A312" s="2" t="n">
        <v>248</v>
      </c>
      <c r="B312" s="2" t="s">
        <v>591</v>
      </c>
      <c r="C312" s="2" t="n">
        <v>0</v>
      </c>
      <c r="D312" s="2"/>
      <c r="E312" s="2"/>
      <c r="F312" s="2"/>
      <c r="G3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0"/>
  </cols>
  <sheetData>
    <row r="1" customFormat="false" ht="48" hidden="false" customHeight="true" outlineLevel="0" collapsed="false">
      <c r="A1" s="7" t="s">
        <v>22</v>
      </c>
      <c r="B1" s="7" t="s">
        <v>592</v>
      </c>
      <c r="C1" s="7" t="s">
        <v>40</v>
      </c>
      <c r="D1" s="7" t="s">
        <v>593</v>
      </c>
      <c r="E1" s="7" t="s">
        <v>594</v>
      </c>
      <c r="F1" s="7" t="s">
        <v>595</v>
      </c>
    </row>
    <row r="2" customFormat="false" ht="15" hidden="false" customHeight="false" outlineLevel="0" collapsed="false">
      <c r="A2" s="2" t="n">
        <v>1</v>
      </c>
      <c r="B2" s="2" t="s">
        <v>63</v>
      </c>
      <c r="C2" s="2" t="s">
        <v>64</v>
      </c>
      <c r="D2" s="12" t="s">
        <v>65</v>
      </c>
      <c r="E2" s="12" t="s">
        <v>65</v>
      </c>
      <c r="F2" s="2" t="n">
        <v>0</v>
      </c>
    </row>
    <row r="3" customFormat="false" ht="16.4" hidden="false" customHeight="false" outlineLevel="0" collapsed="false">
      <c r="A3" s="2" t="n">
        <v>1</v>
      </c>
      <c r="B3" s="2" t="s">
        <v>70</v>
      </c>
      <c r="C3" s="2" t="s">
        <v>45</v>
      </c>
      <c r="D3" s="12" t="s">
        <v>596</v>
      </c>
      <c r="E3" s="2" t="s">
        <v>70</v>
      </c>
      <c r="F3" s="2" t="n">
        <v>86</v>
      </c>
    </row>
    <row r="4" customFormat="false" ht="16.4" hidden="false" customHeight="false" outlineLevel="0" collapsed="false">
      <c r="A4" s="2" t="n">
        <v>1</v>
      </c>
      <c r="B4" s="2" t="s">
        <v>57</v>
      </c>
      <c r="C4" s="2" t="s">
        <v>45</v>
      </c>
      <c r="D4" s="12" t="s">
        <v>597</v>
      </c>
      <c r="E4" s="2" t="s">
        <v>58</v>
      </c>
      <c r="F4" s="2" t="n">
        <v>86</v>
      </c>
    </row>
    <row r="5" customFormat="false" ht="16.4" hidden="false" customHeight="false" outlineLevel="0" collapsed="false">
      <c r="A5" s="2" t="n">
        <v>1</v>
      </c>
      <c r="B5" s="2" t="s">
        <v>71</v>
      </c>
      <c r="C5" s="2" t="s">
        <v>45</v>
      </c>
      <c r="D5" s="12" t="s">
        <v>598</v>
      </c>
      <c r="E5" s="2" t="s">
        <v>71</v>
      </c>
      <c r="F5" s="2" t="n">
        <v>50</v>
      </c>
    </row>
    <row r="6" customFormat="false" ht="16.4" hidden="false" customHeight="false" outlineLevel="0" collapsed="false">
      <c r="A6" s="2" t="n">
        <v>1</v>
      </c>
      <c r="B6" s="2" t="s">
        <v>49</v>
      </c>
      <c r="C6" s="2" t="s">
        <v>45</v>
      </c>
      <c r="D6" s="12" t="s">
        <v>599</v>
      </c>
      <c r="E6" s="2" t="s">
        <v>49</v>
      </c>
      <c r="F6" s="2" t="n">
        <v>13</v>
      </c>
    </row>
    <row r="7" customFormat="false" ht="16.4" hidden="false" customHeight="false" outlineLevel="0" collapsed="false">
      <c r="A7" s="2" t="n">
        <v>1</v>
      </c>
      <c r="B7" s="2" t="s">
        <v>62</v>
      </c>
      <c r="C7" s="2" t="s">
        <v>45</v>
      </c>
      <c r="D7" s="12" t="s">
        <v>600</v>
      </c>
      <c r="E7" s="2" t="s">
        <v>62</v>
      </c>
      <c r="F7" s="2" t="n">
        <v>82</v>
      </c>
    </row>
    <row r="8" customFormat="false" ht="16.4" hidden="false" customHeight="false" outlineLevel="0" collapsed="false">
      <c r="A8" s="2" t="n">
        <v>1</v>
      </c>
      <c r="B8" s="2" t="s">
        <v>55</v>
      </c>
      <c r="C8" s="2" t="s">
        <v>45</v>
      </c>
      <c r="D8" s="12" t="s">
        <v>601</v>
      </c>
      <c r="E8" s="2" t="s">
        <v>56</v>
      </c>
      <c r="F8" s="2" t="n">
        <v>91</v>
      </c>
    </row>
    <row r="9" customFormat="false" ht="16.4" hidden="false" customHeight="false" outlineLevel="0" collapsed="false">
      <c r="A9" s="2" t="n">
        <v>1</v>
      </c>
      <c r="B9" s="2" t="s">
        <v>52</v>
      </c>
      <c r="C9" s="2" t="s">
        <v>45</v>
      </c>
      <c r="D9" s="12" t="s">
        <v>602</v>
      </c>
      <c r="E9" s="2" t="s">
        <v>52</v>
      </c>
      <c r="F9" s="2" t="n">
        <v>87</v>
      </c>
    </row>
    <row r="10" customFormat="false" ht="16.4" hidden="false" customHeight="false" outlineLevel="0" collapsed="false">
      <c r="A10" s="2" t="n">
        <v>1</v>
      </c>
      <c r="B10" s="2" t="s">
        <v>68</v>
      </c>
      <c r="C10" s="2" t="s">
        <v>45</v>
      </c>
      <c r="D10" s="12" t="s">
        <v>603</v>
      </c>
      <c r="E10" s="2" t="s">
        <v>68</v>
      </c>
      <c r="F10" s="2" t="n">
        <v>91</v>
      </c>
    </row>
    <row r="11" customFormat="false" ht="16.4" hidden="false" customHeight="false" outlineLevel="0" collapsed="false">
      <c r="A11" s="2" t="n">
        <v>1</v>
      </c>
      <c r="B11" s="2" t="s">
        <v>78</v>
      </c>
      <c r="C11" s="2" t="s">
        <v>45</v>
      </c>
      <c r="D11" s="12" t="s">
        <v>604</v>
      </c>
      <c r="E11" s="2" t="s">
        <v>78</v>
      </c>
      <c r="F11" s="2" t="n">
        <v>81</v>
      </c>
    </row>
    <row r="12" customFormat="false" ht="16.4" hidden="false" customHeight="false" outlineLevel="0" collapsed="false">
      <c r="A12" s="2" t="n">
        <v>1</v>
      </c>
      <c r="B12" s="2" t="s">
        <v>73</v>
      </c>
      <c r="C12" s="2" t="s">
        <v>54</v>
      </c>
      <c r="D12" s="12" t="s">
        <v>605</v>
      </c>
      <c r="E12" s="2" t="s">
        <v>74</v>
      </c>
      <c r="F12" s="2" t="n">
        <v>29</v>
      </c>
    </row>
    <row r="13" customFormat="false" ht="16.4" hidden="false" customHeight="false" outlineLevel="0" collapsed="false">
      <c r="A13" s="2" t="n">
        <v>1</v>
      </c>
      <c r="B13" s="2" t="s">
        <v>72</v>
      </c>
      <c r="C13" s="2" t="s">
        <v>45</v>
      </c>
      <c r="D13" s="12" t="s">
        <v>606</v>
      </c>
      <c r="E13" s="2" t="s">
        <v>72</v>
      </c>
      <c r="F13" s="2" t="n">
        <v>46</v>
      </c>
    </row>
    <row r="14" customFormat="false" ht="16.4" hidden="false" customHeight="false" outlineLevel="0" collapsed="false">
      <c r="A14" s="2" t="n">
        <v>1</v>
      </c>
      <c r="B14" s="2" t="s">
        <v>75</v>
      </c>
      <c r="C14" s="2" t="s">
        <v>45</v>
      </c>
      <c r="D14" s="12" t="s">
        <v>607</v>
      </c>
      <c r="E14" s="2" t="s">
        <v>75</v>
      </c>
      <c r="F14" s="2" t="n">
        <v>50</v>
      </c>
    </row>
    <row r="15" customFormat="false" ht="16.4" hidden="false" customHeight="false" outlineLevel="0" collapsed="false">
      <c r="A15" s="2" t="n">
        <v>1</v>
      </c>
      <c r="B15" s="2" t="s">
        <v>59</v>
      </c>
      <c r="C15" s="2" t="s">
        <v>45</v>
      </c>
      <c r="D15" s="12" t="s">
        <v>608</v>
      </c>
      <c r="E15" s="2" t="s">
        <v>59</v>
      </c>
      <c r="F15" s="2" t="n">
        <v>88</v>
      </c>
    </row>
    <row r="16" customFormat="false" ht="16.4" hidden="false" customHeight="false" outlineLevel="0" collapsed="false">
      <c r="A16" s="2" t="n">
        <v>1</v>
      </c>
      <c r="B16" s="2" t="s">
        <v>47</v>
      </c>
      <c r="C16" s="2" t="s">
        <v>45</v>
      </c>
      <c r="D16" s="12" t="s">
        <v>609</v>
      </c>
      <c r="E16" s="2" t="s">
        <v>47</v>
      </c>
      <c r="F16" s="2" t="n">
        <v>87</v>
      </c>
    </row>
    <row r="17" customFormat="false" ht="16.4" hidden="false" customHeight="false" outlineLevel="0" collapsed="false">
      <c r="A17" s="2" t="n">
        <v>1</v>
      </c>
      <c r="B17" s="2" t="s">
        <v>79</v>
      </c>
      <c r="C17" s="2" t="s">
        <v>45</v>
      </c>
      <c r="D17" s="12" t="s">
        <v>610</v>
      </c>
      <c r="E17" s="2" t="s">
        <v>79</v>
      </c>
      <c r="F17" s="2" t="n">
        <v>89</v>
      </c>
    </row>
    <row r="18" customFormat="false" ht="16.4" hidden="false" customHeight="false" outlineLevel="0" collapsed="false">
      <c r="A18" s="2" t="n">
        <v>1</v>
      </c>
      <c r="B18" s="2" t="s">
        <v>80</v>
      </c>
      <c r="C18" s="2" t="s">
        <v>45</v>
      </c>
      <c r="D18" s="12" t="s">
        <v>611</v>
      </c>
      <c r="E18" s="2" t="s">
        <v>80</v>
      </c>
      <c r="F18" s="2" t="n">
        <v>56</v>
      </c>
    </row>
    <row r="19" customFormat="false" ht="16.4" hidden="false" customHeight="false" outlineLevel="0" collapsed="false">
      <c r="A19" s="2" t="n">
        <v>1</v>
      </c>
      <c r="B19" s="2" t="s">
        <v>76</v>
      </c>
      <c r="C19" s="2" t="s">
        <v>54</v>
      </c>
      <c r="D19" s="12" t="s">
        <v>612</v>
      </c>
      <c r="E19" s="2" t="s">
        <v>77</v>
      </c>
      <c r="F19" s="2" t="n">
        <v>80</v>
      </c>
    </row>
    <row r="20" customFormat="false" ht="16.4" hidden="false" customHeight="false" outlineLevel="0" collapsed="false">
      <c r="A20" s="2" t="n">
        <v>1</v>
      </c>
      <c r="B20" s="2" t="s">
        <v>51</v>
      </c>
      <c r="C20" s="2" t="s">
        <v>45</v>
      </c>
      <c r="D20" s="12" t="s">
        <v>613</v>
      </c>
      <c r="E20" s="2" t="s">
        <v>51</v>
      </c>
      <c r="F20" s="2" t="n">
        <v>88</v>
      </c>
    </row>
    <row r="21" customFormat="false" ht="16.4" hidden="false" customHeight="false" outlineLevel="0" collapsed="false">
      <c r="A21" s="2" t="n">
        <v>1</v>
      </c>
      <c r="B21" s="2" t="s">
        <v>61</v>
      </c>
      <c r="C21" s="2" t="s">
        <v>45</v>
      </c>
      <c r="D21" s="12" t="s">
        <v>614</v>
      </c>
      <c r="E21" s="2" t="s">
        <v>61</v>
      </c>
      <c r="F21" s="2" t="n">
        <v>89</v>
      </c>
    </row>
    <row r="22" customFormat="false" ht="16.4" hidden="false" customHeight="false" outlineLevel="0" collapsed="false">
      <c r="A22" s="2" t="n">
        <v>1</v>
      </c>
      <c r="B22" s="2" t="s">
        <v>48</v>
      </c>
      <c r="C22" s="2" t="s">
        <v>45</v>
      </c>
      <c r="D22" s="12" t="s">
        <v>615</v>
      </c>
      <c r="E22" s="2" t="s">
        <v>48</v>
      </c>
      <c r="F22" s="2" t="n">
        <v>88</v>
      </c>
    </row>
    <row r="23" customFormat="false" ht="16.4" hidden="false" customHeight="false" outlineLevel="0" collapsed="false">
      <c r="A23" s="2" t="n">
        <v>1</v>
      </c>
      <c r="B23" s="2" t="s">
        <v>53</v>
      </c>
      <c r="C23" s="2" t="s">
        <v>54</v>
      </c>
      <c r="D23" s="12" t="s">
        <v>616</v>
      </c>
      <c r="E23" s="2" t="s">
        <v>53</v>
      </c>
      <c r="F23" s="2" t="n">
        <v>90</v>
      </c>
    </row>
    <row r="24" customFormat="false" ht="16.4" hidden="false" customHeight="false" outlineLevel="0" collapsed="false">
      <c r="A24" s="2" t="n">
        <v>1</v>
      </c>
      <c r="B24" s="2" t="s">
        <v>44</v>
      </c>
      <c r="C24" s="2" t="s">
        <v>45</v>
      </c>
      <c r="D24" s="12" t="s">
        <v>617</v>
      </c>
      <c r="E24" s="2" t="s">
        <v>44</v>
      </c>
      <c r="F24" s="2" t="n">
        <v>88</v>
      </c>
    </row>
    <row r="25" customFormat="false" ht="16.4" hidden="false" customHeight="false" outlineLevel="0" collapsed="false">
      <c r="A25" s="2" t="n">
        <v>1</v>
      </c>
      <c r="B25" s="2" t="s">
        <v>69</v>
      </c>
      <c r="C25" s="2" t="s">
        <v>45</v>
      </c>
      <c r="D25" s="12" t="s">
        <v>618</v>
      </c>
      <c r="E25" s="2" t="s">
        <v>69</v>
      </c>
      <c r="F25" s="2" t="n">
        <v>78</v>
      </c>
    </row>
    <row r="26" customFormat="false" ht="16.4" hidden="false" customHeight="false" outlineLevel="0" collapsed="false">
      <c r="A26" s="2" t="n">
        <v>1</v>
      </c>
      <c r="B26" s="2" t="s">
        <v>60</v>
      </c>
      <c r="C26" s="2" t="s">
        <v>45</v>
      </c>
      <c r="D26" s="12" t="s">
        <v>619</v>
      </c>
      <c r="E26" s="2" t="s">
        <v>60</v>
      </c>
      <c r="F26" s="2" t="n">
        <v>90</v>
      </c>
    </row>
    <row r="27" customFormat="false" ht="15" hidden="false" customHeight="false" outlineLevel="0" collapsed="false">
      <c r="A27" s="2" t="n">
        <v>1</v>
      </c>
      <c r="B27" s="2" t="s">
        <v>67</v>
      </c>
      <c r="C27" s="2" t="s">
        <v>64</v>
      </c>
      <c r="D27" s="12" t="s">
        <v>65</v>
      </c>
      <c r="E27" s="12" t="s">
        <v>65</v>
      </c>
      <c r="F27" s="2" t="n">
        <v>0</v>
      </c>
    </row>
    <row r="28" customFormat="false" ht="16.4" hidden="false" customHeight="false" outlineLevel="0" collapsed="false">
      <c r="A28" s="2" t="n">
        <v>1</v>
      </c>
      <c r="B28" s="2" t="s">
        <v>81</v>
      </c>
      <c r="C28" s="2" t="s">
        <v>45</v>
      </c>
      <c r="D28" s="12" t="s">
        <v>620</v>
      </c>
      <c r="E28" s="2" t="s">
        <v>82</v>
      </c>
      <c r="F28" s="2" t="n">
        <v>17</v>
      </c>
    </row>
    <row r="29" customFormat="false" ht="16.4" hidden="false" customHeight="false" outlineLevel="0" collapsed="false">
      <c r="A29" s="2" t="n">
        <v>2</v>
      </c>
      <c r="B29" s="2" t="s">
        <v>92</v>
      </c>
      <c r="C29" s="2" t="s">
        <v>45</v>
      </c>
      <c r="D29" s="12" t="s">
        <v>621</v>
      </c>
      <c r="E29" s="2" t="s">
        <v>622</v>
      </c>
      <c r="F29" s="2" t="n">
        <v>89</v>
      </c>
    </row>
    <row r="30" customFormat="false" ht="16.4" hidden="false" customHeight="false" outlineLevel="0" collapsed="false">
      <c r="A30" s="2" t="n">
        <v>2</v>
      </c>
      <c r="B30" s="2" t="s">
        <v>85</v>
      </c>
      <c r="C30" s="2" t="s">
        <v>45</v>
      </c>
      <c r="D30" s="12" t="s">
        <v>623</v>
      </c>
      <c r="E30" s="2" t="s">
        <v>85</v>
      </c>
      <c r="F30" s="2" t="n">
        <v>90</v>
      </c>
    </row>
    <row r="31" customFormat="false" ht="16.4" hidden="false" customHeight="false" outlineLevel="0" collapsed="false">
      <c r="A31" s="2" t="n">
        <v>2</v>
      </c>
      <c r="B31" s="2" t="s">
        <v>105</v>
      </c>
      <c r="C31" s="2" t="s">
        <v>106</v>
      </c>
      <c r="D31" s="12" t="s">
        <v>624</v>
      </c>
      <c r="E31" s="2" t="s">
        <v>107</v>
      </c>
      <c r="F31" s="2" t="n">
        <v>95</v>
      </c>
    </row>
    <row r="32" customFormat="false" ht="16.4" hidden="false" customHeight="false" outlineLevel="0" collapsed="false">
      <c r="A32" s="2" t="n">
        <v>2</v>
      </c>
      <c r="B32" s="2" t="s">
        <v>103</v>
      </c>
      <c r="C32" s="2" t="s">
        <v>45</v>
      </c>
      <c r="D32" s="12" t="s">
        <v>625</v>
      </c>
      <c r="E32" s="2" t="s">
        <v>104</v>
      </c>
      <c r="F32" s="2" t="n">
        <v>93</v>
      </c>
    </row>
    <row r="33" customFormat="false" ht="16.4" hidden="false" customHeight="false" outlineLevel="0" collapsed="false">
      <c r="A33" s="2" t="n">
        <v>2</v>
      </c>
      <c r="B33" s="2" t="s">
        <v>109</v>
      </c>
      <c r="C33" s="2" t="s">
        <v>45</v>
      </c>
      <c r="D33" s="12" t="s">
        <v>626</v>
      </c>
      <c r="E33" s="2" t="s">
        <v>109</v>
      </c>
      <c r="F33" s="2" t="n">
        <v>88</v>
      </c>
    </row>
    <row r="34" customFormat="false" ht="15" hidden="false" customHeight="false" outlineLevel="0" collapsed="false">
      <c r="A34" s="2" t="n">
        <v>2</v>
      </c>
      <c r="B34" s="2" t="s">
        <v>98</v>
      </c>
      <c r="C34" s="2" t="s">
        <v>64</v>
      </c>
      <c r="D34" s="12" t="s">
        <v>65</v>
      </c>
      <c r="E34" s="12" t="s">
        <v>65</v>
      </c>
      <c r="F34" s="2" t="n">
        <v>0</v>
      </c>
    </row>
    <row r="35" customFormat="false" ht="16.4" hidden="false" customHeight="false" outlineLevel="0" collapsed="false">
      <c r="A35" s="2" t="n">
        <v>2</v>
      </c>
      <c r="B35" s="2" t="s">
        <v>87</v>
      </c>
      <c r="C35" s="2" t="s">
        <v>54</v>
      </c>
      <c r="D35" s="12" t="s">
        <v>627</v>
      </c>
      <c r="E35" s="2" t="s">
        <v>87</v>
      </c>
      <c r="F35" s="2" t="n">
        <v>93</v>
      </c>
    </row>
    <row r="36" customFormat="false" ht="16.4" hidden="false" customHeight="false" outlineLevel="0" collapsed="false">
      <c r="A36" s="2" t="n">
        <v>2</v>
      </c>
      <c r="B36" s="2" t="s">
        <v>86</v>
      </c>
      <c r="C36" s="2" t="s">
        <v>54</v>
      </c>
      <c r="D36" s="12" t="s">
        <v>627</v>
      </c>
      <c r="E36" s="2" t="s">
        <v>87</v>
      </c>
      <c r="F36" s="2" t="n">
        <v>93</v>
      </c>
    </row>
    <row r="37" customFormat="false" ht="16.4" hidden="false" customHeight="false" outlineLevel="0" collapsed="false">
      <c r="A37" s="2" t="n">
        <v>2</v>
      </c>
      <c r="B37" s="2" t="s">
        <v>83</v>
      </c>
      <c r="C37" s="2" t="s">
        <v>45</v>
      </c>
      <c r="D37" s="12" t="s">
        <v>628</v>
      </c>
      <c r="E37" s="2" t="s">
        <v>84</v>
      </c>
      <c r="F37" s="2" t="n">
        <v>88</v>
      </c>
    </row>
    <row r="38" customFormat="false" ht="15" hidden="false" customHeight="false" outlineLevel="0" collapsed="false">
      <c r="A38" s="2" t="n">
        <v>2</v>
      </c>
      <c r="B38" s="2" t="s">
        <v>96</v>
      </c>
      <c r="C38" s="2" t="s">
        <v>64</v>
      </c>
      <c r="D38" s="12" t="s">
        <v>65</v>
      </c>
      <c r="E38" s="12" t="s">
        <v>65</v>
      </c>
      <c r="F38" s="2" t="n">
        <v>0</v>
      </c>
    </row>
    <row r="39" customFormat="false" ht="16.4" hidden="false" customHeight="false" outlineLevel="0" collapsed="false">
      <c r="A39" s="2" t="n">
        <v>2</v>
      </c>
      <c r="B39" s="2" t="s">
        <v>101</v>
      </c>
      <c r="C39" s="2" t="s">
        <v>45</v>
      </c>
      <c r="D39" s="12" t="s">
        <v>629</v>
      </c>
      <c r="E39" s="2" t="s">
        <v>102</v>
      </c>
      <c r="F39" s="2" t="n">
        <v>93</v>
      </c>
    </row>
    <row r="40" customFormat="false" ht="15" hidden="false" customHeight="false" outlineLevel="0" collapsed="false">
      <c r="A40" s="2" t="n">
        <v>2</v>
      </c>
      <c r="B40" s="2" t="s">
        <v>97</v>
      </c>
      <c r="C40" s="2" t="s">
        <v>64</v>
      </c>
      <c r="D40" s="12" t="s">
        <v>65</v>
      </c>
      <c r="E40" s="12" t="s">
        <v>65</v>
      </c>
      <c r="F40" s="2" t="n">
        <v>0</v>
      </c>
    </row>
    <row r="41" customFormat="false" ht="16.4" hidden="false" customHeight="false" outlineLevel="0" collapsed="false">
      <c r="A41" s="2" t="n">
        <v>2</v>
      </c>
      <c r="B41" s="2" t="s">
        <v>108</v>
      </c>
      <c r="C41" s="2" t="s">
        <v>54</v>
      </c>
      <c r="D41" s="12" t="s">
        <v>630</v>
      </c>
      <c r="E41" s="2" t="s">
        <v>108</v>
      </c>
      <c r="F41" s="2" t="n">
        <v>92</v>
      </c>
    </row>
    <row r="42" customFormat="false" ht="16.4" hidden="false" customHeight="false" outlineLevel="0" collapsed="false">
      <c r="A42" s="2" t="n">
        <v>2</v>
      </c>
      <c r="B42" s="2" t="s">
        <v>110</v>
      </c>
      <c r="C42" s="2" t="s">
        <v>45</v>
      </c>
      <c r="D42" s="12" t="s">
        <v>631</v>
      </c>
      <c r="E42" s="2" t="s">
        <v>110</v>
      </c>
      <c r="F42" s="2" t="n">
        <v>87</v>
      </c>
    </row>
    <row r="43" customFormat="false" ht="16.4" hidden="false" customHeight="false" outlineLevel="0" collapsed="false">
      <c r="A43" s="2" t="n">
        <v>2</v>
      </c>
      <c r="B43" s="2" t="s">
        <v>88</v>
      </c>
      <c r="C43" s="2" t="s">
        <v>45</v>
      </c>
      <c r="D43" s="12" t="s">
        <v>632</v>
      </c>
      <c r="E43" s="2" t="s">
        <v>89</v>
      </c>
      <c r="F43" s="2" t="n">
        <v>60</v>
      </c>
    </row>
    <row r="44" customFormat="false" ht="16.4" hidden="false" customHeight="false" outlineLevel="0" collapsed="false">
      <c r="A44" s="2" t="n">
        <v>2</v>
      </c>
      <c r="B44" s="2" t="s">
        <v>111</v>
      </c>
      <c r="C44" s="2" t="s">
        <v>45</v>
      </c>
      <c r="D44" s="12" t="s">
        <v>633</v>
      </c>
      <c r="E44" s="2" t="s">
        <v>111</v>
      </c>
      <c r="F44" s="2" t="n">
        <v>5</v>
      </c>
    </row>
    <row r="45" customFormat="false" ht="16.4" hidden="false" customHeight="false" outlineLevel="0" collapsed="false">
      <c r="A45" s="2" t="n">
        <v>2</v>
      </c>
      <c r="B45" s="2" t="s">
        <v>95</v>
      </c>
      <c r="C45" s="2" t="s">
        <v>54</v>
      </c>
      <c r="D45" s="12" t="s">
        <v>634</v>
      </c>
      <c r="E45" s="2" t="s">
        <v>94</v>
      </c>
      <c r="F45" s="2" t="n">
        <v>89</v>
      </c>
    </row>
    <row r="46" customFormat="false" ht="16.4" hidden="false" customHeight="false" outlineLevel="0" collapsed="false">
      <c r="A46" s="2" t="n">
        <v>2</v>
      </c>
      <c r="B46" s="2" t="s">
        <v>93</v>
      </c>
      <c r="C46" s="2" t="s">
        <v>54</v>
      </c>
      <c r="D46" s="12" t="s">
        <v>634</v>
      </c>
      <c r="E46" s="2" t="s">
        <v>94</v>
      </c>
      <c r="F46" s="2" t="n">
        <v>89</v>
      </c>
    </row>
    <row r="47" customFormat="false" ht="16.4" hidden="false" customHeight="false" outlineLevel="0" collapsed="false">
      <c r="A47" s="2" t="n">
        <v>2</v>
      </c>
      <c r="B47" s="2" t="s">
        <v>100</v>
      </c>
      <c r="C47" s="2" t="s">
        <v>54</v>
      </c>
      <c r="D47" s="12" t="s">
        <v>635</v>
      </c>
      <c r="E47" s="2" t="s">
        <v>100</v>
      </c>
      <c r="F47" s="2" t="n">
        <v>25</v>
      </c>
    </row>
    <row r="48" customFormat="false" ht="16.4" hidden="false" customHeight="false" outlineLevel="0" collapsed="false">
      <c r="A48" s="2" t="n">
        <v>2</v>
      </c>
      <c r="B48" s="2" t="s">
        <v>99</v>
      </c>
      <c r="C48" s="2" t="s">
        <v>45</v>
      </c>
      <c r="D48" s="12" t="s">
        <v>636</v>
      </c>
      <c r="E48" s="2" t="s">
        <v>99</v>
      </c>
      <c r="F48" s="2" t="n">
        <v>90</v>
      </c>
    </row>
    <row r="49" customFormat="false" ht="16.4" hidden="false" customHeight="false" outlineLevel="0" collapsed="false">
      <c r="A49" s="2" t="n">
        <v>2</v>
      </c>
      <c r="B49" s="2" t="s">
        <v>90</v>
      </c>
      <c r="C49" s="2" t="s">
        <v>54</v>
      </c>
      <c r="D49" s="12" t="s">
        <v>637</v>
      </c>
      <c r="E49" s="2" t="s">
        <v>91</v>
      </c>
      <c r="F49" s="2" t="n">
        <v>95</v>
      </c>
    </row>
    <row r="50" customFormat="false" ht="16.4" hidden="false" customHeight="false" outlineLevel="0" collapsed="false">
      <c r="A50" s="2" t="n">
        <v>3</v>
      </c>
      <c r="B50" s="2" t="s">
        <v>122</v>
      </c>
      <c r="C50" s="2" t="s">
        <v>45</v>
      </c>
      <c r="D50" s="12" t="s">
        <v>638</v>
      </c>
      <c r="E50" s="2" t="s">
        <v>122</v>
      </c>
      <c r="F50" s="2" t="n">
        <v>5</v>
      </c>
    </row>
    <row r="51" customFormat="false" ht="16.4" hidden="false" customHeight="false" outlineLevel="0" collapsed="false">
      <c r="A51" s="2" t="n">
        <v>3</v>
      </c>
      <c r="B51" s="2" t="s">
        <v>117</v>
      </c>
      <c r="C51" s="2" t="s">
        <v>45</v>
      </c>
      <c r="D51" s="12" t="s">
        <v>639</v>
      </c>
      <c r="E51" s="2" t="s">
        <v>117</v>
      </c>
      <c r="F51" s="2" t="n">
        <v>91</v>
      </c>
    </row>
    <row r="52" customFormat="false" ht="16.4" hidden="false" customHeight="false" outlineLevel="0" collapsed="false">
      <c r="A52" s="2" t="n">
        <v>3</v>
      </c>
      <c r="B52" s="2" t="s">
        <v>115</v>
      </c>
      <c r="C52" s="2" t="s">
        <v>45</v>
      </c>
      <c r="D52" s="12" t="s">
        <v>640</v>
      </c>
      <c r="E52" s="2" t="s">
        <v>115</v>
      </c>
      <c r="F52" s="2" t="n">
        <v>93</v>
      </c>
    </row>
    <row r="53" customFormat="false" ht="16.4" hidden="false" customHeight="false" outlineLevel="0" collapsed="false">
      <c r="A53" s="2" t="n">
        <v>3</v>
      </c>
      <c r="B53" s="2" t="s">
        <v>123</v>
      </c>
      <c r="C53" s="2" t="s">
        <v>54</v>
      </c>
      <c r="D53" s="12" t="s">
        <v>641</v>
      </c>
      <c r="E53" s="2" t="s">
        <v>124</v>
      </c>
      <c r="F53" s="2" t="n">
        <v>90</v>
      </c>
    </row>
    <row r="54" customFormat="false" ht="15" hidden="false" customHeight="false" outlineLevel="0" collapsed="false">
      <c r="A54" s="2" t="n">
        <v>3</v>
      </c>
      <c r="B54" s="2" t="s">
        <v>119</v>
      </c>
      <c r="C54" s="2" t="s">
        <v>64</v>
      </c>
      <c r="D54" s="12" t="s">
        <v>65</v>
      </c>
      <c r="E54" s="12" t="s">
        <v>65</v>
      </c>
      <c r="F54" s="2" t="n">
        <v>0</v>
      </c>
    </row>
    <row r="55" customFormat="false" ht="16.4" hidden="false" customHeight="false" outlineLevel="0" collapsed="false">
      <c r="A55" s="2" t="n">
        <v>3</v>
      </c>
      <c r="B55" s="2" t="s">
        <v>118</v>
      </c>
      <c r="C55" s="2" t="s">
        <v>45</v>
      </c>
      <c r="D55" s="12" t="s">
        <v>642</v>
      </c>
      <c r="E55" s="2" t="s">
        <v>118</v>
      </c>
      <c r="F55" s="2" t="n">
        <v>93</v>
      </c>
    </row>
    <row r="56" customFormat="false" ht="16.4" hidden="false" customHeight="false" outlineLevel="0" collapsed="false">
      <c r="A56" s="2" t="n">
        <v>3</v>
      </c>
      <c r="B56" s="2" t="s">
        <v>113</v>
      </c>
      <c r="C56" s="2" t="s">
        <v>45</v>
      </c>
      <c r="D56" s="12" t="s">
        <v>643</v>
      </c>
      <c r="E56" s="2" t="s">
        <v>113</v>
      </c>
      <c r="F56" s="2" t="n">
        <v>92</v>
      </c>
    </row>
    <row r="57" customFormat="false" ht="16.4" hidden="false" customHeight="false" outlineLevel="0" collapsed="false">
      <c r="A57" s="2" t="n">
        <v>3</v>
      </c>
      <c r="B57" s="2" t="s">
        <v>125</v>
      </c>
      <c r="C57" s="2" t="s">
        <v>45</v>
      </c>
      <c r="D57" s="12" t="s">
        <v>644</v>
      </c>
      <c r="E57" s="2" t="s">
        <v>126</v>
      </c>
      <c r="F57" s="2" t="n">
        <v>172</v>
      </c>
    </row>
    <row r="58" customFormat="false" ht="16.4" hidden="false" customHeight="false" outlineLevel="0" collapsed="false">
      <c r="A58" s="2" t="n">
        <v>3</v>
      </c>
      <c r="B58" s="2" t="s">
        <v>114</v>
      </c>
      <c r="C58" s="2" t="s">
        <v>45</v>
      </c>
      <c r="D58" s="12" t="s">
        <v>645</v>
      </c>
      <c r="E58" s="2" t="s">
        <v>114</v>
      </c>
      <c r="F58" s="2" t="n">
        <v>92</v>
      </c>
    </row>
    <row r="59" customFormat="false" ht="16.4" hidden="false" customHeight="false" outlineLevel="0" collapsed="false">
      <c r="A59" s="2" t="n">
        <v>3</v>
      </c>
      <c r="B59" s="2" t="s">
        <v>121</v>
      </c>
      <c r="C59" s="2" t="s">
        <v>45</v>
      </c>
      <c r="D59" s="12" t="s">
        <v>646</v>
      </c>
      <c r="E59" s="2" t="s">
        <v>121</v>
      </c>
      <c r="F59" s="2" t="n">
        <v>91</v>
      </c>
    </row>
    <row r="60" customFormat="false" ht="16.4" hidden="false" customHeight="false" outlineLevel="0" collapsed="false">
      <c r="A60" s="2" t="n">
        <v>3</v>
      </c>
      <c r="B60" s="2" t="s">
        <v>116</v>
      </c>
      <c r="C60" s="2" t="s">
        <v>45</v>
      </c>
      <c r="D60" s="12" t="s">
        <v>647</v>
      </c>
      <c r="E60" s="2" t="s">
        <v>116</v>
      </c>
      <c r="F60" s="2" t="n">
        <v>86</v>
      </c>
    </row>
    <row r="61" customFormat="false" ht="15" hidden="false" customHeight="false" outlineLevel="0" collapsed="false">
      <c r="A61" s="2" t="n">
        <v>3</v>
      </c>
      <c r="B61" s="2" t="s">
        <v>120</v>
      </c>
      <c r="C61" s="2" t="s">
        <v>64</v>
      </c>
      <c r="D61" s="12" t="s">
        <v>65</v>
      </c>
      <c r="E61" s="12" t="s">
        <v>65</v>
      </c>
      <c r="F61" s="2" t="n">
        <v>0</v>
      </c>
    </row>
    <row r="62" customFormat="false" ht="16.4" hidden="false" customHeight="false" outlineLevel="0" collapsed="false">
      <c r="A62" s="2" t="n">
        <v>4</v>
      </c>
      <c r="B62" s="2" t="s">
        <v>149</v>
      </c>
      <c r="C62" s="2" t="s">
        <v>45</v>
      </c>
      <c r="D62" s="12" t="s">
        <v>648</v>
      </c>
      <c r="E62" s="2" t="s">
        <v>149</v>
      </c>
      <c r="F62" s="2" t="n">
        <v>86</v>
      </c>
    </row>
    <row r="63" customFormat="false" ht="16.4" hidden="false" customHeight="false" outlineLevel="0" collapsed="false">
      <c r="A63" s="2" t="n">
        <v>4</v>
      </c>
      <c r="B63" s="2" t="s">
        <v>152</v>
      </c>
      <c r="C63" s="2" t="s">
        <v>45</v>
      </c>
      <c r="D63" s="12" t="s">
        <v>649</v>
      </c>
      <c r="E63" s="2" t="s">
        <v>152</v>
      </c>
      <c r="F63" s="2" t="n">
        <v>85</v>
      </c>
    </row>
    <row r="64" customFormat="false" ht="16.4" hidden="false" customHeight="false" outlineLevel="0" collapsed="false">
      <c r="A64" s="2" t="n">
        <v>4</v>
      </c>
      <c r="B64" s="2" t="s">
        <v>135</v>
      </c>
      <c r="C64" s="2" t="s">
        <v>45</v>
      </c>
      <c r="D64" s="12" t="s">
        <v>650</v>
      </c>
      <c r="E64" s="2" t="s">
        <v>135</v>
      </c>
      <c r="F64" s="2" t="n">
        <v>89</v>
      </c>
    </row>
    <row r="65" customFormat="false" ht="16.4" hidden="false" customHeight="false" outlineLevel="0" collapsed="false">
      <c r="A65" s="2" t="n">
        <v>4</v>
      </c>
      <c r="B65" s="2" t="s">
        <v>153</v>
      </c>
      <c r="C65" s="2" t="s">
        <v>54</v>
      </c>
      <c r="D65" s="12" t="s">
        <v>651</v>
      </c>
      <c r="E65" s="2" t="s">
        <v>154</v>
      </c>
      <c r="F65" s="2" t="n">
        <v>79</v>
      </c>
    </row>
    <row r="66" customFormat="false" ht="16.4" hidden="false" customHeight="false" outlineLevel="0" collapsed="false">
      <c r="A66" s="2" t="n">
        <v>4</v>
      </c>
      <c r="B66" s="2" t="s">
        <v>129</v>
      </c>
      <c r="C66" s="2" t="s">
        <v>54</v>
      </c>
      <c r="D66" s="12" t="s">
        <v>652</v>
      </c>
      <c r="E66" s="2" t="s">
        <v>130</v>
      </c>
      <c r="F66" s="2" t="n">
        <v>86</v>
      </c>
    </row>
    <row r="67" customFormat="false" ht="16.4" hidden="false" customHeight="false" outlineLevel="0" collapsed="false">
      <c r="A67" s="2" t="n">
        <v>4</v>
      </c>
      <c r="B67" s="2" t="s">
        <v>142</v>
      </c>
      <c r="C67" s="2" t="s">
        <v>45</v>
      </c>
      <c r="D67" s="12" t="s">
        <v>653</v>
      </c>
      <c r="E67" s="2" t="s">
        <v>142</v>
      </c>
      <c r="F67" s="2" t="n">
        <v>81</v>
      </c>
    </row>
    <row r="68" customFormat="false" ht="16.4" hidden="false" customHeight="false" outlineLevel="0" collapsed="false">
      <c r="A68" s="2" t="n">
        <v>4</v>
      </c>
      <c r="B68" s="2" t="s">
        <v>140</v>
      </c>
      <c r="C68" s="2" t="s">
        <v>54</v>
      </c>
      <c r="D68" s="12" t="s">
        <v>654</v>
      </c>
      <c r="E68" s="2" t="s">
        <v>141</v>
      </c>
      <c r="F68" s="2" t="n">
        <v>176</v>
      </c>
    </row>
    <row r="69" customFormat="false" ht="16.4" hidden="false" customHeight="false" outlineLevel="0" collapsed="false">
      <c r="A69" s="2" t="n">
        <v>4</v>
      </c>
      <c r="B69" s="2" t="s">
        <v>155</v>
      </c>
      <c r="C69" s="2" t="s">
        <v>45</v>
      </c>
      <c r="D69" s="12" t="s">
        <v>655</v>
      </c>
      <c r="E69" s="2" t="s">
        <v>156</v>
      </c>
      <c r="F69" s="2" t="n">
        <v>65</v>
      </c>
    </row>
    <row r="70" customFormat="false" ht="16.4" hidden="false" customHeight="false" outlineLevel="0" collapsed="false">
      <c r="A70" s="2" t="n">
        <v>4</v>
      </c>
      <c r="B70" s="2" t="s">
        <v>146</v>
      </c>
      <c r="C70" s="2" t="s">
        <v>45</v>
      </c>
      <c r="D70" s="12" t="s">
        <v>656</v>
      </c>
      <c r="E70" s="2" t="s">
        <v>146</v>
      </c>
      <c r="F70" s="2" t="n">
        <v>87</v>
      </c>
    </row>
    <row r="71" customFormat="false" ht="16.4" hidden="false" customHeight="false" outlineLevel="0" collapsed="false">
      <c r="A71" s="2" t="n">
        <v>4</v>
      </c>
      <c r="B71" s="2" t="s">
        <v>150</v>
      </c>
      <c r="C71" s="2" t="s">
        <v>54</v>
      </c>
      <c r="D71" s="12" t="s">
        <v>657</v>
      </c>
      <c r="E71" s="2" t="s">
        <v>151</v>
      </c>
      <c r="F71" s="2" t="n">
        <v>90</v>
      </c>
    </row>
    <row r="72" customFormat="false" ht="16.4" hidden="false" customHeight="false" outlineLevel="0" collapsed="false">
      <c r="A72" s="2" t="n">
        <v>4</v>
      </c>
      <c r="B72" s="2" t="s">
        <v>136</v>
      </c>
      <c r="C72" s="2" t="s">
        <v>45</v>
      </c>
      <c r="D72" s="12" t="s">
        <v>658</v>
      </c>
      <c r="E72" s="2" t="s">
        <v>137</v>
      </c>
      <c r="F72" s="2" t="n">
        <v>77</v>
      </c>
    </row>
    <row r="73" customFormat="false" ht="16.4" hidden="false" customHeight="false" outlineLevel="0" collapsed="false">
      <c r="A73" s="2" t="n">
        <v>4</v>
      </c>
      <c r="B73" s="2" t="s">
        <v>133</v>
      </c>
      <c r="C73" s="2" t="s">
        <v>54</v>
      </c>
      <c r="D73" s="12" t="s">
        <v>659</v>
      </c>
      <c r="E73" s="2" t="s">
        <v>134</v>
      </c>
      <c r="F73" s="2" t="n">
        <v>118</v>
      </c>
    </row>
    <row r="74" customFormat="false" ht="16.4" hidden="false" customHeight="false" outlineLevel="0" collapsed="false">
      <c r="A74" s="2" t="n">
        <v>4</v>
      </c>
      <c r="B74" s="2" t="s">
        <v>147</v>
      </c>
      <c r="C74" s="2" t="s">
        <v>45</v>
      </c>
      <c r="D74" s="12" t="s">
        <v>660</v>
      </c>
      <c r="E74" s="2" t="s">
        <v>148</v>
      </c>
      <c r="F74" s="2" t="n">
        <v>85</v>
      </c>
    </row>
    <row r="75" customFormat="false" ht="16.4" hidden="false" customHeight="false" outlineLevel="0" collapsed="false">
      <c r="A75" s="2" t="n">
        <v>4</v>
      </c>
      <c r="B75" s="2" t="s">
        <v>131</v>
      </c>
      <c r="C75" s="2" t="s">
        <v>54</v>
      </c>
      <c r="D75" s="12" t="s">
        <v>661</v>
      </c>
      <c r="E75" s="2" t="s">
        <v>132</v>
      </c>
      <c r="F75" s="2" t="n">
        <v>89</v>
      </c>
    </row>
    <row r="76" customFormat="false" ht="16.4" hidden="false" customHeight="false" outlineLevel="0" collapsed="false">
      <c r="A76" s="2" t="n">
        <v>4</v>
      </c>
      <c r="B76" s="2" t="s">
        <v>138</v>
      </c>
      <c r="C76" s="2" t="s">
        <v>54</v>
      </c>
      <c r="D76" s="12" t="s">
        <v>662</v>
      </c>
      <c r="E76" s="2" t="s">
        <v>139</v>
      </c>
      <c r="F76" s="2" t="n">
        <v>92</v>
      </c>
    </row>
    <row r="77" customFormat="false" ht="16.4" hidden="false" customHeight="false" outlineLevel="0" collapsed="false">
      <c r="A77" s="2" t="n">
        <v>4</v>
      </c>
      <c r="B77" s="2" t="s">
        <v>127</v>
      </c>
      <c r="C77" s="2" t="s">
        <v>106</v>
      </c>
      <c r="D77" s="12" t="s">
        <v>663</v>
      </c>
      <c r="E77" s="2" t="s">
        <v>128</v>
      </c>
      <c r="F77" s="2" t="n">
        <v>93</v>
      </c>
    </row>
    <row r="78" customFormat="false" ht="15" hidden="false" customHeight="false" outlineLevel="0" collapsed="false">
      <c r="A78" s="2" t="n">
        <v>4</v>
      </c>
      <c r="B78" s="2" t="s">
        <v>144</v>
      </c>
      <c r="C78" s="2" t="s">
        <v>64</v>
      </c>
      <c r="D78" s="12" t="s">
        <v>65</v>
      </c>
      <c r="E78" s="12" t="s">
        <v>65</v>
      </c>
      <c r="F78" s="2" t="n">
        <v>0</v>
      </c>
    </row>
    <row r="79" customFormat="false" ht="15" hidden="false" customHeight="false" outlineLevel="0" collapsed="false">
      <c r="A79" s="2" t="n">
        <v>4</v>
      </c>
      <c r="B79" s="2" t="s">
        <v>145</v>
      </c>
      <c r="C79" s="2" t="s">
        <v>64</v>
      </c>
      <c r="D79" s="12" t="s">
        <v>65</v>
      </c>
      <c r="E79" s="12" t="s">
        <v>65</v>
      </c>
      <c r="F79" s="2" t="n">
        <v>0</v>
      </c>
    </row>
    <row r="80" customFormat="false" ht="15" hidden="false" customHeight="false" outlineLevel="0" collapsed="false">
      <c r="A80" s="2" t="n">
        <v>4</v>
      </c>
      <c r="B80" s="2" t="s">
        <v>67</v>
      </c>
      <c r="C80" s="2" t="s">
        <v>64</v>
      </c>
      <c r="D80" s="12" t="s">
        <v>65</v>
      </c>
      <c r="E80" s="12" t="s">
        <v>65</v>
      </c>
      <c r="F80" s="2" t="n">
        <v>0</v>
      </c>
    </row>
    <row r="81" customFormat="false" ht="15" hidden="false" customHeight="false" outlineLevel="0" collapsed="false">
      <c r="A81" s="2" t="n">
        <v>4</v>
      </c>
      <c r="B81" s="2" t="s">
        <v>143</v>
      </c>
      <c r="C81" s="2" t="s">
        <v>64</v>
      </c>
      <c r="D81" s="12" t="s">
        <v>65</v>
      </c>
      <c r="E81" s="12" t="s">
        <v>65</v>
      </c>
      <c r="F81" s="2" t="n">
        <v>0</v>
      </c>
    </row>
    <row r="82" customFormat="false" ht="16.4" hidden="false" customHeight="false" outlineLevel="0" collapsed="false">
      <c r="A82" s="2" t="n">
        <v>5</v>
      </c>
      <c r="B82" s="2" t="s">
        <v>179</v>
      </c>
      <c r="C82" s="2" t="s">
        <v>45</v>
      </c>
      <c r="D82" s="12" t="s">
        <v>664</v>
      </c>
      <c r="E82" s="2" t="s">
        <v>180</v>
      </c>
      <c r="F82" s="2" t="n">
        <v>2</v>
      </c>
    </row>
    <row r="83" customFormat="false" ht="16.4" hidden="false" customHeight="false" outlineLevel="0" collapsed="false">
      <c r="A83" s="2" t="n">
        <v>5</v>
      </c>
      <c r="B83" s="2" t="s">
        <v>159</v>
      </c>
      <c r="C83" s="2" t="s">
        <v>45</v>
      </c>
      <c r="D83" s="12" t="s">
        <v>665</v>
      </c>
      <c r="E83" s="2" t="s">
        <v>159</v>
      </c>
      <c r="F83" s="2" t="n">
        <v>91</v>
      </c>
    </row>
    <row r="84" customFormat="false" ht="16.4" hidden="false" customHeight="false" outlineLevel="0" collapsed="false">
      <c r="A84" s="2" t="n">
        <v>5</v>
      </c>
      <c r="B84" s="2" t="s">
        <v>174</v>
      </c>
      <c r="C84" s="2" t="s">
        <v>45</v>
      </c>
      <c r="D84" s="12" t="s">
        <v>666</v>
      </c>
      <c r="E84" s="2" t="s">
        <v>174</v>
      </c>
      <c r="F84" s="2" t="n">
        <v>90</v>
      </c>
    </row>
    <row r="85" customFormat="false" ht="16.4" hidden="false" customHeight="false" outlineLevel="0" collapsed="false">
      <c r="A85" s="2" t="n">
        <v>5</v>
      </c>
      <c r="B85" s="2" t="s">
        <v>178</v>
      </c>
      <c r="C85" s="2" t="s">
        <v>45</v>
      </c>
      <c r="D85" s="12" t="s">
        <v>667</v>
      </c>
      <c r="E85" s="2" t="s">
        <v>178</v>
      </c>
      <c r="F85" s="2" t="n">
        <v>91</v>
      </c>
    </row>
    <row r="86" customFormat="false" ht="16.4" hidden="false" customHeight="false" outlineLevel="0" collapsed="false">
      <c r="A86" s="2" t="n">
        <v>5</v>
      </c>
      <c r="B86" s="2" t="s">
        <v>186</v>
      </c>
      <c r="C86" s="2" t="s">
        <v>45</v>
      </c>
      <c r="D86" s="12" t="s">
        <v>668</v>
      </c>
      <c r="E86" s="2" t="s">
        <v>187</v>
      </c>
      <c r="F86" s="2" t="n">
        <v>91</v>
      </c>
    </row>
    <row r="87" customFormat="false" ht="16.4" hidden="false" customHeight="false" outlineLevel="0" collapsed="false">
      <c r="A87" s="2" t="n">
        <v>5</v>
      </c>
      <c r="B87" s="2" t="s">
        <v>162</v>
      </c>
      <c r="C87" s="2" t="s">
        <v>45</v>
      </c>
      <c r="D87" s="12" t="s">
        <v>669</v>
      </c>
      <c r="E87" s="2" t="s">
        <v>162</v>
      </c>
      <c r="F87" s="2" t="n">
        <v>35</v>
      </c>
    </row>
    <row r="88" customFormat="false" ht="16.4" hidden="false" customHeight="false" outlineLevel="0" collapsed="false">
      <c r="A88" s="2" t="n">
        <v>5</v>
      </c>
      <c r="B88" s="2" t="s">
        <v>172</v>
      </c>
      <c r="C88" s="2" t="s">
        <v>45</v>
      </c>
      <c r="D88" s="12" t="s">
        <v>670</v>
      </c>
      <c r="E88" s="2" t="s">
        <v>172</v>
      </c>
      <c r="F88" s="2" t="n">
        <v>88</v>
      </c>
    </row>
    <row r="89" customFormat="false" ht="16.4" hidden="false" customHeight="false" outlineLevel="0" collapsed="false">
      <c r="A89" s="2" t="n">
        <v>5</v>
      </c>
      <c r="B89" s="2" t="s">
        <v>183</v>
      </c>
      <c r="C89" s="2" t="s">
        <v>45</v>
      </c>
      <c r="D89" s="12" t="s">
        <v>671</v>
      </c>
      <c r="E89" s="2" t="s">
        <v>183</v>
      </c>
      <c r="F89" s="2" t="n">
        <v>88</v>
      </c>
    </row>
    <row r="90" customFormat="false" ht="16.4" hidden="false" customHeight="false" outlineLevel="0" collapsed="false">
      <c r="A90" s="2" t="n">
        <v>5</v>
      </c>
      <c r="B90" s="2" t="s">
        <v>181</v>
      </c>
      <c r="C90" s="2" t="s">
        <v>45</v>
      </c>
      <c r="D90" s="12" t="s">
        <v>672</v>
      </c>
      <c r="E90" s="2" t="s">
        <v>182</v>
      </c>
      <c r="F90" s="2" t="n">
        <v>86</v>
      </c>
    </row>
    <row r="91" customFormat="false" ht="16.4" hidden="false" customHeight="false" outlineLevel="0" collapsed="false">
      <c r="A91" s="2" t="n">
        <v>5</v>
      </c>
      <c r="B91" s="2" t="s">
        <v>165</v>
      </c>
      <c r="C91" s="2" t="s">
        <v>45</v>
      </c>
      <c r="D91" s="12" t="s">
        <v>673</v>
      </c>
      <c r="E91" s="2" t="s">
        <v>166</v>
      </c>
      <c r="F91" s="2" t="n">
        <v>92</v>
      </c>
    </row>
    <row r="92" customFormat="false" ht="16.4" hidden="false" customHeight="false" outlineLevel="0" collapsed="false">
      <c r="A92" s="2" t="n">
        <v>5</v>
      </c>
      <c r="B92" s="2" t="s">
        <v>170</v>
      </c>
      <c r="C92" s="2" t="s">
        <v>45</v>
      </c>
      <c r="D92" s="12" t="s">
        <v>674</v>
      </c>
      <c r="E92" s="2" t="s">
        <v>171</v>
      </c>
      <c r="F92" s="2" t="n">
        <v>93</v>
      </c>
    </row>
    <row r="93" customFormat="false" ht="16.4" hidden="false" customHeight="false" outlineLevel="0" collapsed="false">
      <c r="A93" s="2" t="n">
        <v>5</v>
      </c>
      <c r="B93" s="2" t="s">
        <v>163</v>
      </c>
      <c r="C93" s="2" t="s">
        <v>45</v>
      </c>
      <c r="D93" s="12" t="s">
        <v>675</v>
      </c>
      <c r="E93" s="2" t="s">
        <v>164</v>
      </c>
      <c r="F93" s="2" t="n">
        <v>90</v>
      </c>
    </row>
    <row r="94" customFormat="false" ht="16.4" hidden="false" customHeight="false" outlineLevel="0" collapsed="false">
      <c r="A94" s="2" t="n">
        <v>5</v>
      </c>
      <c r="B94" s="2" t="s">
        <v>191</v>
      </c>
      <c r="C94" s="2" t="s">
        <v>45</v>
      </c>
      <c r="D94" s="12" t="s">
        <v>676</v>
      </c>
      <c r="E94" s="2" t="s">
        <v>191</v>
      </c>
      <c r="F94" s="2" t="n">
        <v>12</v>
      </c>
    </row>
    <row r="95" customFormat="false" ht="16.4" hidden="false" customHeight="false" outlineLevel="0" collapsed="false">
      <c r="A95" s="2" t="n">
        <v>5</v>
      </c>
      <c r="B95" s="2" t="s">
        <v>176</v>
      </c>
      <c r="C95" s="2" t="s">
        <v>45</v>
      </c>
      <c r="D95" s="12" t="s">
        <v>677</v>
      </c>
      <c r="E95" s="2" t="s">
        <v>176</v>
      </c>
      <c r="F95" s="2" t="n">
        <v>90</v>
      </c>
    </row>
    <row r="96" customFormat="false" ht="16.4" hidden="false" customHeight="false" outlineLevel="0" collapsed="false">
      <c r="A96" s="2" t="n">
        <v>5</v>
      </c>
      <c r="B96" s="2" t="s">
        <v>161</v>
      </c>
      <c r="C96" s="2" t="s">
        <v>106</v>
      </c>
      <c r="D96" s="12" t="s">
        <v>678</v>
      </c>
      <c r="E96" s="2" t="s">
        <v>160</v>
      </c>
      <c r="F96" s="2" t="n">
        <v>86</v>
      </c>
    </row>
    <row r="97" customFormat="false" ht="16.4" hidden="false" customHeight="false" outlineLevel="0" collapsed="false">
      <c r="A97" s="2" t="n">
        <v>5</v>
      </c>
      <c r="B97" s="2" t="s">
        <v>160</v>
      </c>
      <c r="C97" s="2" t="s">
        <v>45</v>
      </c>
      <c r="D97" s="12" t="s">
        <v>678</v>
      </c>
      <c r="E97" s="2" t="s">
        <v>160</v>
      </c>
      <c r="F97" s="2" t="n">
        <v>86</v>
      </c>
    </row>
    <row r="98" customFormat="false" ht="16.4" hidden="false" customHeight="false" outlineLevel="0" collapsed="false">
      <c r="A98" s="2" t="n">
        <v>5</v>
      </c>
      <c r="B98" s="2" t="s">
        <v>168</v>
      </c>
      <c r="C98" s="2" t="s">
        <v>54</v>
      </c>
      <c r="D98" s="12" t="s">
        <v>679</v>
      </c>
      <c r="E98" s="2" t="s">
        <v>168</v>
      </c>
      <c r="F98" s="2" t="n">
        <v>90</v>
      </c>
    </row>
    <row r="99" customFormat="false" ht="16.4" hidden="false" customHeight="false" outlineLevel="0" collapsed="false">
      <c r="A99" s="2" t="n">
        <v>5</v>
      </c>
      <c r="B99" s="2" t="s">
        <v>177</v>
      </c>
      <c r="C99" s="2" t="s">
        <v>45</v>
      </c>
      <c r="D99" s="12" t="s">
        <v>680</v>
      </c>
      <c r="E99" s="2" t="s">
        <v>177</v>
      </c>
      <c r="F99" s="2" t="n">
        <v>90</v>
      </c>
    </row>
    <row r="100" customFormat="false" ht="16.4" hidden="false" customHeight="false" outlineLevel="0" collapsed="false">
      <c r="A100" s="2" t="n">
        <v>5</v>
      </c>
      <c r="B100" s="2" t="s">
        <v>175</v>
      </c>
      <c r="C100" s="2" t="s">
        <v>45</v>
      </c>
      <c r="D100" s="12" t="s">
        <v>681</v>
      </c>
      <c r="E100" s="2" t="s">
        <v>175</v>
      </c>
      <c r="F100" s="2" t="n">
        <v>92</v>
      </c>
    </row>
    <row r="101" customFormat="false" ht="16.4" hidden="false" customHeight="false" outlineLevel="0" collapsed="false">
      <c r="A101" s="2" t="n">
        <v>5</v>
      </c>
      <c r="B101" s="2" t="s">
        <v>188</v>
      </c>
      <c r="C101" s="2" t="s">
        <v>45</v>
      </c>
      <c r="D101" s="12" t="s">
        <v>682</v>
      </c>
      <c r="E101" s="2" t="s">
        <v>189</v>
      </c>
      <c r="F101" s="2" t="n">
        <v>83</v>
      </c>
    </row>
    <row r="102" customFormat="false" ht="16.4" hidden="false" customHeight="false" outlineLevel="0" collapsed="false">
      <c r="A102" s="2" t="n">
        <v>5</v>
      </c>
      <c r="B102" s="2" t="s">
        <v>76</v>
      </c>
      <c r="C102" s="2" t="s">
        <v>54</v>
      </c>
      <c r="D102" s="12" t="s">
        <v>683</v>
      </c>
      <c r="E102" s="2" t="s">
        <v>76</v>
      </c>
      <c r="F102" s="2" t="n">
        <v>89</v>
      </c>
    </row>
    <row r="103" customFormat="false" ht="16.4" hidden="false" customHeight="false" outlineLevel="0" collapsed="false">
      <c r="A103" s="2" t="n">
        <v>5</v>
      </c>
      <c r="B103" s="2" t="s">
        <v>173</v>
      </c>
      <c r="C103" s="2" t="s">
        <v>54</v>
      </c>
      <c r="D103" s="12" t="s">
        <v>684</v>
      </c>
      <c r="E103" s="2" t="s">
        <v>173</v>
      </c>
      <c r="F103" s="2" t="n">
        <v>87</v>
      </c>
    </row>
    <row r="104" customFormat="false" ht="16.4" hidden="false" customHeight="false" outlineLevel="0" collapsed="false">
      <c r="A104" s="2" t="n">
        <v>5</v>
      </c>
      <c r="B104" s="2" t="s">
        <v>167</v>
      </c>
      <c r="C104" s="2" t="s">
        <v>54</v>
      </c>
      <c r="D104" s="12" t="s">
        <v>685</v>
      </c>
      <c r="E104" s="2" t="s">
        <v>167</v>
      </c>
      <c r="F104" s="2" t="n">
        <v>86</v>
      </c>
    </row>
    <row r="105" customFormat="false" ht="16.4" hidden="false" customHeight="false" outlineLevel="0" collapsed="false">
      <c r="A105" s="2" t="n">
        <v>5</v>
      </c>
      <c r="B105" s="2" t="s">
        <v>184</v>
      </c>
      <c r="C105" s="2" t="s">
        <v>45</v>
      </c>
      <c r="D105" s="12" t="s">
        <v>686</v>
      </c>
      <c r="E105" s="2" t="s">
        <v>185</v>
      </c>
      <c r="F105" s="2" t="n">
        <v>23</v>
      </c>
    </row>
    <row r="106" customFormat="false" ht="16.4" hidden="false" customHeight="false" outlineLevel="0" collapsed="false">
      <c r="A106" s="2" t="n">
        <v>5</v>
      </c>
      <c r="B106" s="2" t="s">
        <v>131</v>
      </c>
      <c r="C106" s="2" t="s">
        <v>54</v>
      </c>
      <c r="D106" s="12" t="s">
        <v>687</v>
      </c>
      <c r="E106" s="2" t="s">
        <v>131</v>
      </c>
      <c r="F106" s="2" t="n">
        <v>90</v>
      </c>
    </row>
    <row r="107" customFormat="false" ht="16.4" hidden="false" customHeight="false" outlineLevel="0" collapsed="false">
      <c r="A107" s="2" t="n">
        <v>5</v>
      </c>
      <c r="B107" s="2" t="s">
        <v>157</v>
      </c>
      <c r="C107" s="2" t="s">
        <v>54</v>
      </c>
      <c r="D107" s="12" t="s">
        <v>636</v>
      </c>
      <c r="E107" s="2" t="s">
        <v>99</v>
      </c>
      <c r="F107" s="2" t="n">
        <v>90</v>
      </c>
    </row>
    <row r="108" customFormat="false" ht="16.4" hidden="false" customHeight="false" outlineLevel="0" collapsed="false">
      <c r="A108" s="2" t="n">
        <v>5</v>
      </c>
      <c r="B108" s="2" t="s">
        <v>158</v>
      </c>
      <c r="C108" s="2" t="s">
        <v>54</v>
      </c>
      <c r="D108" s="12" t="s">
        <v>636</v>
      </c>
      <c r="E108" s="2" t="s">
        <v>99</v>
      </c>
      <c r="F108" s="2" t="n">
        <v>90</v>
      </c>
    </row>
    <row r="109" customFormat="false" ht="16.4" hidden="false" customHeight="false" outlineLevel="0" collapsed="false">
      <c r="A109" s="2" t="n">
        <v>5</v>
      </c>
      <c r="B109" s="2" t="s">
        <v>190</v>
      </c>
      <c r="C109" s="2" t="s">
        <v>45</v>
      </c>
      <c r="D109" s="12" t="s">
        <v>688</v>
      </c>
      <c r="E109" s="2" t="s">
        <v>190</v>
      </c>
      <c r="F109" s="2" t="n">
        <v>70</v>
      </c>
    </row>
    <row r="110" customFormat="false" ht="16.4" hidden="false" customHeight="false" outlineLevel="0" collapsed="false">
      <c r="A110" s="2" t="n">
        <v>5</v>
      </c>
      <c r="B110" s="2" t="s">
        <v>67</v>
      </c>
      <c r="C110" s="2" t="s">
        <v>54</v>
      </c>
      <c r="D110" s="12" t="s">
        <v>689</v>
      </c>
      <c r="E110" s="2" t="s">
        <v>169</v>
      </c>
      <c r="F110" s="2" t="n">
        <v>91</v>
      </c>
    </row>
    <row r="111" customFormat="false" ht="16.4" hidden="false" customHeight="false" outlineLevel="0" collapsed="false">
      <c r="A111" s="2" t="n">
        <v>6</v>
      </c>
      <c r="B111" s="2" t="s">
        <v>196</v>
      </c>
      <c r="C111" s="2" t="s">
        <v>45</v>
      </c>
      <c r="D111" s="12" t="s">
        <v>690</v>
      </c>
      <c r="E111" s="2" t="s">
        <v>196</v>
      </c>
      <c r="F111" s="2" t="n">
        <v>94</v>
      </c>
    </row>
    <row r="112" customFormat="false" ht="16.4" hidden="false" customHeight="false" outlineLevel="0" collapsed="false">
      <c r="A112" s="2" t="n">
        <v>6</v>
      </c>
      <c r="B112" s="2" t="s">
        <v>207</v>
      </c>
      <c r="C112" s="2" t="s">
        <v>45</v>
      </c>
      <c r="D112" s="12" t="s">
        <v>691</v>
      </c>
      <c r="E112" s="2" t="s">
        <v>207</v>
      </c>
      <c r="F112" s="2" t="n">
        <v>92</v>
      </c>
    </row>
    <row r="113" customFormat="false" ht="16.4" hidden="false" customHeight="false" outlineLevel="0" collapsed="false">
      <c r="A113" s="2" t="n">
        <v>6</v>
      </c>
      <c r="B113" s="2" t="s">
        <v>205</v>
      </c>
      <c r="C113" s="2" t="s">
        <v>45</v>
      </c>
      <c r="D113" s="12" t="s">
        <v>692</v>
      </c>
      <c r="E113" s="2" t="s">
        <v>206</v>
      </c>
      <c r="F113" s="2" t="n">
        <v>84</v>
      </c>
    </row>
    <row r="114" customFormat="false" ht="16.4" hidden="false" customHeight="false" outlineLevel="0" collapsed="false">
      <c r="A114" s="2" t="n">
        <v>6</v>
      </c>
      <c r="B114" s="2" t="s">
        <v>210</v>
      </c>
      <c r="C114" s="2" t="s">
        <v>45</v>
      </c>
      <c r="D114" s="12" t="s">
        <v>693</v>
      </c>
      <c r="E114" s="2" t="s">
        <v>211</v>
      </c>
      <c r="F114" s="2" t="n">
        <v>89</v>
      </c>
    </row>
    <row r="115" customFormat="false" ht="16.4" hidden="false" customHeight="false" outlineLevel="0" collapsed="false">
      <c r="A115" s="2" t="n">
        <v>6</v>
      </c>
      <c r="B115" s="2" t="s">
        <v>198</v>
      </c>
      <c r="C115" s="2" t="s">
        <v>45</v>
      </c>
      <c r="D115" s="12" t="s">
        <v>694</v>
      </c>
      <c r="E115" s="2" t="s">
        <v>198</v>
      </c>
      <c r="F115" s="2" t="n">
        <v>90</v>
      </c>
    </row>
    <row r="116" customFormat="false" ht="15" hidden="false" customHeight="false" outlineLevel="0" collapsed="false">
      <c r="A116" s="2" t="n">
        <v>6</v>
      </c>
      <c r="B116" s="2" t="s">
        <v>200</v>
      </c>
      <c r="C116" s="2" t="s">
        <v>64</v>
      </c>
      <c r="D116" s="12" t="s">
        <v>65</v>
      </c>
      <c r="E116" s="12" t="s">
        <v>65</v>
      </c>
      <c r="F116" s="2" t="n">
        <v>0</v>
      </c>
    </row>
    <row r="117" customFormat="false" ht="15" hidden="false" customHeight="false" outlineLevel="0" collapsed="false">
      <c r="A117" s="2" t="n">
        <v>6</v>
      </c>
      <c r="B117" s="2" t="s">
        <v>201</v>
      </c>
      <c r="C117" s="2" t="s">
        <v>64</v>
      </c>
      <c r="D117" s="12" t="s">
        <v>65</v>
      </c>
      <c r="E117" s="12" t="s">
        <v>65</v>
      </c>
      <c r="F117" s="2" t="n">
        <v>0</v>
      </c>
    </row>
    <row r="118" customFormat="false" ht="16.4" hidden="false" customHeight="false" outlineLevel="0" collapsed="false">
      <c r="A118" s="2" t="n">
        <v>6</v>
      </c>
      <c r="B118" s="2" t="s">
        <v>199</v>
      </c>
      <c r="C118" s="2" t="s">
        <v>45</v>
      </c>
      <c r="D118" s="12" t="s">
        <v>695</v>
      </c>
      <c r="E118" s="2" t="s">
        <v>199</v>
      </c>
      <c r="F118" s="2" t="n">
        <v>92</v>
      </c>
    </row>
    <row r="119" customFormat="false" ht="16.4" hidden="false" customHeight="false" outlineLevel="0" collapsed="false">
      <c r="A119" s="2" t="n">
        <v>6</v>
      </c>
      <c r="B119" s="2" t="s">
        <v>202</v>
      </c>
      <c r="C119" s="2" t="s">
        <v>45</v>
      </c>
      <c r="D119" s="12" t="s">
        <v>696</v>
      </c>
      <c r="E119" s="2" t="s">
        <v>202</v>
      </c>
      <c r="F119" s="2" t="n">
        <v>90</v>
      </c>
    </row>
    <row r="120" customFormat="false" ht="16.4" hidden="false" customHeight="false" outlineLevel="0" collapsed="false">
      <c r="A120" s="2" t="n">
        <v>6</v>
      </c>
      <c r="B120" s="2" t="s">
        <v>194</v>
      </c>
      <c r="C120" s="2" t="s">
        <v>45</v>
      </c>
      <c r="D120" s="12" t="s">
        <v>697</v>
      </c>
      <c r="E120" s="2" t="s">
        <v>195</v>
      </c>
      <c r="F120" s="2" t="n">
        <v>90</v>
      </c>
    </row>
    <row r="121" customFormat="false" ht="16.4" hidden="false" customHeight="false" outlineLevel="0" collapsed="false">
      <c r="A121" s="2" t="n">
        <v>6</v>
      </c>
      <c r="B121" s="2" t="s">
        <v>197</v>
      </c>
      <c r="C121" s="2" t="s">
        <v>45</v>
      </c>
      <c r="D121" s="12" t="s">
        <v>698</v>
      </c>
      <c r="E121" s="2" t="s">
        <v>197</v>
      </c>
      <c r="F121" s="2" t="n">
        <v>71</v>
      </c>
    </row>
    <row r="122" customFormat="false" ht="16.4" hidden="false" customHeight="false" outlineLevel="0" collapsed="false">
      <c r="A122" s="2" t="n">
        <v>6</v>
      </c>
      <c r="B122" s="2" t="s">
        <v>208</v>
      </c>
      <c r="C122" s="2" t="s">
        <v>54</v>
      </c>
      <c r="D122" s="12" t="s">
        <v>699</v>
      </c>
      <c r="E122" s="2" t="s">
        <v>209</v>
      </c>
      <c r="F122" s="2" t="n">
        <v>88</v>
      </c>
    </row>
    <row r="123" customFormat="false" ht="16.4" hidden="false" customHeight="false" outlineLevel="0" collapsed="false">
      <c r="A123" s="2" t="n">
        <v>6</v>
      </c>
      <c r="B123" s="2" t="s">
        <v>203</v>
      </c>
      <c r="C123" s="2" t="s">
        <v>54</v>
      </c>
      <c r="D123" s="12" t="s">
        <v>700</v>
      </c>
      <c r="E123" s="2" t="s">
        <v>204</v>
      </c>
      <c r="F123" s="2" t="n">
        <v>86</v>
      </c>
    </row>
    <row r="124" customFormat="false" ht="16.4" hidden="false" customHeight="false" outlineLevel="0" collapsed="false">
      <c r="A124" s="2" t="n">
        <v>6</v>
      </c>
      <c r="B124" s="2" t="s">
        <v>192</v>
      </c>
      <c r="C124" s="2" t="s">
        <v>45</v>
      </c>
      <c r="D124" s="12" t="s">
        <v>701</v>
      </c>
      <c r="E124" s="2" t="s">
        <v>193</v>
      </c>
      <c r="F124" s="2" t="n">
        <v>90</v>
      </c>
    </row>
    <row r="125" customFormat="false" ht="16.4" hidden="false" customHeight="false" outlineLevel="0" collapsed="false">
      <c r="A125" s="2" t="n">
        <v>7</v>
      </c>
      <c r="B125" s="2" t="s">
        <v>231</v>
      </c>
      <c r="C125" s="2" t="s">
        <v>45</v>
      </c>
      <c r="D125" s="12" t="s">
        <v>702</v>
      </c>
      <c r="E125" s="2" t="s">
        <v>231</v>
      </c>
      <c r="F125" s="2" t="n">
        <v>82</v>
      </c>
    </row>
    <row r="126" customFormat="false" ht="16.4" hidden="false" customHeight="false" outlineLevel="0" collapsed="false">
      <c r="A126" s="2" t="n">
        <v>7</v>
      </c>
      <c r="B126" s="2" t="s">
        <v>219</v>
      </c>
      <c r="C126" s="2" t="s">
        <v>54</v>
      </c>
      <c r="D126" s="12" t="s">
        <v>703</v>
      </c>
      <c r="E126" s="2" t="s">
        <v>220</v>
      </c>
      <c r="F126" s="2" t="n">
        <v>63</v>
      </c>
    </row>
    <row r="127" customFormat="false" ht="16.4" hidden="false" customHeight="false" outlineLevel="0" collapsed="false">
      <c r="A127" s="2" t="n">
        <v>7</v>
      </c>
      <c r="B127" s="2" t="s">
        <v>218</v>
      </c>
      <c r="C127" s="2" t="s">
        <v>45</v>
      </c>
      <c r="D127" s="12" t="s">
        <v>704</v>
      </c>
      <c r="E127" s="2" t="s">
        <v>218</v>
      </c>
      <c r="F127" s="2" t="n">
        <v>89</v>
      </c>
    </row>
    <row r="128" customFormat="false" ht="16.4" hidden="false" customHeight="false" outlineLevel="0" collapsed="false">
      <c r="A128" s="2" t="n">
        <v>7</v>
      </c>
      <c r="B128" s="2" t="s">
        <v>225</v>
      </c>
      <c r="C128" s="2" t="s">
        <v>54</v>
      </c>
      <c r="D128" s="12" t="s">
        <v>705</v>
      </c>
      <c r="E128" s="2" t="s">
        <v>226</v>
      </c>
      <c r="F128" s="2" t="n">
        <v>88</v>
      </c>
    </row>
    <row r="129" customFormat="false" ht="16.4" hidden="false" customHeight="false" outlineLevel="0" collapsed="false">
      <c r="A129" s="2" t="n">
        <v>7</v>
      </c>
      <c r="B129" s="2" t="s">
        <v>234</v>
      </c>
      <c r="C129" s="2" t="s">
        <v>45</v>
      </c>
      <c r="D129" s="12" t="s">
        <v>706</v>
      </c>
      <c r="E129" s="2" t="s">
        <v>234</v>
      </c>
      <c r="F129" s="2" t="n">
        <v>90</v>
      </c>
    </row>
    <row r="130" customFormat="false" ht="16.4" hidden="false" customHeight="false" outlineLevel="0" collapsed="false">
      <c r="A130" s="2" t="n">
        <v>7</v>
      </c>
      <c r="B130" s="2" t="s">
        <v>229</v>
      </c>
      <c r="C130" s="2" t="s">
        <v>54</v>
      </c>
      <c r="D130" s="12" t="s">
        <v>707</v>
      </c>
      <c r="E130" s="2" t="s">
        <v>230</v>
      </c>
      <c r="F130" s="2" t="n">
        <v>165</v>
      </c>
    </row>
    <row r="131" customFormat="false" ht="16.4" hidden="false" customHeight="false" outlineLevel="0" collapsed="false">
      <c r="A131" s="2" t="n">
        <v>7</v>
      </c>
      <c r="B131" s="2" t="s">
        <v>216</v>
      </c>
      <c r="C131" s="2" t="s">
        <v>54</v>
      </c>
      <c r="D131" s="12" t="s">
        <v>708</v>
      </c>
      <c r="E131" s="2" t="s">
        <v>217</v>
      </c>
      <c r="F131" s="2" t="n">
        <v>92</v>
      </c>
    </row>
    <row r="132" customFormat="false" ht="15" hidden="false" customHeight="false" outlineLevel="0" collapsed="false">
      <c r="A132" s="2" t="n">
        <v>7</v>
      </c>
      <c r="B132" s="2" t="s">
        <v>224</v>
      </c>
      <c r="C132" s="2" t="s">
        <v>64</v>
      </c>
      <c r="D132" s="12" t="s">
        <v>65</v>
      </c>
      <c r="E132" s="12" t="s">
        <v>65</v>
      </c>
      <c r="F132" s="2" t="n">
        <v>0</v>
      </c>
    </row>
    <row r="133" customFormat="false" ht="16.4" hidden="false" customHeight="false" outlineLevel="0" collapsed="false">
      <c r="A133" s="2" t="n">
        <v>7</v>
      </c>
      <c r="B133" s="2" t="s">
        <v>214</v>
      </c>
      <c r="C133" s="2" t="s">
        <v>54</v>
      </c>
      <c r="D133" s="12" t="s">
        <v>709</v>
      </c>
      <c r="E133" s="2" t="s">
        <v>215</v>
      </c>
      <c r="F133" s="2" t="n">
        <v>93</v>
      </c>
    </row>
    <row r="134" customFormat="false" ht="16.4" hidden="false" customHeight="false" outlineLevel="0" collapsed="false">
      <c r="A134" s="2" t="n">
        <v>7</v>
      </c>
      <c r="B134" s="2" t="s">
        <v>227</v>
      </c>
      <c r="C134" s="2" t="s">
        <v>54</v>
      </c>
      <c r="D134" s="12" t="s">
        <v>710</v>
      </c>
      <c r="E134" s="2" t="s">
        <v>228</v>
      </c>
      <c r="F134" s="2" t="n">
        <v>88</v>
      </c>
    </row>
    <row r="135" customFormat="false" ht="16.4" hidden="false" customHeight="false" outlineLevel="0" collapsed="false">
      <c r="A135" s="2" t="n">
        <v>7</v>
      </c>
      <c r="B135" s="2" t="s">
        <v>221</v>
      </c>
      <c r="C135" s="2" t="s">
        <v>54</v>
      </c>
      <c r="D135" s="12" t="s">
        <v>711</v>
      </c>
      <c r="E135" s="2" t="s">
        <v>222</v>
      </c>
      <c r="F135" s="2" t="n">
        <v>90</v>
      </c>
    </row>
    <row r="136" customFormat="false" ht="16.4" hidden="false" customHeight="false" outlineLevel="0" collapsed="false">
      <c r="A136" s="2" t="n">
        <v>7</v>
      </c>
      <c r="B136" s="2" t="s">
        <v>232</v>
      </c>
      <c r="C136" s="2" t="s">
        <v>45</v>
      </c>
      <c r="D136" s="12" t="s">
        <v>712</v>
      </c>
      <c r="E136" s="2" t="s">
        <v>233</v>
      </c>
      <c r="F136" s="2" t="n">
        <v>86</v>
      </c>
    </row>
    <row r="137" customFormat="false" ht="16.4" hidden="false" customHeight="false" outlineLevel="0" collapsed="false">
      <c r="A137" s="2" t="n">
        <v>7</v>
      </c>
      <c r="B137" s="2" t="s">
        <v>212</v>
      </c>
      <c r="C137" s="2" t="s">
        <v>54</v>
      </c>
      <c r="D137" s="12" t="s">
        <v>713</v>
      </c>
      <c r="E137" s="2" t="s">
        <v>213</v>
      </c>
      <c r="F137" s="2" t="n">
        <v>94</v>
      </c>
    </row>
    <row r="138" customFormat="false" ht="16.4" hidden="false" customHeight="false" outlineLevel="0" collapsed="false">
      <c r="A138" s="2" t="n">
        <v>7</v>
      </c>
      <c r="B138" s="2" t="s">
        <v>223</v>
      </c>
      <c r="C138" s="2" t="s">
        <v>45</v>
      </c>
      <c r="D138" s="12" t="s">
        <v>714</v>
      </c>
      <c r="E138" s="2" t="s">
        <v>223</v>
      </c>
      <c r="F138" s="2" t="n">
        <v>89</v>
      </c>
    </row>
    <row r="139" customFormat="false" ht="16.4" hidden="false" customHeight="false" outlineLevel="0" collapsed="false">
      <c r="A139" s="2" t="n">
        <v>8</v>
      </c>
      <c r="B139" s="2" t="s">
        <v>247</v>
      </c>
      <c r="C139" s="2" t="s">
        <v>45</v>
      </c>
      <c r="D139" s="12" t="s">
        <v>715</v>
      </c>
      <c r="E139" s="2" t="s">
        <v>247</v>
      </c>
      <c r="F139" s="2" t="n">
        <v>84</v>
      </c>
    </row>
    <row r="140" customFormat="false" ht="16.4" hidden="false" customHeight="false" outlineLevel="0" collapsed="false">
      <c r="A140" s="2" t="n">
        <v>8</v>
      </c>
      <c r="B140" s="2" t="s">
        <v>239</v>
      </c>
      <c r="C140" s="2" t="s">
        <v>54</v>
      </c>
      <c r="D140" s="12" t="s">
        <v>716</v>
      </c>
      <c r="E140" s="2" t="s">
        <v>240</v>
      </c>
      <c r="F140" s="2" t="n">
        <v>174</v>
      </c>
    </row>
    <row r="141" customFormat="false" ht="16.4" hidden="false" customHeight="false" outlineLevel="0" collapsed="false">
      <c r="A141" s="2" t="n">
        <v>8</v>
      </c>
      <c r="B141" s="2" t="s">
        <v>238</v>
      </c>
      <c r="C141" s="2" t="s">
        <v>45</v>
      </c>
      <c r="D141" s="12" t="s">
        <v>717</v>
      </c>
      <c r="E141" s="2" t="s">
        <v>238</v>
      </c>
      <c r="F141" s="2" t="n">
        <v>90</v>
      </c>
    </row>
    <row r="142" customFormat="false" ht="16.4" hidden="false" customHeight="false" outlineLevel="0" collapsed="false">
      <c r="A142" s="2" t="n">
        <v>8</v>
      </c>
      <c r="B142" s="2" t="s">
        <v>243</v>
      </c>
      <c r="C142" s="2" t="s">
        <v>45</v>
      </c>
      <c r="D142" s="12" t="s">
        <v>718</v>
      </c>
      <c r="E142" s="2" t="s">
        <v>243</v>
      </c>
      <c r="F142" s="2" t="n">
        <v>91</v>
      </c>
    </row>
    <row r="143" customFormat="false" ht="16.4" hidden="false" customHeight="false" outlineLevel="0" collapsed="false">
      <c r="A143" s="2" t="n">
        <v>8</v>
      </c>
      <c r="B143" s="2" t="s">
        <v>237</v>
      </c>
      <c r="C143" s="2" t="s">
        <v>45</v>
      </c>
      <c r="D143" s="12" t="s">
        <v>719</v>
      </c>
      <c r="E143" s="2" t="s">
        <v>237</v>
      </c>
      <c r="F143" s="2" t="n">
        <v>89</v>
      </c>
    </row>
    <row r="144" customFormat="false" ht="16.4" hidden="false" customHeight="false" outlineLevel="0" collapsed="false">
      <c r="A144" s="2" t="n">
        <v>8</v>
      </c>
      <c r="B144" s="2" t="s">
        <v>244</v>
      </c>
      <c r="C144" s="2" t="s">
        <v>54</v>
      </c>
      <c r="D144" s="12" t="s">
        <v>720</v>
      </c>
      <c r="E144" s="2" t="s">
        <v>245</v>
      </c>
      <c r="F144" s="2" t="n">
        <v>86</v>
      </c>
    </row>
    <row r="145" customFormat="false" ht="16.4" hidden="false" customHeight="false" outlineLevel="0" collapsed="false">
      <c r="A145" s="2" t="n">
        <v>8</v>
      </c>
      <c r="B145" s="2" t="s">
        <v>246</v>
      </c>
      <c r="C145" s="2" t="s">
        <v>54</v>
      </c>
      <c r="D145" s="12" t="s">
        <v>720</v>
      </c>
      <c r="E145" s="2" t="s">
        <v>245</v>
      </c>
      <c r="F145" s="2" t="n">
        <v>86</v>
      </c>
    </row>
    <row r="146" customFormat="false" ht="16.4" hidden="false" customHeight="false" outlineLevel="0" collapsed="false">
      <c r="A146" s="2" t="n">
        <v>8</v>
      </c>
      <c r="B146" s="2" t="s">
        <v>241</v>
      </c>
      <c r="C146" s="2" t="s">
        <v>45</v>
      </c>
      <c r="D146" s="12" t="s">
        <v>721</v>
      </c>
      <c r="E146" s="2" t="s">
        <v>241</v>
      </c>
      <c r="F146" s="2" t="n">
        <v>86</v>
      </c>
    </row>
    <row r="147" customFormat="false" ht="16.4" hidden="false" customHeight="false" outlineLevel="0" collapsed="false">
      <c r="A147" s="2" t="n">
        <v>8</v>
      </c>
      <c r="B147" s="2" t="s">
        <v>236</v>
      </c>
      <c r="C147" s="2" t="s">
        <v>45</v>
      </c>
      <c r="D147" s="12" t="s">
        <v>722</v>
      </c>
      <c r="E147" s="2" t="s">
        <v>236</v>
      </c>
      <c r="F147" s="2" t="n">
        <v>91</v>
      </c>
    </row>
    <row r="148" customFormat="false" ht="16.4" hidden="false" customHeight="false" outlineLevel="0" collapsed="false">
      <c r="A148" s="2" t="n">
        <v>8</v>
      </c>
      <c r="B148" s="2" t="s">
        <v>139</v>
      </c>
      <c r="C148" s="2" t="s">
        <v>45</v>
      </c>
      <c r="D148" s="12" t="s">
        <v>662</v>
      </c>
      <c r="E148" s="2" t="s">
        <v>139</v>
      </c>
      <c r="F148" s="2" t="n">
        <v>92</v>
      </c>
    </row>
    <row r="149" customFormat="false" ht="16.4" hidden="false" customHeight="false" outlineLevel="0" collapsed="false">
      <c r="A149" s="2" t="n">
        <v>8</v>
      </c>
      <c r="B149" s="2" t="s">
        <v>235</v>
      </c>
      <c r="C149" s="2" t="s">
        <v>45</v>
      </c>
      <c r="D149" s="12" t="s">
        <v>723</v>
      </c>
      <c r="E149" s="2" t="s">
        <v>235</v>
      </c>
      <c r="F149" s="2" t="n">
        <v>92</v>
      </c>
    </row>
    <row r="150" customFormat="false" ht="16.4" hidden="false" customHeight="false" outlineLevel="0" collapsed="false">
      <c r="A150" s="2" t="n">
        <v>8</v>
      </c>
      <c r="B150" s="2" t="s">
        <v>248</v>
      </c>
      <c r="C150" s="2" t="s">
        <v>45</v>
      </c>
      <c r="D150" s="12" t="s">
        <v>724</v>
      </c>
      <c r="E150" s="2" t="s">
        <v>248</v>
      </c>
      <c r="F150" s="2" t="n">
        <v>86</v>
      </c>
    </row>
    <row r="151" customFormat="false" ht="16.4" hidden="false" customHeight="false" outlineLevel="0" collapsed="false">
      <c r="A151" s="2" t="n">
        <v>8</v>
      </c>
      <c r="B151" s="2" t="s">
        <v>242</v>
      </c>
      <c r="C151" s="2" t="s">
        <v>45</v>
      </c>
      <c r="D151" s="12" t="s">
        <v>725</v>
      </c>
      <c r="E151" s="2" t="s">
        <v>242</v>
      </c>
      <c r="F151" s="2" t="n">
        <v>91</v>
      </c>
    </row>
    <row r="152" customFormat="false" ht="16.4" hidden="false" customHeight="false" outlineLevel="0" collapsed="false">
      <c r="A152" s="2" t="n">
        <v>9</v>
      </c>
      <c r="B152" s="2" t="s">
        <v>256</v>
      </c>
      <c r="C152" s="2" t="s">
        <v>45</v>
      </c>
      <c r="D152" s="12" t="s">
        <v>726</v>
      </c>
      <c r="E152" s="2" t="s">
        <v>256</v>
      </c>
      <c r="F152" s="2" t="n">
        <v>82</v>
      </c>
    </row>
    <row r="153" customFormat="false" ht="15" hidden="false" customHeight="false" outlineLevel="0" collapsed="false">
      <c r="A153" s="2" t="n">
        <v>9</v>
      </c>
      <c r="B153" s="2" t="s">
        <v>253</v>
      </c>
      <c r="C153" s="2" t="s">
        <v>64</v>
      </c>
      <c r="D153" s="12" t="s">
        <v>65</v>
      </c>
      <c r="E153" s="12" t="s">
        <v>65</v>
      </c>
      <c r="F153" s="2" t="n">
        <v>0</v>
      </c>
    </row>
    <row r="154" customFormat="false" ht="16.4" hidden="false" customHeight="false" outlineLevel="0" collapsed="false">
      <c r="A154" s="2" t="n">
        <v>9</v>
      </c>
      <c r="B154" s="2" t="s">
        <v>250</v>
      </c>
      <c r="C154" s="2" t="s">
        <v>45</v>
      </c>
      <c r="D154" s="12" t="s">
        <v>727</v>
      </c>
      <c r="E154" s="2" t="s">
        <v>250</v>
      </c>
      <c r="F154" s="2" t="n">
        <v>92</v>
      </c>
    </row>
    <row r="155" customFormat="false" ht="16.4" hidden="false" customHeight="false" outlineLevel="0" collapsed="false">
      <c r="A155" s="2" t="n">
        <v>9</v>
      </c>
      <c r="B155" s="2" t="s">
        <v>251</v>
      </c>
      <c r="C155" s="2" t="s">
        <v>45</v>
      </c>
      <c r="D155" s="12" t="s">
        <v>728</v>
      </c>
      <c r="E155" s="2" t="s">
        <v>251</v>
      </c>
      <c r="F155" s="2" t="n">
        <v>87</v>
      </c>
    </row>
    <row r="156" customFormat="false" ht="15" hidden="false" customHeight="false" outlineLevel="0" collapsed="false">
      <c r="A156" s="2" t="n">
        <v>9</v>
      </c>
      <c r="B156" s="2" t="s">
        <v>252</v>
      </c>
      <c r="C156" s="2" t="s">
        <v>64</v>
      </c>
      <c r="D156" s="12" t="s">
        <v>65</v>
      </c>
      <c r="E156" s="12" t="s">
        <v>65</v>
      </c>
      <c r="F156" s="2" t="n">
        <v>0</v>
      </c>
    </row>
    <row r="157" customFormat="false" ht="16.4" hidden="false" customHeight="false" outlineLevel="0" collapsed="false">
      <c r="A157" s="2" t="n">
        <v>9</v>
      </c>
      <c r="B157" s="2" t="s">
        <v>255</v>
      </c>
      <c r="C157" s="2" t="s">
        <v>45</v>
      </c>
      <c r="D157" s="12" t="s">
        <v>729</v>
      </c>
      <c r="E157" s="2" t="s">
        <v>255</v>
      </c>
      <c r="F157" s="2" t="n">
        <v>89</v>
      </c>
    </row>
    <row r="158" customFormat="false" ht="16.4" hidden="false" customHeight="false" outlineLevel="0" collapsed="false">
      <c r="A158" s="2" t="n">
        <v>9</v>
      </c>
      <c r="B158" s="2" t="s">
        <v>249</v>
      </c>
      <c r="C158" s="2" t="s">
        <v>45</v>
      </c>
      <c r="D158" s="12" t="s">
        <v>730</v>
      </c>
      <c r="E158" s="2" t="s">
        <v>249</v>
      </c>
      <c r="F158" s="2" t="n">
        <v>2</v>
      </c>
    </row>
    <row r="159" customFormat="false" ht="15" hidden="false" customHeight="false" outlineLevel="0" collapsed="false">
      <c r="A159" s="2" t="n">
        <v>9</v>
      </c>
      <c r="B159" s="2" t="s">
        <v>254</v>
      </c>
      <c r="C159" s="2" t="s">
        <v>64</v>
      </c>
      <c r="D159" s="12" t="s">
        <v>65</v>
      </c>
      <c r="E159" s="12" t="s">
        <v>65</v>
      </c>
      <c r="F159" s="2" t="n">
        <v>0</v>
      </c>
    </row>
    <row r="160" customFormat="false" ht="16.4" hidden="false" customHeight="false" outlineLevel="0" collapsed="false">
      <c r="A160" s="2" t="n">
        <v>9</v>
      </c>
      <c r="B160" s="2" t="s">
        <v>257</v>
      </c>
      <c r="C160" s="2" t="s">
        <v>45</v>
      </c>
      <c r="D160" s="12" t="s">
        <v>731</v>
      </c>
      <c r="E160" s="2" t="s">
        <v>257</v>
      </c>
      <c r="F160" s="2" t="n">
        <v>78</v>
      </c>
    </row>
    <row r="161" customFormat="false" ht="16.4" hidden="false" customHeight="false" outlineLevel="0" collapsed="false">
      <c r="A161" s="2" t="n">
        <v>10</v>
      </c>
      <c r="B161" s="2" t="s">
        <v>269</v>
      </c>
      <c r="C161" s="2" t="s">
        <v>45</v>
      </c>
      <c r="D161" s="12" t="s">
        <v>732</v>
      </c>
      <c r="E161" s="2" t="s">
        <v>269</v>
      </c>
      <c r="F161" s="2" t="n">
        <v>85</v>
      </c>
    </row>
    <row r="162" customFormat="false" ht="16.4" hidden="false" customHeight="false" outlineLevel="0" collapsed="false">
      <c r="A162" s="2" t="n">
        <v>10</v>
      </c>
      <c r="B162" s="2" t="s">
        <v>258</v>
      </c>
      <c r="C162" s="2" t="s">
        <v>45</v>
      </c>
      <c r="D162" s="12" t="s">
        <v>733</v>
      </c>
      <c r="E162" s="2" t="s">
        <v>258</v>
      </c>
      <c r="F162" s="2" t="n">
        <v>92</v>
      </c>
    </row>
    <row r="163" customFormat="false" ht="16.4" hidden="false" customHeight="false" outlineLevel="0" collapsed="false">
      <c r="A163" s="2" t="n">
        <v>10</v>
      </c>
      <c r="B163" s="2" t="s">
        <v>260</v>
      </c>
      <c r="C163" s="2" t="s">
        <v>45</v>
      </c>
      <c r="D163" s="12" t="s">
        <v>734</v>
      </c>
      <c r="E163" s="2" t="s">
        <v>260</v>
      </c>
      <c r="F163" s="2" t="n">
        <v>88</v>
      </c>
    </row>
    <row r="164" customFormat="false" ht="16.4" hidden="false" customHeight="false" outlineLevel="0" collapsed="false">
      <c r="A164" s="2" t="n">
        <v>10</v>
      </c>
      <c r="B164" s="2" t="s">
        <v>261</v>
      </c>
      <c r="C164" s="2" t="s">
        <v>106</v>
      </c>
      <c r="D164" s="12" t="s">
        <v>734</v>
      </c>
      <c r="E164" s="2" t="s">
        <v>260</v>
      </c>
      <c r="F164" s="2" t="n">
        <v>88</v>
      </c>
    </row>
    <row r="165" customFormat="false" ht="16.4" hidden="false" customHeight="false" outlineLevel="0" collapsed="false">
      <c r="A165" s="2" t="n">
        <v>10</v>
      </c>
      <c r="B165" s="2" t="s">
        <v>265</v>
      </c>
      <c r="C165" s="2" t="s">
        <v>54</v>
      </c>
      <c r="D165" s="12" t="s">
        <v>735</v>
      </c>
      <c r="E165" s="2" t="s">
        <v>266</v>
      </c>
      <c r="F165" s="2" t="n">
        <v>96</v>
      </c>
    </row>
    <row r="166" customFormat="false" ht="16.4" hidden="false" customHeight="false" outlineLevel="0" collapsed="false">
      <c r="A166" s="2" t="n">
        <v>10</v>
      </c>
      <c r="B166" s="2" t="s">
        <v>267</v>
      </c>
      <c r="C166" s="2" t="s">
        <v>54</v>
      </c>
      <c r="D166" s="12" t="s">
        <v>736</v>
      </c>
      <c r="E166" s="2" t="s">
        <v>268</v>
      </c>
      <c r="F166" s="2" t="n">
        <v>94</v>
      </c>
    </row>
    <row r="167" customFormat="false" ht="16.4" hidden="false" customHeight="false" outlineLevel="0" collapsed="false">
      <c r="A167" s="2" t="n">
        <v>10</v>
      </c>
      <c r="B167" s="2" t="s">
        <v>259</v>
      </c>
      <c r="C167" s="2" t="s">
        <v>45</v>
      </c>
      <c r="D167" s="12" t="s">
        <v>737</v>
      </c>
      <c r="E167" s="2" t="s">
        <v>259</v>
      </c>
      <c r="F167" s="2" t="n">
        <v>93</v>
      </c>
    </row>
    <row r="168" customFormat="false" ht="16.4" hidden="false" customHeight="false" outlineLevel="0" collapsed="false">
      <c r="A168" s="2" t="n">
        <v>10</v>
      </c>
      <c r="B168" s="2" t="s">
        <v>264</v>
      </c>
      <c r="C168" s="2" t="s">
        <v>45</v>
      </c>
      <c r="D168" s="12" t="s">
        <v>738</v>
      </c>
      <c r="E168" s="2" t="s">
        <v>264</v>
      </c>
      <c r="F168" s="2" t="n">
        <v>92</v>
      </c>
    </row>
    <row r="169" customFormat="false" ht="15" hidden="false" customHeight="false" outlineLevel="0" collapsed="false">
      <c r="A169" s="2" t="n">
        <v>10</v>
      </c>
      <c r="B169" s="2" t="s">
        <v>262</v>
      </c>
      <c r="C169" s="2" t="s">
        <v>64</v>
      </c>
      <c r="D169" s="12" t="s">
        <v>65</v>
      </c>
      <c r="E169" s="12" t="s">
        <v>65</v>
      </c>
      <c r="F169" s="2" t="n">
        <v>0</v>
      </c>
    </row>
    <row r="170" customFormat="false" ht="15" hidden="false" customHeight="false" outlineLevel="0" collapsed="false">
      <c r="A170" s="2" t="n">
        <v>10</v>
      </c>
      <c r="B170" s="2" t="s">
        <v>263</v>
      </c>
      <c r="C170" s="2" t="s">
        <v>64</v>
      </c>
      <c r="D170" s="12" t="s">
        <v>65</v>
      </c>
      <c r="E170" s="12" t="s">
        <v>65</v>
      </c>
      <c r="F170" s="2" t="n">
        <v>0</v>
      </c>
    </row>
    <row r="171" customFormat="false" ht="15" hidden="false" customHeight="false" outlineLevel="0" collapsed="false">
      <c r="A171" s="2" t="n">
        <v>11</v>
      </c>
      <c r="B171" s="2" t="s">
        <v>279</v>
      </c>
      <c r="C171" s="2" t="s">
        <v>64</v>
      </c>
      <c r="D171" s="12" t="s">
        <v>65</v>
      </c>
      <c r="E171" s="12" t="s">
        <v>65</v>
      </c>
      <c r="F171" s="2" t="n">
        <v>0</v>
      </c>
    </row>
    <row r="172" customFormat="false" ht="16.4" hidden="false" customHeight="false" outlineLevel="0" collapsed="false">
      <c r="A172" s="2" t="n">
        <v>11</v>
      </c>
      <c r="B172" s="2" t="s">
        <v>285</v>
      </c>
      <c r="C172" s="2" t="s">
        <v>45</v>
      </c>
      <c r="D172" s="12" t="s">
        <v>739</v>
      </c>
      <c r="E172" s="2" t="s">
        <v>285</v>
      </c>
      <c r="F172" s="2" t="n">
        <v>89</v>
      </c>
    </row>
    <row r="173" customFormat="false" ht="16.4" hidden="false" customHeight="false" outlineLevel="0" collapsed="false">
      <c r="A173" s="2" t="n">
        <v>11</v>
      </c>
      <c r="B173" s="2" t="s">
        <v>277</v>
      </c>
      <c r="C173" s="2" t="s">
        <v>45</v>
      </c>
      <c r="D173" s="12" t="s">
        <v>740</v>
      </c>
      <c r="E173" s="2" t="s">
        <v>277</v>
      </c>
      <c r="F173" s="2" t="n">
        <v>92</v>
      </c>
    </row>
    <row r="174" customFormat="false" ht="15" hidden="false" customHeight="false" outlineLevel="0" collapsed="false">
      <c r="A174" s="2" t="n">
        <v>11</v>
      </c>
      <c r="B174" s="2" t="s">
        <v>281</v>
      </c>
      <c r="C174" s="2" t="s">
        <v>64</v>
      </c>
      <c r="D174" s="12" t="s">
        <v>65</v>
      </c>
      <c r="E174" s="12" t="s">
        <v>65</v>
      </c>
      <c r="F174" s="2" t="n">
        <v>0</v>
      </c>
    </row>
    <row r="175" customFormat="false" ht="16.4" hidden="false" customHeight="false" outlineLevel="0" collapsed="false">
      <c r="A175" s="2" t="n">
        <v>11</v>
      </c>
      <c r="B175" s="2" t="s">
        <v>273</v>
      </c>
      <c r="C175" s="2" t="s">
        <v>54</v>
      </c>
      <c r="D175" s="12" t="s">
        <v>741</v>
      </c>
      <c r="E175" s="2" t="s">
        <v>274</v>
      </c>
      <c r="F175" s="2" t="n">
        <v>89</v>
      </c>
    </row>
    <row r="176" customFormat="false" ht="16.4" hidden="false" customHeight="false" outlineLevel="0" collapsed="false">
      <c r="A176" s="2" t="n">
        <v>11</v>
      </c>
      <c r="B176" s="2" t="s">
        <v>272</v>
      </c>
      <c r="C176" s="2" t="s">
        <v>45</v>
      </c>
      <c r="D176" s="12" t="s">
        <v>742</v>
      </c>
      <c r="E176" s="2" t="s">
        <v>272</v>
      </c>
      <c r="F176" s="2" t="n">
        <v>90</v>
      </c>
    </row>
    <row r="177" customFormat="false" ht="16.4" hidden="false" customHeight="false" outlineLevel="0" collapsed="false">
      <c r="A177" s="2" t="n">
        <v>11</v>
      </c>
      <c r="B177" s="2" t="s">
        <v>284</v>
      </c>
      <c r="C177" s="2" t="s">
        <v>45</v>
      </c>
      <c r="D177" s="12" t="s">
        <v>743</v>
      </c>
      <c r="E177" s="2" t="s">
        <v>284</v>
      </c>
      <c r="F177" s="2" t="n">
        <v>83</v>
      </c>
    </row>
    <row r="178" customFormat="false" ht="16.4" hidden="false" customHeight="false" outlineLevel="0" collapsed="false">
      <c r="A178" s="2" t="n">
        <v>11</v>
      </c>
      <c r="B178" s="2" t="s">
        <v>275</v>
      </c>
      <c r="C178" s="2" t="s">
        <v>54</v>
      </c>
      <c r="D178" s="12" t="s">
        <v>693</v>
      </c>
      <c r="E178" s="2" t="s">
        <v>211</v>
      </c>
      <c r="F178" s="2" t="n">
        <v>89</v>
      </c>
    </row>
    <row r="179" customFormat="false" ht="16.4" hidden="false" customHeight="false" outlineLevel="0" collapsed="false">
      <c r="A179" s="2" t="n">
        <v>11</v>
      </c>
      <c r="B179" s="2" t="s">
        <v>270</v>
      </c>
      <c r="C179" s="2" t="s">
        <v>45</v>
      </c>
      <c r="D179" s="12" t="s">
        <v>744</v>
      </c>
      <c r="E179" s="2" t="s">
        <v>271</v>
      </c>
      <c r="F179" s="2" t="n">
        <v>81</v>
      </c>
    </row>
    <row r="180" customFormat="false" ht="15" hidden="false" customHeight="false" outlineLevel="0" collapsed="false">
      <c r="A180" s="2" t="n">
        <v>11</v>
      </c>
      <c r="B180" s="2" t="s">
        <v>280</v>
      </c>
      <c r="C180" s="2" t="s">
        <v>64</v>
      </c>
      <c r="D180" s="12" t="s">
        <v>65</v>
      </c>
      <c r="E180" s="12" t="s">
        <v>65</v>
      </c>
      <c r="F180" s="2" t="n">
        <v>0</v>
      </c>
    </row>
    <row r="181" customFormat="false" ht="16.4" hidden="false" customHeight="false" outlineLevel="0" collapsed="false">
      <c r="A181" s="2" t="n">
        <v>11</v>
      </c>
      <c r="B181" s="2" t="s">
        <v>283</v>
      </c>
      <c r="C181" s="2" t="s">
        <v>45</v>
      </c>
      <c r="D181" s="12" t="s">
        <v>745</v>
      </c>
      <c r="E181" s="2" t="s">
        <v>283</v>
      </c>
      <c r="F181" s="2" t="n">
        <v>85</v>
      </c>
    </row>
    <row r="182" customFormat="false" ht="15" hidden="false" customHeight="false" outlineLevel="0" collapsed="false">
      <c r="A182" s="2" t="n">
        <v>11</v>
      </c>
      <c r="B182" s="2" t="s">
        <v>278</v>
      </c>
      <c r="C182" s="2" t="s">
        <v>64</v>
      </c>
      <c r="D182" s="12" t="s">
        <v>65</v>
      </c>
      <c r="E182" s="12" t="s">
        <v>65</v>
      </c>
      <c r="F182" s="2" t="n">
        <v>0</v>
      </c>
    </row>
    <row r="183" customFormat="false" ht="16.4" hidden="false" customHeight="false" outlineLevel="0" collapsed="false">
      <c r="A183" s="2" t="n">
        <v>11</v>
      </c>
      <c r="B183" s="2" t="s">
        <v>286</v>
      </c>
      <c r="C183" s="2" t="s">
        <v>54</v>
      </c>
      <c r="D183" s="12" t="s">
        <v>746</v>
      </c>
      <c r="E183" s="2" t="s">
        <v>287</v>
      </c>
      <c r="F183" s="2" t="n">
        <v>82</v>
      </c>
    </row>
    <row r="184" customFormat="false" ht="16.4" hidden="false" customHeight="false" outlineLevel="0" collapsed="false">
      <c r="A184" s="2" t="n">
        <v>11</v>
      </c>
      <c r="B184" s="2" t="s">
        <v>288</v>
      </c>
      <c r="C184" s="2" t="s">
        <v>45</v>
      </c>
      <c r="D184" s="12" t="s">
        <v>747</v>
      </c>
      <c r="E184" s="2" t="s">
        <v>288</v>
      </c>
      <c r="F184" s="2" t="n">
        <v>69</v>
      </c>
    </row>
    <row r="185" customFormat="false" ht="16.4" hidden="false" customHeight="false" outlineLevel="0" collapsed="false">
      <c r="A185" s="2" t="n">
        <v>11</v>
      </c>
      <c r="B185" s="2" t="s">
        <v>289</v>
      </c>
      <c r="C185" s="2" t="s">
        <v>45</v>
      </c>
      <c r="D185" s="12" t="s">
        <v>748</v>
      </c>
      <c r="E185" s="2" t="s">
        <v>289</v>
      </c>
      <c r="F185" s="2" t="n">
        <v>86</v>
      </c>
    </row>
    <row r="186" customFormat="false" ht="16.4" hidden="false" customHeight="false" outlineLevel="0" collapsed="false">
      <c r="A186" s="2" t="n">
        <v>11</v>
      </c>
      <c r="B186" s="2" t="s">
        <v>276</v>
      </c>
      <c r="C186" s="2" t="s">
        <v>45</v>
      </c>
      <c r="D186" s="12" t="s">
        <v>749</v>
      </c>
      <c r="E186" s="2" t="s">
        <v>276</v>
      </c>
      <c r="F186" s="2" t="n">
        <v>91</v>
      </c>
    </row>
    <row r="187" customFormat="false" ht="15" hidden="false" customHeight="false" outlineLevel="0" collapsed="false">
      <c r="A187" s="2" t="n">
        <v>11</v>
      </c>
      <c r="B187" s="2" t="s">
        <v>282</v>
      </c>
      <c r="C187" s="2" t="s">
        <v>64</v>
      </c>
      <c r="D187" s="12" t="s">
        <v>65</v>
      </c>
      <c r="E187" s="12" t="s">
        <v>65</v>
      </c>
      <c r="F187" s="2" t="n">
        <v>0</v>
      </c>
    </row>
    <row r="188" customFormat="false" ht="16.4" hidden="false" customHeight="false" outlineLevel="0" collapsed="false">
      <c r="A188" s="2" t="n">
        <v>12</v>
      </c>
      <c r="B188" s="2" t="s">
        <v>294</v>
      </c>
      <c r="C188" s="2" t="s">
        <v>54</v>
      </c>
      <c r="D188" s="12" t="s">
        <v>750</v>
      </c>
      <c r="E188" s="2" t="s">
        <v>295</v>
      </c>
      <c r="F188" s="2" t="n">
        <v>72</v>
      </c>
    </row>
    <row r="189" customFormat="false" ht="16.4" hidden="false" customHeight="false" outlineLevel="0" collapsed="false">
      <c r="A189" s="2" t="n">
        <v>12</v>
      </c>
      <c r="B189" s="2" t="s">
        <v>305</v>
      </c>
      <c r="C189" s="2" t="s">
        <v>54</v>
      </c>
      <c r="D189" s="12" t="s">
        <v>751</v>
      </c>
      <c r="E189" s="2" t="s">
        <v>306</v>
      </c>
      <c r="F189" s="2" t="n">
        <v>2</v>
      </c>
    </row>
    <row r="190" customFormat="false" ht="15" hidden="false" customHeight="false" outlineLevel="0" collapsed="false">
      <c r="A190" s="2" t="n">
        <v>12</v>
      </c>
      <c r="B190" s="2" t="s">
        <v>298</v>
      </c>
      <c r="C190" s="2" t="s">
        <v>64</v>
      </c>
      <c r="D190" s="12" t="s">
        <v>65</v>
      </c>
      <c r="E190" s="12" t="s">
        <v>65</v>
      </c>
      <c r="F190" s="2" t="n">
        <v>0</v>
      </c>
    </row>
    <row r="191" customFormat="false" ht="16.4" hidden="false" customHeight="false" outlineLevel="0" collapsed="false">
      <c r="A191" s="2" t="n">
        <v>12</v>
      </c>
      <c r="B191" s="2" t="s">
        <v>291</v>
      </c>
      <c r="C191" s="2" t="s">
        <v>45</v>
      </c>
      <c r="D191" s="12" t="s">
        <v>752</v>
      </c>
      <c r="E191" s="2" t="s">
        <v>291</v>
      </c>
      <c r="F191" s="2" t="n">
        <v>75</v>
      </c>
    </row>
    <row r="192" customFormat="false" ht="16.4" hidden="false" customHeight="false" outlineLevel="0" collapsed="false">
      <c r="A192" s="2" t="n">
        <v>12</v>
      </c>
      <c r="B192" s="2" t="s">
        <v>290</v>
      </c>
      <c r="C192" s="2" t="s">
        <v>45</v>
      </c>
      <c r="D192" s="12" t="s">
        <v>753</v>
      </c>
      <c r="E192" s="2" t="s">
        <v>290</v>
      </c>
      <c r="F192" s="2" t="n">
        <v>3</v>
      </c>
    </row>
    <row r="193" customFormat="false" ht="16.4" hidden="false" customHeight="false" outlineLevel="0" collapsed="false">
      <c r="A193" s="2" t="n">
        <v>12</v>
      </c>
      <c r="B193" s="2" t="s">
        <v>296</v>
      </c>
      <c r="C193" s="2" t="s">
        <v>45</v>
      </c>
      <c r="D193" s="12" t="s">
        <v>754</v>
      </c>
      <c r="E193" s="2" t="s">
        <v>296</v>
      </c>
      <c r="F193" s="2" t="n">
        <v>57</v>
      </c>
    </row>
    <row r="194" customFormat="false" ht="16.4" hidden="false" customHeight="false" outlineLevel="0" collapsed="false">
      <c r="A194" s="2" t="n">
        <v>12</v>
      </c>
      <c r="B194" s="2" t="s">
        <v>292</v>
      </c>
      <c r="C194" s="2" t="s">
        <v>45</v>
      </c>
      <c r="D194" s="12" t="s">
        <v>755</v>
      </c>
      <c r="E194" s="2" t="s">
        <v>292</v>
      </c>
      <c r="F194" s="2" t="n">
        <v>85</v>
      </c>
    </row>
    <row r="195" customFormat="false" ht="16.4" hidden="false" customHeight="false" outlineLevel="0" collapsed="false">
      <c r="A195" s="2" t="n">
        <v>12</v>
      </c>
      <c r="B195" s="2" t="s">
        <v>303</v>
      </c>
      <c r="C195" s="2" t="s">
        <v>45</v>
      </c>
      <c r="D195" s="12" t="s">
        <v>756</v>
      </c>
      <c r="E195" s="2" t="s">
        <v>304</v>
      </c>
      <c r="F195" s="2" t="n">
        <v>67</v>
      </c>
    </row>
    <row r="196" customFormat="false" ht="16.4" hidden="false" customHeight="false" outlineLevel="0" collapsed="false">
      <c r="A196" s="2" t="n">
        <v>12</v>
      </c>
      <c r="B196" s="2" t="s">
        <v>293</v>
      </c>
      <c r="C196" s="2" t="s">
        <v>45</v>
      </c>
      <c r="D196" s="12" t="s">
        <v>757</v>
      </c>
      <c r="E196" s="2" t="s">
        <v>293</v>
      </c>
      <c r="F196" s="2" t="n">
        <v>26</v>
      </c>
    </row>
    <row r="197" customFormat="false" ht="16.4" hidden="false" customHeight="false" outlineLevel="0" collapsed="false">
      <c r="A197" s="2" t="n">
        <v>12</v>
      </c>
      <c r="B197" s="2" t="s">
        <v>299</v>
      </c>
      <c r="C197" s="2" t="s">
        <v>45</v>
      </c>
      <c r="D197" s="12" t="s">
        <v>758</v>
      </c>
      <c r="E197" s="2" t="s">
        <v>299</v>
      </c>
      <c r="F197" s="2" t="n">
        <v>47</v>
      </c>
    </row>
    <row r="198" customFormat="false" ht="16.4" hidden="false" customHeight="false" outlineLevel="0" collapsed="false">
      <c r="A198" s="2" t="n">
        <v>12</v>
      </c>
      <c r="B198" s="2" t="s">
        <v>300</v>
      </c>
      <c r="C198" s="2" t="s">
        <v>54</v>
      </c>
      <c r="D198" s="12" t="s">
        <v>759</v>
      </c>
      <c r="E198" s="2" t="s">
        <v>301</v>
      </c>
      <c r="F198" s="2" t="n">
        <v>71</v>
      </c>
    </row>
    <row r="199" customFormat="false" ht="15" hidden="false" customHeight="false" outlineLevel="0" collapsed="false">
      <c r="A199" s="2" t="n">
        <v>12</v>
      </c>
      <c r="B199" s="2" t="s">
        <v>297</v>
      </c>
      <c r="C199" s="2" t="s">
        <v>64</v>
      </c>
      <c r="D199" s="12" t="s">
        <v>65</v>
      </c>
      <c r="E199" s="12" t="s">
        <v>65</v>
      </c>
      <c r="F199" s="2" t="n">
        <v>0</v>
      </c>
    </row>
    <row r="200" customFormat="false" ht="16.4" hidden="false" customHeight="false" outlineLevel="0" collapsed="false">
      <c r="A200" s="2" t="n">
        <v>12</v>
      </c>
      <c r="B200" s="2" t="s">
        <v>302</v>
      </c>
      <c r="C200" s="2" t="s">
        <v>45</v>
      </c>
      <c r="D200" s="12" t="s">
        <v>760</v>
      </c>
      <c r="E200" s="2" t="s">
        <v>302</v>
      </c>
      <c r="F200" s="2" t="n">
        <v>75</v>
      </c>
    </row>
    <row r="201" customFormat="false" ht="16.4" hidden="false" customHeight="false" outlineLevel="0" collapsed="false">
      <c r="A201" s="2" t="n">
        <v>13</v>
      </c>
      <c r="B201" s="2" t="s">
        <v>310</v>
      </c>
      <c r="C201" s="2" t="s">
        <v>45</v>
      </c>
      <c r="D201" s="12" t="s">
        <v>761</v>
      </c>
      <c r="E201" s="2" t="s">
        <v>310</v>
      </c>
      <c r="F201" s="2" t="n">
        <v>78</v>
      </c>
    </row>
    <row r="202" customFormat="false" ht="16.4" hidden="false" customHeight="false" outlineLevel="0" collapsed="false">
      <c r="A202" s="2" t="n">
        <v>13</v>
      </c>
      <c r="B202" s="2" t="s">
        <v>321</v>
      </c>
      <c r="C202" s="2" t="s">
        <v>54</v>
      </c>
      <c r="D202" s="12" t="s">
        <v>762</v>
      </c>
      <c r="E202" s="2" t="s">
        <v>322</v>
      </c>
      <c r="F202" s="2" t="n">
        <v>89</v>
      </c>
    </row>
    <row r="203" customFormat="false" ht="16.4" hidden="false" customHeight="false" outlineLevel="0" collapsed="false">
      <c r="A203" s="2" t="n">
        <v>13</v>
      </c>
      <c r="B203" s="2" t="s">
        <v>314</v>
      </c>
      <c r="C203" s="2" t="s">
        <v>45</v>
      </c>
      <c r="D203" s="12" t="s">
        <v>763</v>
      </c>
      <c r="E203" s="2" t="s">
        <v>314</v>
      </c>
      <c r="F203" s="2" t="n">
        <v>85</v>
      </c>
    </row>
    <row r="204" customFormat="false" ht="16.4" hidden="false" customHeight="false" outlineLevel="0" collapsed="false">
      <c r="A204" s="2" t="n">
        <v>13</v>
      </c>
      <c r="B204" s="2" t="s">
        <v>311</v>
      </c>
      <c r="C204" s="2" t="s">
        <v>45</v>
      </c>
      <c r="D204" s="12" t="s">
        <v>764</v>
      </c>
      <c r="E204" s="2" t="s">
        <v>311</v>
      </c>
      <c r="F204" s="2" t="n">
        <v>82</v>
      </c>
    </row>
    <row r="205" customFormat="false" ht="16.4" hidden="false" customHeight="false" outlineLevel="0" collapsed="false">
      <c r="A205" s="2" t="n">
        <v>13</v>
      </c>
      <c r="B205" s="2" t="s">
        <v>313</v>
      </c>
      <c r="C205" s="2" t="s">
        <v>45</v>
      </c>
      <c r="D205" s="12" t="s">
        <v>765</v>
      </c>
      <c r="E205" s="2" t="s">
        <v>313</v>
      </c>
      <c r="F205" s="2" t="n">
        <v>80</v>
      </c>
    </row>
    <row r="206" customFormat="false" ht="16.4" hidden="false" customHeight="false" outlineLevel="0" collapsed="false">
      <c r="A206" s="2" t="n">
        <v>13</v>
      </c>
      <c r="B206" s="2" t="s">
        <v>319</v>
      </c>
      <c r="C206" s="2" t="s">
        <v>45</v>
      </c>
      <c r="D206" s="12" t="s">
        <v>766</v>
      </c>
      <c r="E206" s="2" t="s">
        <v>320</v>
      </c>
      <c r="F206" s="2" t="n">
        <v>90</v>
      </c>
    </row>
    <row r="207" customFormat="false" ht="15" hidden="false" customHeight="false" outlineLevel="0" collapsed="false">
      <c r="A207" s="2" t="n">
        <v>13</v>
      </c>
      <c r="B207" s="2" t="s">
        <v>316</v>
      </c>
      <c r="C207" s="2" t="s">
        <v>64</v>
      </c>
      <c r="D207" s="12" t="s">
        <v>65</v>
      </c>
      <c r="E207" s="12" t="s">
        <v>65</v>
      </c>
      <c r="F207" s="2" t="n">
        <v>0</v>
      </c>
    </row>
    <row r="208" customFormat="false" ht="16.4" hidden="false" customHeight="false" outlineLevel="0" collapsed="false">
      <c r="A208" s="2" t="n">
        <v>13</v>
      </c>
      <c r="B208" s="2" t="s">
        <v>317</v>
      </c>
      <c r="C208" s="2" t="s">
        <v>54</v>
      </c>
      <c r="D208" s="12" t="s">
        <v>767</v>
      </c>
      <c r="E208" s="2" t="s">
        <v>318</v>
      </c>
      <c r="F208" s="2" t="n">
        <v>9</v>
      </c>
    </row>
    <row r="209" customFormat="false" ht="15" hidden="false" customHeight="false" outlineLevel="0" collapsed="false">
      <c r="A209" s="2" t="n">
        <v>13</v>
      </c>
      <c r="B209" s="2" t="s">
        <v>315</v>
      </c>
      <c r="C209" s="2" t="s">
        <v>64</v>
      </c>
      <c r="D209" s="12" t="s">
        <v>65</v>
      </c>
      <c r="E209" s="12" t="s">
        <v>65</v>
      </c>
      <c r="F209" s="2" t="n">
        <v>0</v>
      </c>
    </row>
    <row r="210" customFormat="false" ht="16.4" hidden="false" customHeight="false" outlineLevel="0" collapsed="false">
      <c r="A210" s="2" t="n">
        <v>13</v>
      </c>
      <c r="B210" s="2" t="s">
        <v>323</v>
      </c>
      <c r="C210" s="2" t="s">
        <v>45</v>
      </c>
      <c r="D210" s="12" t="s">
        <v>768</v>
      </c>
      <c r="E210" s="2" t="s">
        <v>323</v>
      </c>
      <c r="F210" s="2" t="n">
        <v>82</v>
      </c>
    </row>
    <row r="211" customFormat="false" ht="16.4" hidden="false" customHeight="false" outlineLevel="0" collapsed="false">
      <c r="A211" s="2" t="n">
        <v>13</v>
      </c>
      <c r="B211" s="2" t="s">
        <v>312</v>
      </c>
      <c r="C211" s="2" t="s">
        <v>45</v>
      </c>
      <c r="D211" s="12" t="s">
        <v>657</v>
      </c>
      <c r="E211" s="2" t="s">
        <v>151</v>
      </c>
      <c r="F211" s="2" t="n">
        <v>90</v>
      </c>
    </row>
    <row r="212" customFormat="false" ht="16.4" hidden="false" customHeight="false" outlineLevel="0" collapsed="false">
      <c r="A212" s="2" t="n">
        <v>13</v>
      </c>
      <c r="B212" s="2" t="s">
        <v>307</v>
      </c>
      <c r="C212" s="2" t="s">
        <v>45</v>
      </c>
      <c r="D212" s="12" t="s">
        <v>769</v>
      </c>
      <c r="E212" s="2" t="s">
        <v>308</v>
      </c>
      <c r="F212" s="2" t="n">
        <v>91</v>
      </c>
    </row>
    <row r="213" customFormat="false" ht="16.4" hidden="false" customHeight="false" outlineLevel="0" collapsed="false">
      <c r="A213" s="2" t="n">
        <v>13</v>
      </c>
      <c r="B213" s="2" t="s">
        <v>309</v>
      </c>
      <c r="C213" s="2" t="s">
        <v>45</v>
      </c>
      <c r="D213" s="12" t="s">
        <v>769</v>
      </c>
      <c r="E213" s="2" t="s">
        <v>308</v>
      </c>
      <c r="F213" s="2" t="n">
        <v>91</v>
      </c>
    </row>
    <row r="214" customFormat="false" ht="15" hidden="false" customHeight="false" outlineLevel="0" collapsed="false">
      <c r="A214" s="2" t="n">
        <v>14</v>
      </c>
      <c r="B214" s="2" t="s">
        <v>329</v>
      </c>
      <c r="C214" s="2" t="s">
        <v>64</v>
      </c>
      <c r="D214" s="12" t="s">
        <v>65</v>
      </c>
      <c r="E214" s="12" t="s">
        <v>65</v>
      </c>
      <c r="F214" s="2" t="n">
        <v>0</v>
      </c>
    </row>
    <row r="215" customFormat="false" ht="16.4" hidden="false" customHeight="false" outlineLevel="0" collapsed="false">
      <c r="A215" s="2" t="n">
        <v>14</v>
      </c>
      <c r="B215" s="2" t="s">
        <v>326</v>
      </c>
      <c r="C215" s="2" t="s">
        <v>45</v>
      </c>
      <c r="D215" s="12" t="s">
        <v>770</v>
      </c>
      <c r="E215" s="2" t="s">
        <v>326</v>
      </c>
      <c r="F215" s="2" t="n">
        <v>79</v>
      </c>
    </row>
    <row r="216" customFormat="false" ht="15" hidden="false" customHeight="false" outlineLevel="0" collapsed="false">
      <c r="A216" s="2" t="n">
        <v>14</v>
      </c>
      <c r="B216" s="2" t="s">
        <v>153</v>
      </c>
      <c r="C216" s="2" t="s">
        <v>64</v>
      </c>
      <c r="D216" s="12" t="s">
        <v>65</v>
      </c>
      <c r="E216" s="12" t="s">
        <v>65</v>
      </c>
      <c r="F216" s="2" t="n">
        <v>0</v>
      </c>
    </row>
    <row r="217" customFormat="false" ht="15" hidden="false" customHeight="false" outlineLevel="0" collapsed="false">
      <c r="A217" s="2" t="n">
        <v>14</v>
      </c>
      <c r="B217" s="2" t="s">
        <v>331</v>
      </c>
      <c r="C217" s="2" t="s">
        <v>64</v>
      </c>
      <c r="D217" s="12" t="s">
        <v>65</v>
      </c>
      <c r="E217" s="12" t="s">
        <v>65</v>
      </c>
      <c r="F217" s="2" t="n">
        <v>0</v>
      </c>
    </row>
    <row r="218" customFormat="false" ht="15" hidden="false" customHeight="false" outlineLevel="0" collapsed="false">
      <c r="A218" s="2" t="n">
        <v>14</v>
      </c>
      <c r="B218" s="2" t="s">
        <v>334</v>
      </c>
      <c r="C218" s="2" t="s">
        <v>64</v>
      </c>
      <c r="D218" s="12" t="s">
        <v>65</v>
      </c>
      <c r="E218" s="12" t="s">
        <v>65</v>
      </c>
      <c r="F218" s="2" t="n">
        <v>0</v>
      </c>
    </row>
    <row r="219" customFormat="false" ht="16.4" hidden="false" customHeight="false" outlineLevel="0" collapsed="false">
      <c r="A219" s="2" t="n">
        <v>14</v>
      </c>
      <c r="B219" s="2" t="s">
        <v>345</v>
      </c>
      <c r="C219" s="2" t="s">
        <v>45</v>
      </c>
      <c r="D219" s="12" t="s">
        <v>771</v>
      </c>
      <c r="E219" s="2" t="s">
        <v>345</v>
      </c>
      <c r="F219" s="2" t="n">
        <v>88</v>
      </c>
    </row>
    <row r="220" customFormat="false" ht="16.4" hidden="false" customHeight="false" outlineLevel="0" collapsed="false">
      <c r="A220" s="2" t="n">
        <v>14</v>
      </c>
      <c r="B220" s="2" t="s">
        <v>340</v>
      </c>
      <c r="C220" s="2" t="s">
        <v>45</v>
      </c>
      <c r="D220" s="12" t="s">
        <v>772</v>
      </c>
      <c r="E220" s="2" t="s">
        <v>341</v>
      </c>
      <c r="F220" s="2" t="n">
        <v>85</v>
      </c>
    </row>
    <row r="221" customFormat="false" ht="15" hidden="false" customHeight="false" outlineLevel="0" collapsed="false">
      <c r="A221" s="2" t="n">
        <v>14</v>
      </c>
      <c r="B221" s="2" t="s">
        <v>224</v>
      </c>
      <c r="C221" s="2" t="s">
        <v>64</v>
      </c>
      <c r="D221" s="12" t="s">
        <v>65</v>
      </c>
      <c r="E221" s="12" t="s">
        <v>65</v>
      </c>
      <c r="F221" s="2" t="n">
        <v>0</v>
      </c>
    </row>
    <row r="222" customFormat="false" ht="15" hidden="false" customHeight="false" outlineLevel="0" collapsed="false">
      <c r="A222" s="2" t="n">
        <v>14</v>
      </c>
      <c r="B222" s="2" t="s">
        <v>168</v>
      </c>
      <c r="C222" s="2" t="s">
        <v>64</v>
      </c>
      <c r="D222" s="12" t="s">
        <v>65</v>
      </c>
      <c r="E222" s="12" t="s">
        <v>65</v>
      </c>
      <c r="F222" s="2" t="n">
        <v>0</v>
      </c>
    </row>
    <row r="223" customFormat="false" ht="15" hidden="false" customHeight="false" outlineLevel="0" collapsed="false">
      <c r="A223" s="2" t="n">
        <v>14</v>
      </c>
      <c r="B223" s="2" t="s">
        <v>330</v>
      </c>
      <c r="C223" s="2" t="s">
        <v>64</v>
      </c>
      <c r="D223" s="12" t="s">
        <v>65</v>
      </c>
      <c r="E223" s="12" t="s">
        <v>65</v>
      </c>
      <c r="F223" s="2" t="n">
        <v>0</v>
      </c>
    </row>
    <row r="224" customFormat="false" ht="16.4" hidden="false" customHeight="false" outlineLevel="0" collapsed="false">
      <c r="A224" s="2" t="n">
        <v>14</v>
      </c>
      <c r="B224" s="2" t="s">
        <v>339</v>
      </c>
      <c r="C224" s="2" t="s">
        <v>45</v>
      </c>
      <c r="D224" s="12" t="s">
        <v>773</v>
      </c>
      <c r="E224" s="2" t="s">
        <v>339</v>
      </c>
      <c r="F224" s="2" t="n">
        <v>86</v>
      </c>
    </row>
    <row r="225" customFormat="false" ht="16.4" hidden="false" customHeight="false" outlineLevel="0" collapsed="false">
      <c r="A225" s="2" t="n">
        <v>14</v>
      </c>
      <c r="B225" s="2" t="s">
        <v>344</v>
      </c>
      <c r="C225" s="2" t="s">
        <v>45</v>
      </c>
      <c r="D225" s="12" t="s">
        <v>774</v>
      </c>
      <c r="E225" s="2" t="s">
        <v>344</v>
      </c>
      <c r="F225" s="2" t="n">
        <v>85</v>
      </c>
    </row>
    <row r="226" customFormat="false" ht="15" hidden="false" customHeight="false" outlineLevel="0" collapsed="false">
      <c r="A226" s="2" t="n">
        <v>14</v>
      </c>
      <c r="B226" s="2" t="s">
        <v>333</v>
      </c>
      <c r="C226" s="2" t="s">
        <v>64</v>
      </c>
      <c r="D226" s="12" t="s">
        <v>65</v>
      </c>
      <c r="E226" s="12" t="s">
        <v>65</v>
      </c>
      <c r="F226" s="2" t="n">
        <v>0</v>
      </c>
    </row>
    <row r="227" customFormat="false" ht="16.4" hidden="false" customHeight="false" outlineLevel="0" collapsed="false">
      <c r="A227" s="2" t="n">
        <v>14</v>
      </c>
      <c r="B227" s="2" t="s">
        <v>327</v>
      </c>
      <c r="C227" s="2" t="s">
        <v>45</v>
      </c>
      <c r="D227" s="12" t="s">
        <v>775</v>
      </c>
      <c r="E227" s="2" t="s">
        <v>328</v>
      </c>
      <c r="F227" s="2" t="n">
        <v>77</v>
      </c>
    </row>
    <row r="228" customFormat="false" ht="15" hidden="false" customHeight="false" outlineLevel="0" collapsed="false">
      <c r="A228" s="2" t="n">
        <v>14</v>
      </c>
      <c r="B228" s="2" t="s">
        <v>335</v>
      </c>
      <c r="C228" s="2" t="s">
        <v>64</v>
      </c>
      <c r="D228" s="12" t="s">
        <v>65</v>
      </c>
      <c r="E228" s="12" t="s">
        <v>65</v>
      </c>
      <c r="F228" s="2" t="n">
        <v>0</v>
      </c>
    </row>
    <row r="229" customFormat="false" ht="16.4" hidden="false" customHeight="false" outlineLevel="0" collapsed="false">
      <c r="A229" s="2" t="n">
        <v>14</v>
      </c>
      <c r="B229" s="2" t="s">
        <v>336</v>
      </c>
      <c r="C229" s="2" t="s">
        <v>54</v>
      </c>
      <c r="D229" s="12" t="s">
        <v>776</v>
      </c>
      <c r="E229" s="2" t="s">
        <v>591</v>
      </c>
      <c r="F229" s="2" t="n">
        <v>0</v>
      </c>
    </row>
    <row r="230" customFormat="false" ht="16.4" hidden="false" customHeight="false" outlineLevel="0" collapsed="false">
      <c r="A230" s="2" t="n">
        <v>14</v>
      </c>
      <c r="B230" s="2" t="s">
        <v>342</v>
      </c>
      <c r="C230" s="2" t="s">
        <v>54</v>
      </c>
      <c r="D230" s="12" t="s">
        <v>777</v>
      </c>
      <c r="E230" s="2" t="s">
        <v>343</v>
      </c>
      <c r="F230" s="2" t="n">
        <v>69</v>
      </c>
    </row>
    <row r="231" customFormat="false" ht="16.4" hidden="false" customHeight="false" outlineLevel="0" collapsed="false">
      <c r="A231" s="2" t="n">
        <v>14</v>
      </c>
      <c r="B231" s="2" t="s">
        <v>325</v>
      </c>
      <c r="C231" s="2" t="s">
        <v>45</v>
      </c>
      <c r="D231" s="12" t="s">
        <v>778</v>
      </c>
      <c r="E231" s="2" t="s">
        <v>325</v>
      </c>
      <c r="F231" s="2" t="n">
        <v>84</v>
      </c>
    </row>
    <row r="232" customFormat="false" ht="16.4" hidden="false" customHeight="false" outlineLevel="0" collapsed="false">
      <c r="A232" s="2" t="n">
        <v>14</v>
      </c>
      <c r="B232" s="2" t="s">
        <v>324</v>
      </c>
      <c r="C232" s="2" t="s">
        <v>45</v>
      </c>
      <c r="D232" s="12" t="s">
        <v>779</v>
      </c>
      <c r="E232" s="2" t="s">
        <v>324</v>
      </c>
      <c r="F232" s="2" t="n">
        <v>86</v>
      </c>
    </row>
    <row r="233" customFormat="false" ht="16.4" hidden="false" customHeight="false" outlineLevel="0" collapsed="false">
      <c r="A233" s="2" t="n">
        <v>14</v>
      </c>
      <c r="B233" s="2" t="s">
        <v>337</v>
      </c>
      <c r="C233" s="2" t="s">
        <v>45</v>
      </c>
      <c r="D233" s="12" t="s">
        <v>780</v>
      </c>
      <c r="E233" s="2" t="s">
        <v>338</v>
      </c>
      <c r="F233" s="2" t="n">
        <v>88</v>
      </c>
    </row>
    <row r="234" customFormat="false" ht="15" hidden="false" customHeight="false" outlineLevel="0" collapsed="false">
      <c r="A234" s="2" t="n">
        <v>14</v>
      </c>
      <c r="B234" s="2" t="s">
        <v>332</v>
      </c>
      <c r="C234" s="2" t="s">
        <v>64</v>
      </c>
      <c r="D234" s="12" t="s">
        <v>65</v>
      </c>
      <c r="E234" s="12" t="s">
        <v>65</v>
      </c>
      <c r="F234" s="2" t="n">
        <v>0</v>
      </c>
    </row>
    <row r="235" customFormat="false" ht="16.4" hidden="false" customHeight="false" outlineLevel="0" collapsed="false">
      <c r="A235" s="2" t="n">
        <v>15</v>
      </c>
      <c r="B235" s="2" t="s">
        <v>329</v>
      </c>
      <c r="C235" s="2" t="s">
        <v>54</v>
      </c>
      <c r="D235" s="12" t="s">
        <v>781</v>
      </c>
      <c r="E235" s="2" t="s">
        <v>368</v>
      </c>
      <c r="F235" s="2" t="n">
        <v>46</v>
      </c>
    </row>
    <row r="236" customFormat="false" ht="16.4" hidden="false" customHeight="false" outlineLevel="0" collapsed="false">
      <c r="A236" s="2" t="n">
        <v>15</v>
      </c>
      <c r="B236" s="2" t="s">
        <v>365</v>
      </c>
      <c r="C236" s="2" t="s">
        <v>45</v>
      </c>
      <c r="D236" s="12" t="s">
        <v>782</v>
      </c>
      <c r="E236" s="2" t="s">
        <v>365</v>
      </c>
      <c r="F236" s="2" t="n">
        <v>81</v>
      </c>
    </row>
    <row r="237" customFormat="false" ht="16.4" hidden="false" customHeight="false" outlineLevel="0" collapsed="false">
      <c r="A237" s="2" t="n">
        <v>15</v>
      </c>
      <c r="B237" s="2" t="s">
        <v>346</v>
      </c>
      <c r="C237" s="2" t="s">
        <v>54</v>
      </c>
      <c r="D237" s="12" t="s">
        <v>698</v>
      </c>
      <c r="E237" s="2" t="s">
        <v>197</v>
      </c>
      <c r="F237" s="2" t="n">
        <v>71</v>
      </c>
    </row>
    <row r="238" customFormat="false" ht="15" hidden="false" customHeight="false" outlineLevel="0" collapsed="false">
      <c r="A238" s="2" t="n">
        <v>15</v>
      </c>
      <c r="B238" s="2" t="s">
        <v>353</v>
      </c>
      <c r="C238" s="2" t="s">
        <v>64</v>
      </c>
      <c r="D238" s="12" t="s">
        <v>65</v>
      </c>
      <c r="E238" s="12" t="s">
        <v>65</v>
      </c>
      <c r="F238" s="2" t="n">
        <v>0</v>
      </c>
    </row>
    <row r="239" customFormat="false" ht="16.4" hidden="false" customHeight="false" outlineLevel="0" collapsed="false">
      <c r="A239" s="2" t="n">
        <v>15</v>
      </c>
      <c r="B239" s="2" t="s">
        <v>347</v>
      </c>
      <c r="C239" s="2" t="s">
        <v>45</v>
      </c>
      <c r="D239" s="12" t="s">
        <v>783</v>
      </c>
      <c r="E239" s="2" t="s">
        <v>347</v>
      </c>
      <c r="F239" s="2" t="n">
        <v>70</v>
      </c>
    </row>
    <row r="240" customFormat="false" ht="16.4" hidden="false" customHeight="false" outlineLevel="0" collapsed="false">
      <c r="A240" s="2" t="n">
        <v>15</v>
      </c>
      <c r="B240" s="2" t="s">
        <v>348</v>
      </c>
      <c r="C240" s="2" t="s">
        <v>45</v>
      </c>
      <c r="D240" s="12" t="s">
        <v>784</v>
      </c>
      <c r="E240" s="2" t="s">
        <v>348</v>
      </c>
      <c r="F240" s="2" t="n">
        <v>40</v>
      </c>
    </row>
    <row r="241" customFormat="false" ht="16.4" hidden="false" customHeight="false" outlineLevel="0" collapsed="false">
      <c r="A241" s="2" t="n">
        <v>15</v>
      </c>
      <c r="B241" s="2" t="s">
        <v>363</v>
      </c>
      <c r="C241" s="2" t="s">
        <v>45</v>
      </c>
      <c r="D241" s="12" t="s">
        <v>785</v>
      </c>
      <c r="E241" s="2" t="s">
        <v>364</v>
      </c>
      <c r="F241" s="2" t="n">
        <v>88</v>
      </c>
    </row>
    <row r="242" customFormat="false" ht="16.4" hidden="false" customHeight="false" outlineLevel="0" collapsed="false">
      <c r="A242" s="2" t="n">
        <v>15</v>
      </c>
      <c r="B242" s="2" t="s">
        <v>366</v>
      </c>
      <c r="C242" s="2" t="s">
        <v>45</v>
      </c>
      <c r="D242" s="12" t="s">
        <v>786</v>
      </c>
      <c r="E242" s="2" t="s">
        <v>367</v>
      </c>
      <c r="F242" s="2" t="n">
        <v>99</v>
      </c>
    </row>
    <row r="243" customFormat="false" ht="16.4" hidden="false" customHeight="false" outlineLevel="0" collapsed="false">
      <c r="A243" s="2" t="n">
        <v>15</v>
      </c>
      <c r="B243" s="2" t="s">
        <v>357</v>
      </c>
      <c r="C243" s="2" t="s">
        <v>45</v>
      </c>
      <c r="D243" s="12" t="s">
        <v>787</v>
      </c>
      <c r="E243" s="2" t="s">
        <v>357</v>
      </c>
      <c r="F243" s="2" t="n">
        <v>77</v>
      </c>
    </row>
    <row r="244" customFormat="false" ht="16.4" hidden="false" customHeight="false" outlineLevel="0" collapsed="false">
      <c r="A244" s="2" t="n">
        <v>15</v>
      </c>
      <c r="B244" s="2" t="s">
        <v>352</v>
      </c>
      <c r="C244" s="2" t="s">
        <v>45</v>
      </c>
      <c r="D244" s="12" t="s">
        <v>788</v>
      </c>
      <c r="E244" s="2" t="s">
        <v>352</v>
      </c>
      <c r="F244" s="2" t="n">
        <v>72</v>
      </c>
    </row>
    <row r="245" customFormat="false" ht="16.4" hidden="false" customHeight="false" outlineLevel="0" collapsed="false">
      <c r="A245" s="2" t="n">
        <v>15</v>
      </c>
      <c r="B245" s="2" t="s">
        <v>356</v>
      </c>
      <c r="C245" s="2" t="s">
        <v>45</v>
      </c>
      <c r="D245" s="12" t="s">
        <v>789</v>
      </c>
      <c r="E245" s="2" t="s">
        <v>356</v>
      </c>
      <c r="F245" s="2" t="n">
        <v>84</v>
      </c>
    </row>
    <row r="246" customFormat="false" ht="15" hidden="false" customHeight="false" outlineLevel="0" collapsed="false">
      <c r="A246" s="2" t="n">
        <v>15</v>
      </c>
      <c r="B246" s="2" t="s">
        <v>354</v>
      </c>
      <c r="C246" s="2" t="s">
        <v>64</v>
      </c>
      <c r="D246" s="12" t="s">
        <v>65</v>
      </c>
      <c r="E246" s="12" t="s">
        <v>65</v>
      </c>
      <c r="F246" s="2" t="n">
        <v>0</v>
      </c>
    </row>
    <row r="247" customFormat="false" ht="15" hidden="false" customHeight="false" outlineLevel="0" collapsed="false">
      <c r="A247" s="2" t="n">
        <v>15</v>
      </c>
      <c r="B247" s="2" t="s">
        <v>355</v>
      </c>
      <c r="C247" s="2" t="s">
        <v>64</v>
      </c>
      <c r="D247" s="12" t="s">
        <v>65</v>
      </c>
      <c r="E247" s="12" t="s">
        <v>65</v>
      </c>
      <c r="F247" s="2" t="n">
        <v>0</v>
      </c>
    </row>
    <row r="248" customFormat="false" ht="16.4" hidden="false" customHeight="false" outlineLevel="0" collapsed="false">
      <c r="A248" s="2" t="n">
        <v>15</v>
      </c>
      <c r="B248" s="2" t="s">
        <v>362</v>
      </c>
      <c r="C248" s="2" t="s">
        <v>45</v>
      </c>
      <c r="D248" s="12" t="s">
        <v>790</v>
      </c>
      <c r="E248" s="2" t="s">
        <v>362</v>
      </c>
      <c r="F248" s="2" t="n">
        <v>87</v>
      </c>
    </row>
    <row r="249" customFormat="false" ht="16.4" hidden="false" customHeight="false" outlineLevel="0" collapsed="false">
      <c r="A249" s="2" t="n">
        <v>15</v>
      </c>
      <c r="B249" s="2" t="s">
        <v>360</v>
      </c>
      <c r="C249" s="2" t="s">
        <v>45</v>
      </c>
      <c r="D249" s="12" t="s">
        <v>791</v>
      </c>
      <c r="E249" s="2" t="s">
        <v>361</v>
      </c>
      <c r="F249" s="2" t="n">
        <v>82</v>
      </c>
    </row>
    <row r="250" customFormat="false" ht="16.4" hidden="false" customHeight="false" outlineLevel="0" collapsed="false">
      <c r="A250" s="2" t="n">
        <v>15</v>
      </c>
      <c r="B250" s="2" t="s">
        <v>358</v>
      </c>
      <c r="C250" s="2" t="s">
        <v>54</v>
      </c>
      <c r="D250" s="12" t="s">
        <v>792</v>
      </c>
      <c r="E250" s="2" t="s">
        <v>359</v>
      </c>
      <c r="F250" s="2" t="n">
        <v>83</v>
      </c>
    </row>
    <row r="251" customFormat="false" ht="16.4" hidden="false" customHeight="false" outlineLevel="0" collapsed="false">
      <c r="A251" s="2" t="n">
        <v>15</v>
      </c>
      <c r="B251" s="2" t="s">
        <v>349</v>
      </c>
      <c r="C251" s="2" t="s">
        <v>54</v>
      </c>
      <c r="D251" s="12" t="s">
        <v>793</v>
      </c>
      <c r="E251" s="2" t="s">
        <v>350</v>
      </c>
      <c r="F251" s="2" t="n">
        <v>72</v>
      </c>
    </row>
    <row r="252" customFormat="false" ht="16.4" hidden="false" customHeight="false" outlineLevel="0" collapsed="false">
      <c r="A252" s="2" t="n">
        <v>15</v>
      </c>
      <c r="B252" s="2" t="s">
        <v>351</v>
      </c>
      <c r="C252" s="2" t="s">
        <v>54</v>
      </c>
      <c r="D252" s="12" t="s">
        <v>793</v>
      </c>
      <c r="E252" s="2" t="s">
        <v>350</v>
      </c>
      <c r="F252" s="2" t="n">
        <v>72</v>
      </c>
    </row>
    <row r="253" customFormat="false" ht="16.4" hidden="false" customHeight="false" outlineLevel="0" collapsed="false">
      <c r="A253" s="2" t="n">
        <v>16</v>
      </c>
      <c r="B253" s="2" t="s">
        <v>378</v>
      </c>
      <c r="C253" s="2" t="s">
        <v>45</v>
      </c>
      <c r="D253" s="12" t="s">
        <v>794</v>
      </c>
      <c r="E253" s="2" t="s">
        <v>379</v>
      </c>
      <c r="F253" s="2" t="n">
        <v>13</v>
      </c>
    </row>
    <row r="254" customFormat="false" ht="16.4" hidden="false" customHeight="false" outlineLevel="0" collapsed="false">
      <c r="A254" s="2" t="n">
        <v>16</v>
      </c>
      <c r="B254" s="2" t="s">
        <v>301</v>
      </c>
      <c r="C254" s="2" t="s">
        <v>45</v>
      </c>
      <c r="D254" s="12" t="s">
        <v>759</v>
      </c>
      <c r="E254" s="2" t="s">
        <v>301</v>
      </c>
      <c r="F254" s="2" t="n">
        <v>71</v>
      </c>
    </row>
    <row r="255" customFormat="false" ht="16.4" hidden="false" customHeight="false" outlineLevel="0" collapsed="false">
      <c r="A255" s="2" t="n">
        <v>16</v>
      </c>
      <c r="B255" s="2" t="s">
        <v>153</v>
      </c>
      <c r="C255" s="2" t="s">
        <v>54</v>
      </c>
      <c r="D255" s="12" t="s">
        <v>795</v>
      </c>
      <c r="E255" s="2" t="s">
        <v>153</v>
      </c>
      <c r="F255" s="2" t="n">
        <v>77</v>
      </c>
    </row>
    <row r="256" customFormat="false" ht="16.4" hidden="false" customHeight="false" outlineLevel="0" collapsed="false">
      <c r="A256" s="2" t="n">
        <v>16</v>
      </c>
      <c r="B256" s="2" t="s">
        <v>374</v>
      </c>
      <c r="C256" s="2" t="s">
        <v>45</v>
      </c>
      <c r="D256" s="12" t="s">
        <v>796</v>
      </c>
      <c r="E256" s="2" t="s">
        <v>374</v>
      </c>
      <c r="F256" s="2" t="n">
        <v>84</v>
      </c>
    </row>
    <row r="257" customFormat="false" ht="15" hidden="false" customHeight="false" outlineLevel="0" collapsed="false">
      <c r="A257" s="2" t="n">
        <v>16</v>
      </c>
      <c r="B257" s="2" t="s">
        <v>373</v>
      </c>
      <c r="C257" s="2" t="s">
        <v>64</v>
      </c>
      <c r="D257" s="12" t="s">
        <v>65</v>
      </c>
      <c r="E257" s="12" t="s">
        <v>65</v>
      </c>
      <c r="F257" s="2" t="n">
        <v>0</v>
      </c>
    </row>
    <row r="258" customFormat="false" ht="16.4" hidden="false" customHeight="false" outlineLevel="0" collapsed="false">
      <c r="A258" s="2" t="n">
        <v>16</v>
      </c>
      <c r="B258" s="2" t="s">
        <v>375</v>
      </c>
      <c r="C258" s="2" t="s">
        <v>54</v>
      </c>
      <c r="D258" s="12" t="s">
        <v>797</v>
      </c>
      <c r="E258" s="2" t="s">
        <v>376</v>
      </c>
      <c r="F258" s="2" t="n">
        <v>72</v>
      </c>
    </row>
    <row r="259" customFormat="false" ht="16.4" hidden="false" customHeight="false" outlineLevel="0" collapsed="false">
      <c r="A259" s="2" t="n">
        <v>16</v>
      </c>
      <c r="B259" s="2" t="s">
        <v>377</v>
      </c>
      <c r="C259" s="2" t="s">
        <v>54</v>
      </c>
      <c r="D259" s="12" t="s">
        <v>797</v>
      </c>
      <c r="E259" s="2" t="s">
        <v>376</v>
      </c>
      <c r="F259" s="2" t="n">
        <v>72</v>
      </c>
    </row>
    <row r="260" customFormat="false" ht="16.4" hidden="false" customHeight="false" outlineLevel="0" collapsed="false">
      <c r="A260" s="2" t="n">
        <v>16</v>
      </c>
      <c r="B260" s="2" t="s">
        <v>369</v>
      </c>
      <c r="C260" s="2" t="s">
        <v>45</v>
      </c>
      <c r="D260" s="12" t="s">
        <v>798</v>
      </c>
      <c r="E260" s="2" t="s">
        <v>370</v>
      </c>
      <c r="F260" s="2" t="n">
        <v>81</v>
      </c>
    </row>
    <row r="261" customFormat="false" ht="16.4" hidden="false" customHeight="false" outlineLevel="0" collapsed="false">
      <c r="A261" s="2" t="n">
        <v>16</v>
      </c>
      <c r="B261" s="2" t="s">
        <v>371</v>
      </c>
      <c r="C261" s="2" t="s">
        <v>54</v>
      </c>
      <c r="D261" s="12" t="s">
        <v>799</v>
      </c>
      <c r="E261" s="2" t="s">
        <v>372</v>
      </c>
      <c r="F261" s="2" t="n">
        <v>67</v>
      </c>
    </row>
    <row r="262" customFormat="false" ht="16.4" hidden="false" customHeight="false" outlineLevel="0" collapsed="false">
      <c r="A262" s="2" t="n">
        <v>17</v>
      </c>
      <c r="B262" s="2" t="s">
        <v>386</v>
      </c>
      <c r="C262" s="2" t="s">
        <v>45</v>
      </c>
      <c r="D262" s="12" t="s">
        <v>800</v>
      </c>
      <c r="E262" s="2" t="s">
        <v>386</v>
      </c>
      <c r="F262" s="2" t="n">
        <v>83</v>
      </c>
    </row>
    <row r="263" customFormat="false" ht="16.4" hidden="false" customHeight="false" outlineLevel="0" collapsed="false">
      <c r="A263" s="2" t="n">
        <v>17</v>
      </c>
      <c r="B263" s="2" t="s">
        <v>380</v>
      </c>
      <c r="C263" s="2" t="s">
        <v>54</v>
      </c>
      <c r="D263" s="12" t="s">
        <v>801</v>
      </c>
      <c r="E263" s="2" t="s">
        <v>329</v>
      </c>
      <c r="F263" s="2" t="n">
        <v>85</v>
      </c>
    </row>
    <row r="264" customFormat="false" ht="16.4" hidden="false" customHeight="false" outlineLevel="0" collapsed="false">
      <c r="A264" s="2" t="n">
        <v>17</v>
      </c>
      <c r="B264" s="2" t="s">
        <v>381</v>
      </c>
      <c r="C264" s="2" t="s">
        <v>54</v>
      </c>
      <c r="D264" s="12" t="s">
        <v>801</v>
      </c>
      <c r="E264" s="2" t="s">
        <v>329</v>
      </c>
      <c r="F264" s="2" t="n">
        <v>85</v>
      </c>
    </row>
    <row r="265" customFormat="false" ht="16.4" hidden="false" customHeight="false" outlineLevel="0" collapsed="false">
      <c r="A265" s="2" t="n">
        <v>17</v>
      </c>
      <c r="B265" s="2" t="s">
        <v>391</v>
      </c>
      <c r="C265" s="2" t="s">
        <v>45</v>
      </c>
      <c r="D265" s="12" t="s">
        <v>802</v>
      </c>
      <c r="E265" s="2" t="s">
        <v>391</v>
      </c>
      <c r="F265" s="2" t="n">
        <v>89</v>
      </c>
    </row>
    <row r="266" customFormat="false" ht="16.4" hidden="false" customHeight="false" outlineLevel="0" collapsed="false">
      <c r="A266" s="2" t="n">
        <v>17</v>
      </c>
      <c r="B266" s="2" t="s">
        <v>382</v>
      </c>
      <c r="C266" s="2" t="s">
        <v>45</v>
      </c>
      <c r="D266" s="12" t="s">
        <v>803</v>
      </c>
      <c r="E266" s="2" t="s">
        <v>382</v>
      </c>
      <c r="F266" s="2" t="n">
        <v>91</v>
      </c>
    </row>
    <row r="267" customFormat="false" ht="16.4" hidden="false" customHeight="false" outlineLevel="0" collapsed="false">
      <c r="A267" s="2" t="n">
        <v>17</v>
      </c>
      <c r="B267" s="2" t="s">
        <v>384</v>
      </c>
      <c r="C267" s="2" t="s">
        <v>45</v>
      </c>
      <c r="D267" s="12" t="s">
        <v>804</v>
      </c>
      <c r="E267" s="2" t="s">
        <v>384</v>
      </c>
      <c r="F267" s="2" t="n">
        <v>88</v>
      </c>
    </row>
    <row r="268" customFormat="false" ht="16.4" hidden="false" customHeight="false" outlineLevel="0" collapsed="false">
      <c r="A268" s="2" t="n">
        <v>17</v>
      </c>
      <c r="B268" s="2" t="s">
        <v>387</v>
      </c>
      <c r="C268" s="2" t="s">
        <v>45</v>
      </c>
      <c r="D268" s="12" t="s">
        <v>805</v>
      </c>
      <c r="E268" s="2" t="s">
        <v>387</v>
      </c>
      <c r="F268" s="2" t="n">
        <v>84</v>
      </c>
    </row>
    <row r="269" customFormat="false" ht="16.4" hidden="false" customHeight="false" outlineLevel="0" collapsed="false">
      <c r="A269" s="2" t="n">
        <v>17</v>
      </c>
      <c r="B269" s="2" t="s">
        <v>392</v>
      </c>
      <c r="C269" s="2" t="s">
        <v>45</v>
      </c>
      <c r="D269" s="12" t="s">
        <v>806</v>
      </c>
      <c r="E269" s="2" t="s">
        <v>392</v>
      </c>
      <c r="F269" s="2" t="n">
        <v>88</v>
      </c>
    </row>
    <row r="270" customFormat="false" ht="16.4" hidden="false" customHeight="false" outlineLevel="0" collapsed="false">
      <c r="A270" s="2" t="n">
        <v>17</v>
      </c>
      <c r="B270" s="2" t="s">
        <v>393</v>
      </c>
      <c r="C270" s="2" t="s">
        <v>45</v>
      </c>
      <c r="D270" s="12" t="s">
        <v>807</v>
      </c>
      <c r="E270" s="2" t="s">
        <v>393</v>
      </c>
      <c r="F270" s="2" t="n">
        <v>85</v>
      </c>
    </row>
    <row r="271" customFormat="false" ht="16.4" hidden="false" customHeight="false" outlineLevel="0" collapsed="false">
      <c r="A271" s="2" t="n">
        <v>17</v>
      </c>
      <c r="B271" s="2" t="s">
        <v>385</v>
      </c>
      <c r="C271" s="2" t="s">
        <v>45</v>
      </c>
      <c r="D271" s="12" t="s">
        <v>808</v>
      </c>
      <c r="E271" s="2" t="s">
        <v>385</v>
      </c>
      <c r="F271" s="2" t="n">
        <v>88</v>
      </c>
    </row>
    <row r="272" customFormat="false" ht="16.4" hidden="false" customHeight="false" outlineLevel="0" collapsed="false">
      <c r="A272" s="2" t="n">
        <v>17</v>
      </c>
      <c r="B272" s="2" t="s">
        <v>388</v>
      </c>
      <c r="C272" s="2" t="s">
        <v>45</v>
      </c>
      <c r="D272" s="12" t="s">
        <v>809</v>
      </c>
      <c r="E272" s="2" t="s">
        <v>388</v>
      </c>
      <c r="F272" s="2" t="n">
        <v>88</v>
      </c>
    </row>
    <row r="273" customFormat="false" ht="16.4" hidden="false" customHeight="false" outlineLevel="0" collapsed="false">
      <c r="A273" s="2" t="n">
        <v>17</v>
      </c>
      <c r="B273" s="2" t="s">
        <v>394</v>
      </c>
      <c r="C273" s="2" t="s">
        <v>45</v>
      </c>
      <c r="D273" s="12" t="s">
        <v>810</v>
      </c>
      <c r="E273" s="2" t="s">
        <v>394</v>
      </c>
      <c r="F273" s="2" t="n">
        <v>84</v>
      </c>
    </row>
    <row r="274" customFormat="false" ht="16.4" hidden="false" customHeight="false" outlineLevel="0" collapsed="false">
      <c r="A274" s="2" t="n">
        <v>17</v>
      </c>
      <c r="B274" s="2" t="s">
        <v>383</v>
      </c>
      <c r="C274" s="2" t="s">
        <v>45</v>
      </c>
      <c r="D274" s="12" t="s">
        <v>811</v>
      </c>
      <c r="E274" s="2" t="s">
        <v>383</v>
      </c>
      <c r="F274" s="2" t="n">
        <v>84</v>
      </c>
    </row>
    <row r="275" customFormat="false" ht="16.4" hidden="false" customHeight="false" outlineLevel="0" collapsed="false">
      <c r="A275" s="2" t="n">
        <v>17</v>
      </c>
      <c r="B275" s="2" t="s">
        <v>389</v>
      </c>
      <c r="C275" s="2" t="s">
        <v>45</v>
      </c>
      <c r="D275" s="12" t="s">
        <v>812</v>
      </c>
      <c r="E275" s="2" t="s">
        <v>390</v>
      </c>
      <c r="F275" s="2" t="n">
        <v>73</v>
      </c>
    </row>
    <row r="276" customFormat="false" ht="16.4" hidden="false" customHeight="false" outlineLevel="0" collapsed="false">
      <c r="A276" s="2" t="n">
        <v>18</v>
      </c>
      <c r="B276" s="2" t="s">
        <v>405</v>
      </c>
      <c r="C276" s="2" t="s">
        <v>45</v>
      </c>
      <c r="D276" s="12" t="s">
        <v>813</v>
      </c>
      <c r="E276" s="2" t="s">
        <v>590</v>
      </c>
      <c r="F276" s="2" t="n">
        <v>0</v>
      </c>
    </row>
    <row r="277" customFormat="false" ht="16.4" hidden="false" customHeight="false" outlineLevel="0" collapsed="false">
      <c r="A277" s="2" t="n">
        <v>18</v>
      </c>
      <c r="B277" s="2" t="s">
        <v>398</v>
      </c>
      <c r="C277" s="2" t="s">
        <v>45</v>
      </c>
      <c r="D277" s="12" t="s">
        <v>814</v>
      </c>
      <c r="E277" s="2" t="s">
        <v>398</v>
      </c>
      <c r="F277" s="2" t="n">
        <v>84</v>
      </c>
    </row>
    <row r="278" customFormat="false" ht="16.4" hidden="false" customHeight="false" outlineLevel="0" collapsed="false">
      <c r="A278" s="2" t="n">
        <v>18</v>
      </c>
      <c r="B278" s="2" t="s">
        <v>397</v>
      </c>
      <c r="C278" s="2" t="s">
        <v>45</v>
      </c>
      <c r="D278" s="12" t="s">
        <v>815</v>
      </c>
      <c r="E278" s="2" t="s">
        <v>397</v>
      </c>
      <c r="F278" s="2" t="n">
        <v>86</v>
      </c>
    </row>
    <row r="279" customFormat="false" ht="16.4" hidden="false" customHeight="false" outlineLevel="0" collapsed="false">
      <c r="A279" s="2" t="n">
        <v>18</v>
      </c>
      <c r="B279" s="2" t="s">
        <v>401</v>
      </c>
      <c r="C279" s="2" t="s">
        <v>54</v>
      </c>
      <c r="D279" s="12" t="s">
        <v>816</v>
      </c>
      <c r="E279" s="2" t="s">
        <v>400</v>
      </c>
      <c r="F279" s="2" t="n">
        <v>91</v>
      </c>
    </row>
    <row r="280" customFormat="false" ht="16.4" hidden="false" customHeight="false" outlineLevel="0" collapsed="false">
      <c r="A280" s="2" t="n">
        <v>18</v>
      </c>
      <c r="B280" s="2" t="s">
        <v>399</v>
      </c>
      <c r="C280" s="2" t="s">
        <v>54</v>
      </c>
      <c r="D280" s="12" t="s">
        <v>816</v>
      </c>
      <c r="E280" s="2" t="s">
        <v>400</v>
      </c>
      <c r="F280" s="2" t="n">
        <v>91</v>
      </c>
    </row>
    <row r="281" customFormat="false" ht="16.4" hidden="false" customHeight="false" outlineLevel="0" collapsed="false">
      <c r="A281" s="2" t="n">
        <v>18</v>
      </c>
      <c r="B281" s="2" t="s">
        <v>413</v>
      </c>
      <c r="C281" s="2" t="s">
        <v>45</v>
      </c>
      <c r="D281" s="12" t="s">
        <v>817</v>
      </c>
      <c r="E281" s="2" t="s">
        <v>414</v>
      </c>
      <c r="F281" s="2" t="n">
        <v>13</v>
      </c>
    </row>
    <row r="282" customFormat="false" ht="16.4" hidden="false" customHeight="false" outlineLevel="0" collapsed="false">
      <c r="A282" s="2" t="n">
        <v>18</v>
      </c>
      <c r="B282" s="2" t="s">
        <v>406</v>
      </c>
      <c r="C282" s="2" t="s">
        <v>45</v>
      </c>
      <c r="D282" s="12" t="s">
        <v>818</v>
      </c>
      <c r="E282" s="2" t="s">
        <v>407</v>
      </c>
      <c r="F282" s="2" t="n">
        <v>80</v>
      </c>
    </row>
    <row r="283" customFormat="false" ht="16.4" hidden="false" customHeight="false" outlineLevel="0" collapsed="false">
      <c r="A283" s="2" t="n">
        <v>18</v>
      </c>
      <c r="B283" s="2" t="s">
        <v>395</v>
      </c>
      <c r="C283" s="2" t="s">
        <v>45</v>
      </c>
      <c r="D283" s="12" t="s">
        <v>819</v>
      </c>
      <c r="E283" s="2" t="s">
        <v>396</v>
      </c>
      <c r="F283" s="2" t="n">
        <v>90</v>
      </c>
    </row>
    <row r="284" customFormat="false" ht="16.4" hidden="false" customHeight="false" outlineLevel="0" collapsed="false">
      <c r="A284" s="2" t="n">
        <v>18</v>
      </c>
      <c r="B284" s="2" t="s">
        <v>411</v>
      </c>
      <c r="C284" s="2" t="s">
        <v>45</v>
      </c>
      <c r="D284" s="12" t="s">
        <v>820</v>
      </c>
      <c r="E284" s="2" t="s">
        <v>411</v>
      </c>
      <c r="F284" s="2" t="n">
        <v>79</v>
      </c>
    </row>
    <row r="285" customFormat="false" ht="16.4" hidden="false" customHeight="false" outlineLevel="0" collapsed="false">
      <c r="A285" s="2" t="n">
        <v>18</v>
      </c>
      <c r="B285" s="2" t="s">
        <v>333</v>
      </c>
      <c r="C285" s="2" t="s">
        <v>54</v>
      </c>
      <c r="D285" s="12" t="s">
        <v>821</v>
      </c>
      <c r="E285" s="2" t="s">
        <v>333</v>
      </c>
      <c r="F285" s="2" t="n">
        <v>73</v>
      </c>
    </row>
    <row r="286" customFormat="false" ht="15" hidden="false" customHeight="false" outlineLevel="0" collapsed="false">
      <c r="A286" s="2" t="n">
        <v>18</v>
      </c>
      <c r="B286" s="2" t="s">
        <v>108</v>
      </c>
      <c r="C286" s="2" t="s">
        <v>64</v>
      </c>
      <c r="D286" s="12" t="s">
        <v>65</v>
      </c>
      <c r="E286" s="12" t="s">
        <v>65</v>
      </c>
      <c r="F286" s="2" t="n">
        <v>0</v>
      </c>
    </row>
    <row r="287" customFormat="false" ht="16.4" hidden="false" customHeight="false" outlineLevel="0" collapsed="false">
      <c r="A287" s="2" t="n">
        <v>18</v>
      </c>
      <c r="B287" s="2" t="s">
        <v>167</v>
      </c>
      <c r="C287" s="2" t="s">
        <v>54</v>
      </c>
      <c r="D287" s="12" t="s">
        <v>822</v>
      </c>
      <c r="E287" s="2" t="s">
        <v>402</v>
      </c>
      <c r="F287" s="2" t="n">
        <v>85</v>
      </c>
    </row>
    <row r="288" customFormat="false" ht="15" hidden="false" customHeight="false" outlineLevel="0" collapsed="false">
      <c r="A288" s="2" t="n">
        <v>18</v>
      </c>
      <c r="B288" s="2" t="s">
        <v>404</v>
      </c>
      <c r="C288" s="2" t="s">
        <v>64</v>
      </c>
      <c r="D288" s="12" t="s">
        <v>65</v>
      </c>
      <c r="E288" s="12" t="s">
        <v>65</v>
      </c>
      <c r="F288" s="2" t="n">
        <v>0</v>
      </c>
    </row>
    <row r="289" customFormat="false" ht="16.4" hidden="false" customHeight="false" outlineLevel="0" collapsed="false">
      <c r="A289" s="2" t="n">
        <v>18</v>
      </c>
      <c r="B289" s="2" t="s">
        <v>403</v>
      </c>
      <c r="C289" s="2" t="s">
        <v>45</v>
      </c>
      <c r="D289" s="12" t="s">
        <v>823</v>
      </c>
      <c r="E289" s="2" t="s">
        <v>403</v>
      </c>
      <c r="F289" s="2" t="n">
        <v>75</v>
      </c>
    </row>
    <row r="290" customFormat="false" ht="16.4" hidden="false" customHeight="false" outlineLevel="0" collapsed="false">
      <c r="A290" s="2" t="n">
        <v>18</v>
      </c>
      <c r="B290" s="2" t="s">
        <v>410</v>
      </c>
      <c r="C290" s="2" t="s">
        <v>45</v>
      </c>
      <c r="D290" s="12" t="s">
        <v>824</v>
      </c>
      <c r="E290" s="2" t="s">
        <v>409</v>
      </c>
      <c r="F290" s="2" t="n">
        <v>89</v>
      </c>
    </row>
    <row r="291" customFormat="false" ht="16.4" hidden="false" customHeight="false" outlineLevel="0" collapsed="false">
      <c r="A291" s="2" t="n">
        <v>18</v>
      </c>
      <c r="B291" s="2" t="s">
        <v>408</v>
      </c>
      <c r="C291" s="2" t="s">
        <v>106</v>
      </c>
      <c r="D291" s="12" t="s">
        <v>824</v>
      </c>
      <c r="E291" s="2" t="s">
        <v>409</v>
      </c>
      <c r="F291" s="2" t="n">
        <v>89</v>
      </c>
    </row>
    <row r="292" customFormat="false" ht="16.4" hidden="false" customHeight="false" outlineLevel="0" collapsed="false">
      <c r="A292" s="2" t="n">
        <v>18</v>
      </c>
      <c r="B292" s="2" t="s">
        <v>415</v>
      </c>
      <c r="C292" s="2" t="s">
        <v>45</v>
      </c>
      <c r="D292" s="12" t="s">
        <v>825</v>
      </c>
      <c r="E292" s="2" t="s">
        <v>415</v>
      </c>
      <c r="F292" s="2" t="n">
        <v>84</v>
      </c>
    </row>
    <row r="293" customFormat="false" ht="16.4" hidden="false" customHeight="false" outlineLevel="0" collapsed="false">
      <c r="A293" s="2" t="n">
        <v>18</v>
      </c>
      <c r="B293" s="2" t="s">
        <v>412</v>
      </c>
      <c r="C293" s="2" t="s">
        <v>45</v>
      </c>
      <c r="D293" s="12" t="s">
        <v>826</v>
      </c>
      <c r="E293" s="2" t="s">
        <v>412</v>
      </c>
      <c r="F293" s="2" t="n">
        <v>78</v>
      </c>
    </row>
    <row r="294" customFormat="false" ht="16.4" hidden="false" customHeight="false" outlineLevel="0" collapsed="false">
      <c r="A294" s="2" t="n">
        <v>19</v>
      </c>
      <c r="B294" s="12" t="s">
        <v>425</v>
      </c>
      <c r="C294" s="2" t="s">
        <v>54</v>
      </c>
      <c r="D294" s="12" t="s">
        <v>827</v>
      </c>
      <c r="E294" s="2" t="s">
        <v>426</v>
      </c>
      <c r="F294" s="2" t="n">
        <v>75</v>
      </c>
    </row>
    <row r="295" customFormat="false" ht="15" hidden="false" customHeight="false" outlineLevel="0" collapsed="false">
      <c r="A295" s="2" t="n">
        <v>19</v>
      </c>
      <c r="B295" s="2" t="s">
        <v>428</v>
      </c>
      <c r="C295" s="2" t="s">
        <v>64</v>
      </c>
      <c r="D295" s="12" t="s">
        <v>65</v>
      </c>
      <c r="E295" s="12" t="s">
        <v>65</v>
      </c>
      <c r="F295" s="2" t="n">
        <v>0</v>
      </c>
    </row>
    <row r="296" customFormat="false" ht="16.4" hidden="false" customHeight="false" outlineLevel="0" collapsed="false">
      <c r="A296" s="2" t="n">
        <v>19</v>
      </c>
      <c r="B296" s="2" t="s">
        <v>418</v>
      </c>
      <c r="C296" s="2" t="s">
        <v>45</v>
      </c>
      <c r="D296" s="12" t="s">
        <v>828</v>
      </c>
      <c r="E296" s="2" t="s">
        <v>419</v>
      </c>
      <c r="F296" s="2" t="n">
        <v>25</v>
      </c>
    </row>
    <row r="297" customFormat="false" ht="15" hidden="false" customHeight="false" outlineLevel="0" collapsed="false">
      <c r="A297" s="2" t="n">
        <v>19</v>
      </c>
      <c r="B297" s="2" t="s">
        <v>429</v>
      </c>
      <c r="C297" s="2" t="s">
        <v>64</v>
      </c>
      <c r="D297" s="12" t="s">
        <v>65</v>
      </c>
      <c r="E297" s="12" t="s">
        <v>65</v>
      </c>
      <c r="F297" s="2" t="n">
        <v>0</v>
      </c>
    </row>
    <row r="298" customFormat="false" ht="16.4" hidden="false" customHeight="false" outlineLevel="0" collapsed="false">
      <c r="A298" s="2" t="n">
        <v>19</v>
      </c>
      <c r="B298" s="2" t="s">
        <v>416</v>
      </c>
      <c r="C298" s="2" t="s">
        <v>54</v>
      </c>
      <c r="D298" s="12" t="s">
        <v>829</v>
      </c>
      <c r="E298" s="2" t="s">
        <v>417</v>
      </c>
      <c r="F298" s="2" t="n">
        <v>59</v>
      </c>
    </row>
    <row r="299" customFormat="false" ht="16.4" hidden="false" customHeight="false" outlineLevel="0" collapsed="false">
      <c r="A299" s="2" t="n">
        <v>19</v>
      </c>
      <c r="B299" s="2" t="s">
        <v>430</v>
      </c>
      <c r="C299" s="2" t="s">
        <v>54</v>
      </c>
      <c r="D299" s="12" t="s">
        <v>830</v>
      </c>
      <c r="E299" s="2" t="s">
        <v>431</v>
      </c>
      <c r="F299" s="2" t="n">
        <v>84</v>
      </c>
    </row>
    <row r="300" customFormat="false" ht="16.4" hidden="false" customHeight="false" outlineLevel="0" collapsed="false">
      <c r="A300" s="2" t="n">
        <v>19</v>
      </c>
      <c r="B300" s="2" t="s">
        <v>432</v>
      </c>
      <c r="C300" s="2" t="s">
        <v>45</v>
      </c>
      <c r="D300" s="12" t="s">
        <v>831</v>
      </c>
      <c r="E300" s="2" t="s">
        <v>432</v>
      </c>
      <c r="F300" s="2" t="n">
        <v>77</v>
      </c>
    </row>
    <row r="301" customFormat="false" ht="16.4" hidden="false" customHeight="false" outlineLevel="0" collapsed="false">
      <c r="A301" s="2" t="n">
        <v>19</v>
      </c>
      <c r="B301" s="2" t="s">
        <v>433</v>
      </c>
      <c r="C301" s="2" t="s">
        <v>106</v>
      </c>
      <c r="D301" s="12" t="s">
        <v>831</v>
      </c>
      <c r="E301" s="2" t="s">
        <v>432</v>
      </c>
      <c r="F301" s="2" t="n">
        <v>77</v>
      </c>
    </row>
    <row r="302" customFormat="false" ht="16.4" hidden="false" customHeight="false" outlineLevel="0" collapsed="false">
      <c r="A302" s="2" t="n">
        <v>19</v>
      </c>
      <c r="B302" s="2" t="s">
        <v>422</v>
      </c>
      <c r="C302" s="2" t="s">
        <v>54</v>
      </c>
      <c r="D302" s="12" t="s">
        <v>832</v>
      </c>
      <c r="E302" s="2" t="s">
        <v>423</v>
      </c>
      <c r="F302" s="2" t="n">
        <v>86</v>
      </c>
    </row>
    <row r="303" customFormat="false" ht="16.4" hidden="false" customHeight="false" outlineLevel="0" collapsed="false">
      <c r="A303" s="2" t="n">
        <v>19</v>
      </c>
      <c r="B303" s="2" t="s">
        <v>424</v>
      </c>
      <c r="C303" s="2" t="s">
        <v>54</v>
      </c>
      <c r="D303" s="12" t="s">
        <v>832</v>
      </c>
      <c r="E303" s="2" t="s">
        <v>423</v>
      </c>
      <c r="F303" s="2" t="n">
        <v>86</v>
      </c>
    </row>
    <row r="304" customFormat="false" ht="15" hidden="false" customHeight="false" outlineLevel="0" collapsed="false">
      <c r="A304" s="2" t="n">
        <v>19</v>
      </c>
      <c r="B304" s="2" t="s">
        <v>427</v>
      </c>
      <c r="C304" s="2" t="s">
        <v>64</v>
      </c>
      <c r="D304" s="12" t="s">
        <v>65</v>
      </c>
      <c r="E304" s="12" t="s">
        <v>65</v>
      </c>
      <c r="F304" s="2" t="n">
        <v>0</v>
      </c>
    </row>
    <row r="305" customFormat="false" ht="16.4" hidden="false" customHeight="false" outlineLevel="0" collapsed="false">
      <c r="A305" s="2" t="n">
        <v>19</v>
      </c>
      <c r="B305" s="2" t="s">
        <v>420</v>
      </c>
      <c r="C305" s="2" t="s">
        <v>54</v>
      </c>
      <c r="D305" s="12" t="s">
        <v>773</v>
      </c>
      <c r="E305" s="2" t="s">
        <v>339</v>
      </c>
      <c r="F305" s="2" t="n">
        <v>86</v>
      </c>
    </row>
    <row r="306" customFormat="false" ht="16.4" hidden="false" customHeight="false" outlineLevel="0" collapsed="false">
      <c r="A306" s="2" t="n">
        <v>19</v>
      </c>
      <c r="B306" s="2" t="s">
        <v>421</v>
      </c>
      <c r="C306" s="2" t="s">
        <v>54</v>
      </c>
      <c r="D306" s="12" t="s">
        <v>773</v>
      </c>
      <c r="E306" s="2" t="s">
        <v>339</v>
      </c>
      <c r="F306" s="2" t="n">
        <v>86</v>
      </c>
    </row>
    <row r="307" customFormat="false" ht="16.4" hidden="false" customHeight="false" outlineLevel="0" collapsed="false">
      <c r="A307" s="2" t="n">
        <v>19</v>
      </c>
      <c r="B307" s="2" t="s">
        <v>434</v>
      </c>
      <c r="C307" s="2" t="s">
        <v>45</v>
      </c>
      <c r="D307" s="12" t="s">
        <v>833</v>
      </c>
      <c r="E307" s="2" t="s">
        <v>435</v>
      </c>
      <c r="F307" s="2" t="n">
        <v>33</v>
      </c>
    </row>
    <row r="308" customFormat="false" ht="15" hidden="false" customHeight="false" outlineLevel="0" collapsed="false">
      <c r="A308" s="2" t="n">
        <v>20</v>
      </c>
      <c r="B308" s="2" t="s">
        <v>448</v>
      </c>
      <c r="C308" s="2" t="s">
        <v>64</v>
      </c>
      <c r="D308" s="12" t="s">
        <v>65</v>
      </c>
      <c r="E308" s="12" t="s">
        <v>65</v>
      </c>
      <c r="F308" s="2" t="n">
        <v>0</v>
      </c>
    </row>
    <row r="309" customFormat="false" ht="16.4" hidden="false" customHeight="false" outlineLevel="0" collapsed="false">
      <c r="A309" s="2" t="n">
        <v>20</v>
      </c>
      <c r="B309" s="2" t="s">
        <v>452</v>
      </c>
      <c r="C309" s="2" t="s">
        <v>45</v>
      </c>
      <c r="D309" s="12" t="s">
        <v>834</v>
      </c>
      <c r="E309" s="2" t="s">
        <v>452</v>
      </c>
      <c r="F309" s="2" t="n">
        <v>73</v>
      </c>
    </row>
    <row r="310" customFormat="false" ht="16.4" hidden="false" customHeight="false" outlineLevel="0" collapsed="false">
      <c r="A310" s="2" t="n">
        <v>20</v>
      </c>
      <c r="B310" s="2" t="s">
        <v>436</v>
      </c>
      <c r="C310" s="2" t="s">
        <v>45</v>
      </c>
      <c r="D310" s="12" t="s">
        <v>835</v>
      </c>
      <c r="E310" s="2" t="s">
        <v>436</v>
      </c>
      <c r="F310" s="2" t="n">
        <v>89</v>
      </c>
    </row>
    <row r="311" customFormat="false" ht="15" hidden="false" customHeight="false" outlineLevel="0" collapsed="false">
      <c r="A311" s="2" t="n">
        <v>20</v>
      </c>
      <c r="B311" s="2" t="s">
        <v>449</v>
      </c>
      <c r="C311" s="2" t="s">
        <v>64</v>
      </c>
      <c r="D311" s="12" t="s">
        <v>65</v>
      </c>
      <c r="E311" s="12" t="s">
        <v>65</v>
      </c>
      <c r="F311" s="2" t="n">
        <v>0</v>
      </c>
    </row>
    <row r="312" customFormat="false" ht="15" hidden="false" customHeight="false" outlineLevel="0" collapsed="false">
      <c r="A312" s="2" t="n">
        <v>20</v>
      </c>
      <c r="B312" s="2" t="s">
        <v>443</v>
      </c>
      <c r="C312" s="2" t="s">
        <v>64</v>
      </c>
      <c r="D312" s="12" t="s">
        <v>65</v>
      </c>
      <c r="E312" s="12" t="s">
        <v>65</v>
      </c>
      <c r="F312" s="2" t="n">
        <v>0</v>
      </c>
    </row>
    <row r="313" customFormat="false" ht="15" hidden="false" customHeight="false" outlineLevel="0" collapsed="false">
      <c r="A313" s="2" t="n">
        <v>20</v>
      </c>
      <c r="B313" s="2" t="s">
        <v>444</v>
      </c>
      <c r="C313" s="2" t="s">
        <v>64</v>
      </c>
      <c r="D313" s="12" t="s">
        <v>65</v>
      </c>
      <c r="E313" s="12" t="s">
        <v>65</v>
      </c>
      <c r="F313" s="2" t="n">
        <v>0</v>
      </c>
    </row>
    <row r="314" customFormat="false" ht="15" hidden="false" customHeight="false" outlineLevel="0" collapsed="false">
      <c r="A314" s="2" t="n">
        <v>20</v>
      </c>
      <c r="B314" s="2" t="s">
        <v>437</v>
      </c>
      <c r="C314" s="2" t="s">
        <v>64</v>
      </c>
      <c r="D314" s="12" t="s">
        <v>65</v>
      </c>
      <c r="E314" s="12" t="s">
        <v>65</v>
      </c>
      <c r="F314" s="2" t="n">
        <v>0</v>
      </c>
    </row>
    <row r="315" customFormat="false" ht="15" hidden="false" customHeight="false" outlineLevel="0" collapsed="false">
      <c r="A315" s="2" t="n">
        <v>20</v>
      </c>
      <c r="B315" s="2" t="s">
        <v>440</v>
      </c>
      <c r="C315" s="2" t="s">
        <v>64</v>
      </c>
      <c r="D315" s="12" t="s">
        <v>65</v>
      </c>
      <c r="E315" s="12" t="s">
        <v>65</v>
      </c>
      <c r="F315" s="2" t="n">
        <v>0</v>
      </c>
    </row>
    <row r="316" customFormat="false" ht="15" hidden="false" customHeight="false" outlineLevel="0" collapsed="false">
      <c r="A316" s="2" t="n">
        <v>20</v>
      </c>
      <c r="B316" s="2" t="s">
        <v>450</v>
      </c>
      <c r="C316" s="2" t="s">
        <v>64</v>
      </c>
      <c r="D316" s="12" t="s">
        <v>65</v>
      </c>
      <c r="E316" s="12" t="s">
        <v>65</v>
      </c>
      <c r="F316" s="2" t="n">
        <v>0</v>
      </c>
    </row>
    <row r="317" customFormat="false" ht="15" hidden="false" customHeight="false" outlineLevel="0" collapsed="false">
      <c r="A317" s="2" t="n">
        <v>20</v>
      </c>
      <c r="B317" s="2" t="s">
        <v>439</v>
      </c>
      <c r="C317" s="2" t="s">
        <v>64</v>
      </c>
      <c r="D317" s="12" t="s">
        <v>65</v>
      </c>
      <c r="E317" s="12" t="s">
        <v>65</v>
      </c>
      <c r="F317" s="2" t="n">
        <v>0</v>
      </c>
    </row>
    <row r="318" customFormat="false" ht="15" hidden="false" customHeight="false" outlineLevel="0" collapsed="false">
      <c r="A318" s="2" t="n">
        <v>20</v>
      </c>
      <c r="B318" s="2" t="s">
        <v>438</v>
      </c>
      <c r="C318" s="2" t="s">
        <v>64</v>
      </c>
      <c r="D318" s="12" t="s">
        <v>65</v>
      </c>
      <c r="E318" s="12" t="s">
        <v>65</v>
      </c>
      <c r="F318" s="2" t="n">
        <v>0</v>
      </c>
    </row>
    <row r="319" customFormat="false" ht="15" hidden="false" customHeight="false" outlineLevel="0" collapsed="false">
      <c r="A319" s="2" t="n">
        <v>20</v>
      </c>
      <c r="B319" s="2" t="s">
        <v>447</v>
      </c>
      <c r="C319" s="2" t="s">
        <v>64</v>
      </c>
      <c r="D319" s="12" t="s">
        <v>65</v>
      </c>
      <c r="E319" s="12" t="s">
        <v>65</v>
      </c>
      <c r="F319" s="2" t="n">
        <v>0</v>
      </c>
    </row>
    <row r="320" customFormat="false" ht="15" hidden="false" customHeight="false" outlineLevel="0" collapsed="false">
      <c r="A320" s="2" t="n">
        <v>20</v>
      </c>
      <c r="B320" s="2" t="s">
        <v>442</v>
      </c>
      <c r="C320" s="2" t="s">
        <v>64</v>
      </c>
      <c r="D320" s="12" t="s">
        <v>65</v>
      </c>
      <c r="E320" s="12" t="s">
        <v>65</v>
      </c>
      <c r="F320" s="2" t="n">
        <v>0</v>
      </c>
    </row>
    <row r="321" customFormat="false" ht="15" hidden="false" customHeight="false" outlineLevel="0" collapsed="false">
      <c r="A321" s="2" t="n">
        <v>20</v>
      </c>
      <c r="B321" s="2" t="s">
        <v>451</v>
      </c>
      <c r="C321" s="2" t="s">
        <v>64</v>
      </c>
      <c r="D321" s="12" t="s">
        <v>65</v>
      </c>
      <c r="E321" s="12" t="s">
        <v>65</v>
      </c>
      <c r="F321" s="2" t="n">
        <v>0</v>
      </c>
    </row>
    <row r="322" customFormat="false" ht="15" hidden="false" customHeight="false" outlineLevel="0" collapsed="false">
      <c r="A322" s="2" t="n">
        <v>20</v>
      </c>
      <c r="B322" s="2" t="s">
        <v>441</v>
      </c>
      <c r="C322" s="2" t="s">
        <v>64</v>
      </c>
      <c r="D322" s="12" t="s">
        <v>65</v>
      </c>
      <c r="E322" s="12" t="s">
        <v>65</v>
      </c>
      <c r="F322" s="2" t="n">
        <v>0</v>
      </c>
    </row>
    <row r="323" customFormat="false" ht="15" hidden="false" customHeight="false" outlineLevel="0" collapsed="false">
      <c r="A323" s="2" t="n">
        <v>20</v>
      </c>
      <c r="B323" s="2" t="s">
        <v>445</v>
      </c>
      <c r="C323" s="2" t="s">
        <v>64</v>
      </c>
      <c r="D323" s="12" t="s">
        <v>65</v>
      </c>
      <c r="E323" s="12" t="s">
        <v>65</v>
      </c>
      <c r="F323" s="2" t="n">
        <v>0</v>
      </c>
    </row>
    <row r="324" customFormat="false" ht="16.4" hidden="false" customHeight="false" outlineLevel="0" collapsed="false">
      <c r="A324" s="2" t="n">
        <v>20</v>
      </c>
      <c r="B324" s="2" t="s">
        <v>453</v>
      </c>
      <c r="C324" s="2" t="s">
        <v>54</v>
      </c>
      <c r="D324" s="12" t="s">
        <v>791</v>
      </c>
      <c r="E324" s="2" t="s">
        <v>361</v>
      </c>
      <c r="F324" s="2" t="n">
        <v>82</v>
      </c>
    </row>
    <row r="325" customFormat="false" ht="15" hidden="false" customHeight="false" outlineLevel="0" collapsed="false">
      <c r="A325" s="2" t="n">
        <v>20</v>
      </c>
      <c r="B325" s="2" t="s">
        <v>446</v>
      </c>
      <c r="C325" s="2" t="s">
        <v>64</v>
      </c>
      <c r="D325" s="12" t="s">
        <v>65</v>
      </c>
      <c r="E325" s="12" t="s">
        <v>65</v>
      </c>
      <c r="F325" s="2" t="n">
        <v>0</v>
      </c>
    </row>
    <row r="326" customFormat="false" ht="15" hidden="false" customHeight="false" outlineLevel="0" collapsed="false">
      <c r="A326" s="2" t="n">
        <v>21</v>
      </c>
      <c r="B326" s="2" t="s">
        <v>459</v>
      </c>
      <c r="C326" s="2" t="s">
        <v>64</v>
      </c>
      <c r="D326" s="12" t="s">
        <v>65</v>
      </c>
      <c r="E326" s="12" t="s">
        <v>65</v>
      </c>
      <c r="F326" s="2" t="n">
        <v>0</v>
      </c>
    </row>
    <row r="327" customFormat="false" ht="16.4" hidden="false" customHeight="false" outlineLevel="0" collapsed="false">
      <c r="A327" s="2" t="n">
        <v>21</v>
      </c>
      <c r="B327" s="2" t="s">
        <v>463</v>
      </c>
      <c r="C327" s="2" t="s">
        <v>106</v>
      </c>
      <c r="D327" s="12" t="s">
        <v>836</v>
      </c>
      <c r="E327" s="2" t="s">
        <v>464</v>
      </c>
      <c r="F327" s="2" t="n">
        <v>86</v>
      </c>
    </row>
    <row r="328" customFormat="false" ht="15" hidden="false" customHeight="false" outlineLevel="0" collapsed="false">
      <c r="A328" s="2" t="n">
        <v>21</v>
      </c>
      <c r="B328" s="2" t="s">
        <v>200</v>
      </c>
      <c r="C328" s="2" t="s">
        <v>64</v>
      </c>
      <c r="D328" s="12" t="s">
        <v>65</v>
      </c>
      <c r="E328" s="12" t="s">
        <v>65</v>
      </c>
      <c r="F328" s="2" t="n">
        <v>0</v>
      </c>
    </row>
    <row r="329" customFormat="false" ht="16.4" hidden="false" customHeight="false" outlineLevel="0" collapsed="false">
      <c r="A329" s="2" t="n">
        <v>21</v>
      </c>
      <c r="B329" s="2" t="s">
        <v>468</v>
      </c>
      <c r="C329" s="2" t="s">
        <v>45</v>
      </c>
      <c r="D329" s="12" t="s">
        <v>837</v>
      </c>
      <c r="E329" s="2" t="s">
        <v>468</v>
      </c>
      <c r="F329" s="2" t="n">
        <v>41</v>
      </c>
    </row>
    <row r="330" customFormat="false" ht="16.4" hidden="false" customHeight="false" outlineLevel="0" collapsed="false">
      <c r="A330" s="2" t="n">
        <v>21</v>
      </c>
      <c r="B330" s="2" t="s">
        <v>455</v>
      </c>
      <c r="C330" s="2" t="s">
        <v>54</v>
      </c>
      <c r="D330" s="12" t="s">
        <v>838</v>
      </c>
      <c r="E330" s="2" t="s">
        <v>455</v>
      </c>
      <c r="F330" s="2" t="n">
        <v>23</v>
      </c>
    </row>
    <row r="331" customFormat="false" ht="15" hidden="false" customHeight="false" outlineLevel="0" collapsed="false">
      <c r="A331" s="2" t="n">
        <v>21</v>
      </c>
      <c r="B331" s="2" t="s">
        <v>460</v>
      </c>
      <c r="C331" s="2" t="s">
        <v>64</v>
      </c>
      <c r="D331" s="12" t="s">
        <v>65</v>
      </c>
      <c r="E331" s="12" t="s">
        <v>65</v>
      </c>
      <c r="F331" s="2" t="n">
        <v>0</v>
      </c>
    </row>
    <row r="332" customFormat="false" ht="16.4" hidden="false" customHeight="false" outlineLevel="0" collapsed="false">
      <c r="A332" s="2" t="n">
        <v>21</v>
      </c>
      <c r="B332" s="2" t="s">
        <v>467</v>
      </c>
      <c r="C332" s="2" t="s">
        <v>45</v>
      </c>
      <c r="D332" s="12" t="s">
        <v>839</v>
      </c>
      <c r="E332" s="2" t="s">
        <v>467</v>
      </c>
      <c r="F332" s="2" t="n">
        <v>2</v>
      </c>
    </row>
    <row r="333" customFormat="false" ht="16.4" hidden="false" customHeight="false" outlineLevel="0" collapsed="false">
      <c r="A333" s="2" t="n">
        <v>21</v>
      </c>
      <c r="B333" s="2" t="s">
        <v>457</v>
      </c>
      <c r="C333" s="2" t="s">
        <v>54</v>
      </c>
      <c r="D333" s="12" t="s">
        <v>840</v>
      </c>
      <c r="E333" s="2" t="s">
        <v>458</v>
      </c>
      <c r="F333" s="2" t="n">
        <v>84</v>
      </c>
    </row>
    <row r="334" customFormat="false" ht="16.4" hidden="false" customHeight="false" outlineLevel="0" collapsed="false">
      <c r="A334" s="2" t="n">
        <v>21</v>
      </c>
      <c r="B334" s="2" t="s">
        <v>465</v>
      </c>
      <c r="C334" s="2" t="s">
        <v>45</v>
      </c>
      <c r="D334" s="12" t="s">
        <v>841</v>
      </c>
      <c r="E334" s="2" t="s">
        <v>465</v>
      </c>
      <c r="F334" s="2" t="n">
        <v>86</v>
      </c>
    </row>
    <row r="335" customFormat="false" ht="16.4" hidden="false" customHeight="false" outlineLevel="0" collapsed="false">
      <c r="A335" s="2" t="n">
        <v>21</v>
      </c>
      <c r="B335" s="2" t="s">
        <v>456</v>
      </c>
      <c r="C335" s="2" t="s">
        <v>45</v>
      </c>
      <c r="D335" s="12" t="s">
        <v>842</v>
      </c>
      <c r="E335" s="2" t="s">
        <v>456</v>
      </c>
      <c r="F335" s="2" t="n">
        <v>50</v>
      </c>
    </row>
    <row r="336" customFormat="false" ht="16.4" hidden="false" customHeight="false" outlineLevel="0" collapsed="false">
      <c r="A336" s="2" t="n">
        <v>21</v>
      </c>
      <c r="B336" s="2" t="s">
        <v>128</v>
      </c>
      <c r="C336" s="2" t="s">
        <v>54</v>
      </c>
      <c r="D336" s="12" t="s">
        <v>843</v>
      </c>
      <c r="E336" s="2" t="s">
        <v>454</v>
      </c>
      <c r="F336" s="2" t="n">
        <v>89</v>
      </c>
    </row>
    <row r="337" customFormat="false" ht="16.4" hidden="false" customHeight="false" outlineLevel="0" collapsed="false">
      <c r="A337" s="2" t="n">
        <v>21</v>
      </c>
      <c r="B337" s="2" t="s">
        <v>466</v>
      </c>
      <c r="C337" s="2" t="s">
        <v>45</v>
      </c>
      <c r="D337" s="12" t="s">
        <v>844</v>
      </c>
      <c r="E337" s="2" t="s">
        <v>466</v>
      </c>
      <c r="F337" s="2" t="n">
        <v>59</v>
      </c>
    </row>
    <row r="338" customFormat="false" ht="16.4" hidden="false" customHeight="false" outlineLevel="0" collapsed="false">
      <c r="A338" s="2" t="n">
        <v>21</v>
      </c>
      <c r="B338" s="2" t="s">
        <v>461</v>
      </c>
      <c r="C338" s="2" t="s">
        <v>54</v>
      </c>
      <c r="D338" s="12" t="s">
        <v>845</v>
      </c>
      <c r="E338" s="2" t="s">
        <v>462</v>
      </c>
      <c r="F338" s="2" t="n">
        <v>79</v>
      </c>
    </row>
    <row r="339" customFormat="false" ht="16.4" hidden="false" customHeight="false" outlineLevel="0" collapsed="false">
      <c r="A339" s="2" t="n">
        <v>22</v>
      </c>
      <c r="B339" s="2" t="s">
        <v>295</v>
      </c>
      <c r="C339" s="2" t="s">
        <v>45</v>
      </c>
      <c r="D339" s="12" t="s">
        <v>750</v>
      </c>
      <c r="E339" s="2" t="s">
        <v>295</v>
      </c>
      <c r="F339" s="2" t="n">
        <v>72</v>
      </c>
    </row>
    <row r="340" customFormat="false" ht="16.4" hidden="false" customHeight="false" outlineLevel="0" collapsed="false">
      <c r="A340" s="2" t="n">
        <v>22</v>
      </c>
      <c r="B340" s="2" t="s">
        <v>472</v>
      </c>
      <c r="C340" s="2" t="s">
        <v>45</v>
      </c>
      <c r="D340" s="12" t="s">
        <v>846</v>
      </c>
      <c r="E340" s="2" t="s">
        <v>472</v>
      </c>
      <c r="F340" s="2" t="n">
        <v>86</v>
      </c>
    </row>
    <row r="341" customFormat="false" ht="16.4" hidden="false" customHeight="false" outlineLevel="0" collapsed="false">
      <c r="A341" s="2" t="n">
        <v>22</v>
      </c>
      <c r="B341" s="2" t="s">
        <v>474</v>
      </c>
      <c r="C341" s="2" t="s">
        <v>45</v>
      </c>
      <c r="D341" s="12" t="s">
        <v>847</v>
      </c>
      <c r="E341" s="2" t="s">
        <v>474</v>
      </c>
      <c r="F341" s="2" t="n">
        <v>48</v>
      </c>
    </row>
    <row r="342" customFormat="false" ht="16.4" hidden="false" customHeight="false" outlineLevel="0" collapsed="false">
      <c r="A342" s="2" t="n">
        <v>22</v>
      </c>
      <c r="B342" s="2" t="s">
        <v>473</v>
      </c>
      <c r="C342" s="2" t="s">
        <v>45</v>
      </c>
      <c r="D342" s="12" t="s">
        <v>848</v>
      </c>
      <c r="E342" s="2" t="s">
        <v>473</v>
      </c>
      <c r="F342" s="2" t="n">
        <v>85</v>
      </c>
    </row>
    <row r="343" customFormat="false" ht="15" hidden="false" customHeight="false" outlineLevel="0" collapsed="false">
      <c r="A343" s="2" t="n">
        <v>22</v>
      </c>
      <c r="B343" s="2" t="s">
        <v>477</v>
      </c>
      <c r="C343" s="2" t="s">
        <v>64</v>
      </c>
      <c r="D343" s="12" t="s">
        <v>65</v>
      </c>
      <c r="E343" s="12" t="s">
        <v>65</v>
      </c>
      <c r="F343" s="2" t="n">
        <v>0</v>
      </c>
    </row>
    <row r="344" customFormat="false" ht="16.4" hidden="false" customHeight="false" outlineLevel="0" collapsed="false">
      <c r="A344" s="2" t="n">
        <v>22</v>
      </c>
      <c r="B344" s="2" t="s">
        <v>478</v>
      </c>
      <c r="C344" s="2" t="s">
        <v>54</v>
      </c>
      <c r="D344" s="12" t="s">
        <v>849</v>
      </c>
      <c r="E344" s="2" t="s">
        <v>479</v>
      </c>
      <c r="F344" s="2" t="n">
        <v>168</v>
      </c>
    </row>
    <row r="345" customFormat="false" ht="16.4" hidden="false" customHeight="false" outlineLevel="0" collapsed="false">
      <c r="A345" s="2" t="n">
        <v>22</v>
      </c>
      <c r="B345" s="2" t="s">
        <v>481</v>
      </c>
      <c r="C345" s="2" t="s">
        <v>45</v>
      </c>
      <c r="D345" s="12" t="s">
        <v>850</v>
      </c>
      <c r="E345" s="2" t="s">
        <v>482</v>
      </c>
      <c r="F345" s="2" t="n">
        <v>79</v>
      </c>
    </row>
    <row r="346" customFormat="false" ht="16.4" hidden="false" customHeight="false" outlineLevel="0" collapsed="false">
      <c r="A346" s="2" t="n">
        <v>22</v>
      </c>
      <c r="B346" s="2" t="s">
        <v>469</v>
      </c>
      <c r="C346" s="2" t="s">
        <v>45</v>
      </c>
      <c r="D346" s="12" t="s">
        <v>851</v>
      </c>
      <c r="E346" s="2" t="s">
        <v>470</v>
      </c>
      <c r="F346" s="2" t="n">
        <v>62</v>
      </c>
    </row>
    <row r="347" customFormat="false" ht="15" hidden="false" customHeight="false" outlineLevel="0" collapsed="false">
      <c r="A347" s="2" t="n">
        <v>22</v>
      </c>
      <c r="B347" s="2" t="s">
        <v>476</v>
      </c>
      <c r="C347" s="2" t="s">
        <v>64</v>
      </c>
      <c r="D347" s="12" t="s">
        <v>65</v>
      </c>
      <c r="E347" s="12" t="s">
        <v>65</v>
      </c>
      <c r="F347" s="2" t="n">
        <v>0</v>
      </c>
    </row>
    <row r="348" customFormat="false" ht="16.4" hidden="false" customHeight="false" outlineLevel="0" collapsed="false">
      <c r="A348" s="2" t="n">
        <v>22</v>
      </c>
      <c r="B348" s="2" t="s">
        <v>480</v>
      </c>
      <c r="C348" s="2" t="s">
        <v>45</v>
      </c>
      <c r="D348" s="12" t="s">
        <v>852</v>
      </c>
      <c r="E348" s="2" t="s">
        <v>480</v>
      </c>
      <c r="F348" s="2" t="n">
        <v>82</v>
      </c>
    </row>
    <row r="349" customFormat="false" ht="16.4" hidden="false" customHeight="false" outlineLevel="0" collapsed="false">
      <c r="A349" s="2" t="n">
        <v>22</v>
      </c>
      <c r="B349" s="2" t="s">
        <v>471</v>
      </c>
      <c r="C349" s="2" t="s">
        <v>45</v>
      </c>
      <c r="D349" s="12" t="s">
        <v>853</v>
      </c>
      <c r="E349" s="2" t="s">
        <v>471</v>
      </c>
      <c r="F349" s="2" t="n">
        <v>72</v>
      </c>
    </row>
    <row r="350" customFormat="false" ht="16.4" hidden="false" customHeight="false" outlineLevel="0" collapsed="false">
      <c r="A350" s="2" t="n">
        <v>22</v>
      </c>
      <c r="B350" s="2" t="s">
        <v>475</v>
      </c>
      <c r="C350" s="2" t="s">
        <v>45</v>
      </c>
      <c r="D350" s="12" t="s">
        <v>744</v>
      </c>
      <c r="E350" s="2" t="s">
        <v>271</v>
      </c>
      <c r="F350" s="2" t="n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6.4" hidden="false" customHeight="false" outlineLevel="0" collapsed="false">
      <c r="A1" s="15" t="s">
        <v>854</v>
      </c>
      <c r="B1" s="16" t="s">
        <v>855</v>
      </c>
    </row>
    <row r="2" customFormat="false" ht="31.3" hidden="false" customHeight="false" outlineLevel="0" collapsed="false">
      <c r="A2" s="17" t="s">
        <v>856</v>
      </c>
      <c r="B2" s="18" t="s">
        <v>857</v>
      </c>
    </row>
    <row r="3" customFormat="false" ht="29.85" hidden="false" customHeight="false" outlineLevel="0" collapsed="false">
      <c r="A3" s="17" t="s">
        <v>858</v>
      </c>
      <c r="B3" s="18" t="s">
        <v>859</v>
      </c>
    </row>
    <row r="4" customFormat="false" ht="31.3" hidden="false" customHeight="false" outlineLevel="0" collapsed="false">
      <c r="A4" s="17" t="s">
        <v>860</v>
      </c>
      <c r="B4" s="18" t="s">
        <v>861</v>
      </c>
    </row>
    <row r="5" customFormat="false" ht="31.3" hidden="false" customHeight="false" outlineLevel="0" collapsed="false">
      <c r="A5" s="17" t="s">
        <v>862</v>
      </c>
      <c r="B5" s="18" t="s">
        <v>863</v>
      </c>
    </row>
    <row r="6" customFormat="false" ht="31.3" hidden="false" customHeight="false" outlineLevel="0" collapsed="false">
      <c r="A6" s="17" t="s">
        <v>864</v>
      </c>
      <c r="B6" s="18" t="s">
        <v>865</v>
      </c>
    </row>
    <row r="7" customFormat="false" ht="16.4" hidden="false" customHeight="false" outlineLevel="0" collapsed="false">
      <c r="A7" s="17" t="s">
        <v>866</v>
      </c>
      <c r="B7" s="18" t="s">
        <v>867</v>
      </c>
    </row>
    <row r="8" customFormat="false" ht="16.4" hidden="false" customHeight="false" outlineLevel="0" collapsed="false">
      <c r="A8" s="17" t="s">
        <v>868</v>
      </c>
      <c r="B8" s="18" t="s">
        <v>869</v>
      </c>
    </row>
    <row r="9" customFormat="false" ht="16.4" hidden="false" customHeight="false" outlineLevel="0" collapsed="false">
      <c r="A9" s="17" t="s">
        <v>870</v>
      </c>
      <c r="B9" s="18" t="s">
        <v>871</v>
      </c>
    </row>
    <row r="10" customFormat="false" ht="16.4" hidden="false" customHeight="false" outlineLevel="0" collapsed="false">
      <c r="A10" s="17" t="s">
        <v>872</v>
      </c>
      <c r="B10" s="18" t="s">
        <v>873</v>
      </c>
    </row>
    <row r="11" customFormat="false" ht="31.3" hidden="false" customHeight="false" outlineLevel="0" collapsed="false">
      <c r="A11" s="17" t="s">
        <v>874</v>
      </c>
      <c r="B11" s="18" t="s">
        <v>875</v>
      </c>
    </row>
    <row r="12" customFormat="false" ht="61.15" hidden="false" customHeight="false" outlineLevel="0" collapsed="false">
      <c r="A12" s="17" t="s">
        <v>876</v>
      </c>
      <c r="B12" s="18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2026-10-07T09:11:16Z</dcterms:created>
  <dc:creator>openpyxl</dc:creator>
  <dc:description/>
  <dc:language>en-US</dc:language>
  <cp:lastModifiedBy/>
  <dcterms:modified xsi:type="dcterms:W3CDTF">2026-10-07T09:11:17Z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