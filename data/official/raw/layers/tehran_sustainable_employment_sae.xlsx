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راهنما" sheetId="1" state="visible" r:id="rId3"/>
    <sheet name="محلات" sheetId="2" state="visible" r:id="rId4"/>
    <sheet name="مناطق" sheetId="3" state="visible" r:id="rId5"/>
    <sheet name="مدل و اعتبارسنجی" sheetId="4" state="visible" r:id="rId6"/>
    <sheet name="داده خام ۱۳۸۵" sheetId="5" state="visible" r:id="rId7"/>
    <sheet name="منابع و رو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<sst xmlns="http://schemas.openxmlformats.org/spreadsheetml/2006/main" count="1561" uniqueCount="590">
  <si>
    <t xml:space="preserve">اشتغال پایدار ساکنان محلات تهران — برآورد محله به محله</t>
  </si>
  <si>
    <r>
      <rPr>
        <b val="true"/>
        <sz val="11"/>
        <rFont val="Noto Sans"/>
        <family val="2"/>
      </rPr>
      <t xml:space="preserve">وزن‌های شاخص ترکیبی اشتغال پایدار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Noto Sans"/>
        <family val="2"/>
      </rPr>
      <t xml:space="preserve">قابل تغییر</t>
    </r>
    <r>
      <rPr>
        <b val="true"/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</si>
  <si>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نرخ اشتغال پایدار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غیرآسیب‌پذیر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از نیروی کار</t>
    </r>
  </si>
  <si>
    <r>
      <rPr>
        <sz val="11"/>
        <rFont val="Noto Sans"/>
        <family val="2"/>
      </rPr>
      <t xml:space="preserve">شاغلان مزد و حقوق‌بگیر و کارفرما </t>
    </r>
    <r>
      <rPr>
        <sz val="11"/>
        <rFont val="Tahoma"/>
        <family val="0"/>
        <charset val="1"/>
      </rPr>
      <t xml:space="preserve">÷ </t>
    </r>
    <r>
      <rPr>
        <sz val="11"/>
        <rFont val="Noto Sans"/>
        <family val="2"/>
      </rPr>
      <t xml:space="preserve">نیروی کار</t>
    </r>
  </si>
  <si>
    <r>
      <rPr>
        <sz val="11"/>
        <rFont val="Noto Sans"/>
        <family val="2"/>
      </rPr>
      <t xml:space="preserve">سهم مشاغل تخصصی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مدیران، متخصصان، تکنسین‌ها</t>
    </r>
    <r>
      <rPr>
        <sz val="11"/>
        <rFont val="Tahoma"/>
        <family val="0"/>
        <charset val="1"/>
      </rPr>
      <t xml:space="preserve">)</t>
    </r>
  </si>
  <si>
    <t xml:space="preserve">کیفیت و ثبات شغل</t>
  </si>
  <si>
    <t xml:space="preserve">نسبت اشتغال به جمعیت ۱۰ ساله و بیشتر</t>
  </si>
  <si>
    <t xml:space="preserve">گستره اشتغال</t>
  </si>
  <si>
    <r>
      <rPr>
        <sz val="11"/>
        <rFont val="Noto Sans"/>
        <family val="2"/>
      </rPr>
      <t xml:space="preserve">عدم بیکاری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۱۰۰ − نرخ بیکاری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</si>
  <si>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مجموع وزن‌ها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باید ۱ باشد</t>
    </r>
    <r>
      <rPr>
        <sz val="11"/>
        <rFont val="Tahoma"/>
        <family val="0"/>
        <charset val="1"/>
      </rPr>
      <t xml:space="preserve">)</t>
    </r>
  </si>
  <si>
    <t xml:space="preserve">خلاصه نتایج</t>
  </si>
  <si>
    <t xml:space="preserve">تعداد محلات</t>
  </si>
  <si>
    <t xml:space="preserve">جمعیت کل</t>
  </si>
  <si>
    <t xml:space="preserve">شاغلان برآوردی</t>
  </si>
  <si>
    <t xml:space="preserve">شاغلان پایدار برآوردی</t>
  </si>
  <si>
    <r>
      <rPr>
        <sz val="11"/>
        <rFont val="Noto Sans"/>
        <family val="2"/>
      </rPr>
      <t xml:space="preserve">نرخ بیکاری شهر 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۱۳۹۵</t>
    </r>
    <r>
      <rPr>
        <sz val="11"/>
        <rFont val="Tahoma"/>
        <family val="0"/>
        <charset val="1"/>
      </rPr>
      <t xml:space="preserve">)</t>
    </r>
  </si>
  <si>
    <t xml:space="preserve">سهم شاغلان پایدار از کل شاغلان ٪</t>
  </si>
  <si>
    <r>
      <rPr>
        <sz val="11"/>
        <rFont val="Noto Sans"/>
        <family val="2"/>
      </rPr>
      <t xml:space="preserve">محلات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بالا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</si>
  <si>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بالا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</si>
  <si>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متوسط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</si>
  <si>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پایین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</si>
  <si>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پایین</t>
    </r>
    <r>
      <rPr>
        <sz val="11"/>
        <rFont val="Tahoma"/>
        <family val="0"/>
        <charset val="1"/>
      </rPr>
      <t xml:space="preserve">»</t>
    </r>
  </si>
  <si>
    <t xml:space="preserve">بیشترین نرخ اشتغال پایدار محله ٪</t>
  </si>
  <si>
    <t xml:space="preserve">کمترین نرخ اشتغال پایدار محله ٪</t>
  </si>
  <si>
    <r>
      <rPr>
        <sz val="11"/>
        <rFont val="Noto Sans"/>
        <family val="2"/>
      </rPr>
      <t xml:space="preserve">محلات دارای تفکیک درون‌منطقه‌ای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کیفیت </t>
    </r>
    <r>
      <rPr>
        <sz val="11"/>
        <rFont val="Tahoma"/>
        <family val="0"/>
        <charset val="1"/>
      </rPr>
      <t xml:space="preserve">A </t>
    </r>
    <r>
      <rPr>
        <sz val="11"/>
        <rFont val="Noto Sans"/>
        <family val="2"/>
      </rPr>
      <t xml:space="preserve">تا </t>
    </r>
    <r>
      <rPr>
        <sz val="11"/>
        <rFont val="Tahoma"/>
        <family val="0"/>
        <charset val="1"/>
      </rPr>
      <t xml:space="preserve">C)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</si>
  <si>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محلات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برای هر ۳۴۹ محله، شاخص ترکیبی، نرخ اشتغال پایدار، بیکاری، نسبت اشتغال، مشارکت، سهم اشتغال آسیب‌پذیر، بخش عمومی، مشاغل تخصصی و تعداد برآوردی شاغلان، بیکاران و شاغلان پایدار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</si>
  <si>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مناطق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داده رسمی سرشماری ۱۳۹۵ و ۱۳۸۵ برای ۲۲ منطقه و ستون‌های کنترل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جمع برآورد محلات </t>
    </r>
    <r>
      <rPr>
        <sz val="11"/>
        <rFont val="Tahoma"/>
        <family val="0"/>
        <charset val="1"/>
      </rPr>
      <t xml:space="preserve">= </t>
    </r>
    <r>
      <rPr>
        <sz val="11"/>
        <rFont val="Noto Sans"/>
        <family val="2"/>
      </rPr>
      <t xml:space="preserve">آمار منطقه</t>
    </r>
    <r>
      <rPr>
        <sz val="11"/>
        <rFont val="Tahoma"/>
        <family val="0"/>
        <charset val="1"/>
      </rPr>
      <t xml:space="preserve">).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</si>
  <si>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مدل و اعتبارسنجی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کدام شاخص‌ها درون منطقه تفکیک شده‌اند و دقت مدل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</si>
  <si>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هشدار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ارقام محله‌ای برآوردی‌اند، نه شمارش مستقیم سرشماری</t>
    </r>
    <r>
      <rPr>
        <sz val="11"/>
        <rFont val="Tahoma"/>
        <family val="0"/>
        <charset val="1"/>
      </rPr>
      <t xml:space="preserve">.</t>
    </r>
  </si>
  <si>
    <t xml:space="preserve">ردیف</t>
  </si>
  <si>
    <t xml:space="preserve">منطقه</t>
  </si>
  <si>
    <t xml:space="preserve">محله</t>
  </si>
  <si>
    <r>
      <rPr>
        <b val="true"/>
        <sz val="11"/>
        <color rgb="FFFFFFFF"/>
        <rFont val="Noto Sans"/>
        <family val="2"/>
      </rPr>
      <t xml:space="preserve">جمعیت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حدود ۱۳۹۵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</si>
  <si>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جمعیت ۱۰ ساله و بیشتر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برآورد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</si>
  <si>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شاخص ترکیبی اشتغال پایدار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۰ تا ۱۰۰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</si>
  <si>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سطح اشتغال پایدار</t>
  </si>
  <si>
    <t xml:space="preserve">نرخ اشتغال پایدار ٪ از نیروی کار</t>
  </si>
  <si>
    <t xml:space="preserve">نرخ بیکاری ٪</t>
  </si>
  <si>
    <r>
      <rPr>
        <b val="true"/>
        <sz val="11"/>
        <color rgb="FFFFFFFF"/>
        <rFont val="Noto Sans"/>
        <family val="2"/>
      </rPr>
      <t xml:space="preserve">نسبت اشتغال به جمعیت ۱۰</t>
    </r>
    <r>
      <rPr>
        <b val="true"/>
        <sz val="11"/>
        <color rgb="FFFFFFFF"/>
        <rFont val="Tahoma"/>
        <family val="0"/>
        <charset val="1"/>
      </rPr>
      <t xml:space="preserve">+ </t>
    </r>
    <r>
      <rPr>
        <b val="true"/>
        <sz val="11"/>
        <color rgb="FFFFFFFF"/>
        <rFont val="Noto Sans"/>
        <family val="2"/>
      </rPr>
      <t xml:space="preserve">٪</t>
    </r>
  </si>
  <si>
    <t xml:space="preserve">نرخ مشارکت اقتصادی ٪</t>
  </si>
  <si>
    <r>
      <rPr>
        <b val="true"/>
        <sz val="11"/>
        <color rgb="FFFFFFFF"/>
        <rFont val="Noto Sans"/>
        <family val="2"/>
      </rPr>
      <t xml:space="preserve">سهم اشتغال آسیب‌پذیر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کارکن مستقل </t>
    </r>
    <r>
      <rPr>
        <b val="true"/>
        <sz val="11"/>
        <color rgb="FFFFFFFF"/>
        <rFont val="Tahoma"/>
        <family val="0"/>
        <charset val="1"/>
      </rPr>
      <t xml:space="preserve">+ </t>
    </r>
    <r>
      <rPr>
        <b val="true"/>
        <sz val="11"/>
        <color rgb="FFFFFFFF"/>
        <rFont val="Noto Sans"/>
        <family val="2"/>
      </rPr>
      <t xml:space="preserve">فامیلی بدون مزد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</si>
  <si>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سهم مزد و حقوق‌بگیر بخش عمومی ٪</t>
  </si>
  <si>
    <t xml:space="preserve">سهم مشاغل تخصصی ٪</t>
  </si>
  <si>
    <t xml:space="preserve">سهم کارگران ساده ٪</t>
  </si>
  <si>
    <t xml:space="preserve">تعداد برآوردی شاغلان</t>
  </si>
  <si>
    <t xml:space="preserve">تعداد برآوردی بیکاران</t>
  </si>
  <si>
    <t xml:space="preserve">تعداد برآوردی شاغلان پایدار</t>
  </si>
  <si>
    <t xml:space="preserve">تعداد برآوردی شاغلان بخش عمومی</t>
  </si>
  <si>
    <t xml:space="preserve">حد پایین نرخ اشتغال پایدار ٪</t>
  </si>
  <si>
    <t xml:space="preserve">حد بالای نرخ اشتغال پایدار ٪</t>
  </si>
  <si>
    <r>
      <rPr>
        <b val="true"/>
        <sz val="11"/>
        <color rgb="FFFFFFFF"/>
        <rFont val="Noto Sans"/>
        <family val="2"/>
      </rPr>
      <t xml:space="preserve">رتبه در شهر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شاخص ترکیبی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</si>
  <si>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قیمت میانه هر متر مسکن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میلیون تومان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</si>
  <si>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تعداد آگهی معتبر</t>
  </si>
  <si>
    <t xml:space="preserve">نوع تطبیق با داده قیمت</t>
  </si>
  <si>
    <r>
      <rPr>
        <b val="true"/>
        <sz val="11"/>
        <color rgb="FFFFFFFF"/>
        <rFont val="Noto Sans"/>
        <family val="2"/>
      </rPr>
      <t xml:space="preserve">محله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های</t>
    </r>
    <r>
      <rPr>
        <b val="true"/>
        <sz val="11"/>
        <color rgb="FFFFFFFF"/>
        <rFont val="Tahoma"/>
        <family val="0"/>
        <charset val="1"/>
      </rPr>
      <t xml:space="preserve">) </t>
    </r>
    <r>
      <rPr>
        <b val="true"/>
        <sz val="11"/>
        <color rgb="FFFFFFFF"/>
        <rFont val="Noto Sans"/>
        <family val="2"/>
      </rPr>
      <t xml:space="preserve">دیوار</t>
    </r>
  </si>
  <si>
    <t xml:space="preserve">درجه کیفیت داده</t>
  </si>
  <si>
    <r>
      <rPr>
        <b val="true"/>
        <sz val="11"/>
        <color rgb="FFFFFFFF"/>
        <rFont val="Noto Sans"/>
        <family val="2"/>
      </rPr>
      <t xml:space="preserve">سهم دانش‌آموختگان دانشگاهی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فایل تحصیلات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</si>
  <si>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ولنجک</t>
  </si>
  <si>
    <t xml:space="preserve">دقیق</t>
  </si>
  <si>
    <t xml:space="preserve">A</t>
  </si>
  <si>
    <t xml:space="preserve">زعفرانیه</t>
  </si>
  <si>
    <t xml:space="preserve">محمودیه</t>
  </si>
  <si>
    <t xml:space="preserve">باغ فردوس</t>
  </si>
  <si>
    <t xml:space="preserve">B</t>
  </si>
  <si>
    <t xml:space="preserve">فرمانیه</t>
  </si>
  <si>
    <t xml:space="preserve">حصار بوعلی</t>
  </si>
  <si>
    <t xml:space="preserve">نیاوران</t>
  </si>
  <si>
    <r>
      <rPr>
        <sz val="11"/>
        <rFont val="Noto Sans"/>
        <family val="2"/>
      </rPr>
      <t xml:space="preserve">دستی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نام مرکب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معادل</t>
    </r>
    <r>
      <rPr>
        <sz val="11"/>
        <rFont val="Tahoma"/>
        <family val="0"/>
        <charset val="1"/>
      </rPr>
      <t xml:space="preserve">)</t>
    </r>
  </si>
  <si>
    <t xml:space="preserve">جماران</t>
  </si>
  <si>
    <r>
      <rPr>
        <sz val="11"/>
        <rFont val="Noto Sans"/>
        <family val="2"/>
      </rPr>
      <t xml:space="preserve">جماران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نیاوران</t>
    </r>
    <r>
      <rPr>
        <sz val="11"/>
        <rFont val="Tahoma"/>
        <family val="0"/>
        <charset val="1"/>
      </rPr>
      <t xml:space="preserve">)</t>
    </r>
  </si>
  <si>
    <t xml:space="preserve">امامزاده قاسم</t>
  </si>
  <si>
    <r>
      <rPr>
        <sz val="11"/>
        <rFont val="Noto Sans"/>
        <family val="2"/>
      </rPr>
      <t xml:space="preserve">امام زاده قاسم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نیاوران</t>
    </r>
    <r>
      <rPr>
        <sz val="11"/>
        <rFont val="Tahoma"/>
        <family val="0"/>
        <charset val="1"/>
      </rPr>
      <t xml:space="preserve">)</t>
    </r>
  </si>
  <si>
    <t xml:space="preserve">دزاشیب</t>
  </si>
  <si>
    <t xml:space="preserve">کاشانک</t>
  </si>
  <si>
    <t xml:space="preserve">قیطریه</t>
  </si>
  <si>
    <t xml:space="preserve">تجریش</t>
  </si>
  <si>
    <t xml:space="preserve">اراج</t>
  </si>
  <si>
    <t xml:space="preserve">بدون داده قیمت</t>
  </si>
  <si>
    <t xml:space="preserve">—</t>
  </si>
  <si>
    <t xml:space="preserve">D</t>
  </si>
  <si>
    <t xml:space="preserve">کوهسار</t>
  </si>
  <si>
    <t xml:space="preserve">حکمت</t>
  </si>
  <si>
    <t xml:space="preserve">چیذر</t>
  </si>
  <si>
    <t xml:space="preserve">ازگل</t>
  </si>
  <si>
    <t xml:space="preserve">اوین</t>
  </si>
  <si>
    <t xml:space="preserve">دربند</t>
  </si>
  <si>
    <r>
      <rPr>
        <sz val="11"/>
        <rFont val="Noto Sans"/>
        <family val="2"/>
      </rPr>
      <t xml:space="preserve">دانشگاه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گلها</t>
    </r>
  </si>
  <si>
    <t xml:space="preserve">شهرک گلها</t>
  </si>
  <si>
    <t xml:space="preserve">درکه</t>
  </si>
  <si>
    <t xml:space="preserve">شهرک نفت</t>
  </si>
  <si>
    <r>
      <rPr>
        <sz val="11"/>
        <rFont val="Noto Sans"/>
        <family val="2"/>
      </rPr>
      <t xml:space="preserve">مینی‌سیتی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شهرک نفت</t>
    </r>
    <r>
      <rPr>
        <sz val="11"/>
        <rFont val="Tahoma"/>
        <family val="0"/>
        <charset val="1"/>
      </rPr>
      <t xml:space="preserve">)</t>
    </r>
  </si>
  <si>
    <t xml:space="preserve">دارآباد</t>
  </si>
  <si>
    <t xml:space="preserve">سوهانک</t>
  </si>
  <si>
    <t xml:space="preserve">شهرک محلاتی</t>
  </si>
  <si>
    <t xml:space="preserve">گلابدره</t>
  </si>
  <si>
    <t xml:space="preserve">گلاب دره</t>
  </si>
  <si>
    <t xml:space="preserve">سعادت آباد</t>
  </si>
  <si>
    <t xml:space="preserve">سعادت‌آباد</t>
  </si>
  <si>
    <t xml:space="preserve">ایوانک</t>
  </si>
  <si>
    <t xml:space="preserve">دریان نو</t>
  </si>
  <si>
    <t xml:space="preserve">دریا</t>
  </si>
  <si>
    <t xml:space="preserve">فراز</t>
  </si>
  <si>
    <t xml:space="preserve">کوی فراز</t>
  </si>
  <si>
    <t xml:space="preserve">کوی نصر</t>
  </si>
  <si>
    <t xml:space="preserve">گیشا</t>
  </si>
  <si>
    <t xml:space="preserve">آسمان</t>
  </si>
  <si>
    <t xml:space="preserve">مرزداران غربی</t>
  </si>
  <si>
    <t xml:space="preserve">مرزداران</t>
  </si>
  <si>
    <t xml:space="preserve">مرزداران شرقی</t>
  </si>
  <si>
    <t xml:space="preserve">سپهر</t>
  </si>
  <si>
    <t xml:space="preserve">شهرک قدس</t>
  </si>
  <si>
    <t xml:space="preserve">تیموری</t>
  </si>
  <si>
    <t xml:space="preserve">پونک</t>
  </si>
  <si>
    <t xml:space="preserve">پرواز</t>
  </si>
  <si>
    <t xml:space="preserve">شهر آرا</t>
  </si>
  <si>
    <t xml:space="preserve">شهرآرا</t>
  </si>
  <si>
    <t xml:space="preserve">تهران ویلا</t>
  </si>
  <si>
    <t xml:space="preserve">تهران‌ویلا</t>
  </si>
  <si>
    <r>
      <rPr>
        <sz val="11"/>
        <rFont val="Noto Sans"/>
        <family val="2"/>
      </rPr>
      <t xml:space="preserve">برق آلستوم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ستارخان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</si>
  <si>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جایگزین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محله مجاور</t>
    </r>
    <r>
      <rPr>
        <sz val="11"/>
        <rFont val="Tahoma"/>
        <family val="0"/>
        <charset val="1"/>
      </rPr>
      <t xml:space="preserve">)</t>
    </r>
  </si>
  <si>
    <t xml:space="preserve">ستارخان</t>
  </si>
  <si>
    <t xml:space="preserve">صادقیه</t>
  </si>
  <si>
    <t xml:space="preserve">توحید</t>
  </si>
  <si>
    <t xml:space="preserve">طرشت</t>
  </si>
  <si>
    <t xml:space="preserve">فرحزاد</t>
  </si>
  <si>
    <t xml:space="preserve">C</t>
  </si>
  <si>
    <t xml:space="preserve">دروس</t>
  </si>
  <si>
    <t xml:space="preserve">قبا</t>
  </si>
  <si>
    <t xml:space="preserve">امانیه</t>
  </si>
  <si>
    <t xml:space="preserve">ونک</t>
  </si>
  <si>
    <t xml:space="preserve">اختیاریه</t>
  </si>
  <si>
    <t xml:space="preserve">درب دوم</t>
  </si>
  <si>
    <t xml:space="preserve">داوودیه</t>
  </si>
  <si>
    <t xml:space="preserve">کاووسیه</t>
  </si>
  <si>
    <t xml:space="preserve">قلهک</t>
  </si>
  <si>
    <t xml:space="preserve">آرارات</t>
  </si>
  <si>
    <r>
      <rPr>
        <sz val="11"/>
        <rFont val="Noto Sans"/>
        <family val="2"/>
      </rPr>
      <t xml:space="preserve">حسن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زرگنده</t>
    </r>
  </si>
  <si>
    <t xml:space="preserve">حسن‌آباد، زرگنده</t>
  </si>
  <si>
    <t xml:space="preserve">سید خندان</t>
  </si>
  <si>
    <r>
      <rPr>
        <sz val="11"/>
        <rFont val="Noto Sans"/>
        <family val="2"/>
      </rPr>
      <t xml:space="preserve">مهران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سیدخندان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سید خندان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جلفا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</si>
  <si>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پاسداران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ضرابخانه</t>
    </r>
  </si>
  <si>
    <t xml:space="preserve">پاسداران</t>
  </si>
  <si>
    <r>
      <rPr>
        <sz val="11"/>
        <rFont val="Noto Sans"/>
        <family val="2"/>
      </rPr>
      <t xml:space="preserve">حسین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مبارک آباد</t>
    </r>
  </si>
  <si>
    <t xml:space="preserve">حسین‌آباد</t>
  </si>
  <si>
    <t xml:space="preserve">مهران</t>
  </si>
  <si>
    <r>
      <rPr>
        <sz val="11"/>
        <rFont val="Noto Sans"/>
        <family val="2"/>
      </rPr>
      <t xml:space="preserve">مهران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سیدخندان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</si>
  <si>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لویزان 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شیان</t>
    </r>
  </si>
  <si>
    <t xml:space="preserve">لویزان، بوستان شیان</t>
  </si>
  <si>
    <t xml:space="preserve">تهرانپارس غربی</t>
  </si>
  <si>
    <t xml:space="preserve">قنات کوثر</t>
  </si>
  <si>
    <t xml:space="preserve">قنات‌کوثر</t>
  </si>
  <si>
    <t xml:space="preserve">نارمک شمالی</t>
  </si>
  <si>
    <t xml:space="preserve">نارمک</t>
  </si>
  <si>
    <r>
      <rPr>
        <sz val="11"/>
        <rFont val="Noto Sans"/>
        <family val="2"/>
      </rPr>
      <t xml:space="preserve">شمس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مجیدیه</t>
    </r>
  </si>
  <si>
    <t xml:space="preserve">شمس‌آباد، مجیدیه</t>
  </si>
  <si>
    <t xml:space="preserve">حکیمیه</t>
  </si>
  <si>
    <t xml:space="preserve">گلشن</t>
  </si>
  <si>
    <t xml:space="preserve">کاظم اباد</t>
  </si>
  <si>
    <t xml:space="preserve">کالاد</t>
  </si>
  <si>
    <t xml:space="preserve">علم و صنعت</t>
  </si>
  <si>
    <t xml:space="preserve">مجید آباد</t>
  </si>
  <si>
    <t xml:space="preserve">مجیدآباد</t>
  </si>
  <si>
    <t xml:space="preserve">اوقاف</t>
  </si>
  <si>
    <r>
      <rPr>
        <sz val="11"/>
        <rFont val="Noto Sans"/>
        <family val="2"/>
      </rPr>
      <t xml:space="preserve">قاسم آباد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ده نارمک</t>
    </r>
  </si>
  <si>
    <t xml:space="preserve">قاسم‌آباد</t>
  </si>
  <si>
    <t xml:space="preserve">تهرانپارس شرقی</t>
  </si>
  <si>
    <t xml:space="preserve">جوادیه</t>
  </si>
  <si>
    <t xml:space="preserve">جوادیه تهرانپارس</t>
  </si>
  <si>
    <t xml:space="preserve">شمیران نو</t>
  </si>
  <si>
    <t xml:space="preserve">شمیران‌نو</t>
  </si>
  <si>
    <t xml:space="preserve">پونک جنوبی</t>
  </si>
  <si>
    <t xml:space="preserve">پونک شمالی</t>
  </si>
  <si>
    <t xml:space="preserve">اباذر</t>
  </si>
  <si>
    <t xml:space="preserve">سازمان برنامه شمالی</t>
  </si>
  <si>
    <t xml:space="preserve">سازمان برنامه جنوبی</t>
  </si>
  <si>
    <t xml:space="preserve">اکباتان</t>
  </si>
  <si>
    <t xml:space="preserve">جنت آباد مرکزی</t>
  </si>
  <si>
    <t xml:space="preserve">جنت‌آباد مرکزی</t>
  </si>
  <si>
    <t xml:space="preserve">جنت آباد جنوبی</t>
  </si>
  <si>
    <t xml:space="preserve">جنت‌آباد جنوبی</t>
  </si>
  <si>
    <t xml:space="preserve">فردوس</t>
  </si>
  <si>
    <t xml:space="preserve">شاهین</t>
  </si>
  <si>
    <t xml:space="preserve">شهرک کوهسار</t>
  </si>
  <si>
    <t xml:space="preserve">جنت آباد شمالی</t>
  </si>
  <si>
    <t xml:space="preserve">جنت‌آباد شمالی</t>
  </si>
  <si>
    <t xml:space="preserve">باغ فیض</t>
  </si>
  <si>
    <t xml:space="preserve">شهرک پرواز</t>
  </si>
  <si>
    <t xml:space="preserve">ارم</t>
  </si>
  <si>
    <t xml:space="preserve">شهران شمالی</t>
  </si>
  <si>
    <t xml:space="preserve">سازمان آب</t>
  </si>
  <si>
    <t xml:space="preserve">شهران جنوبی</t>
  </si>
  <si>
    <t xml:space="preserve">المهدی</t>
  </si>
  <si>
    <t xml:space="preserve">آپادانا</t>
  </si>
  <si>
    <t xml:space="preserve">شهرک آپادانا</t>
  </si>
  <si>
    <t xml:space="preserve">بیمه</t>
  </si>
  <si>
    <t xml:space="preserve">کوی بیمه</t>
  </si>
  <si>
    <t xml:space="preserve">بهاران</t>
  </si>
  <si>
    <t xml:space="preserve">مراد آباد</t>
  </si>
  <si>
    <t xml:space="preserve">مرادآباد</t>
  </si>
  <si>
    <t xml:space="preserve">اندیشه</t>
  </si>
  <si>
    <r>
      <rPr>
        <sz val="11"/>
        <rFont val="Noto Sans"/>
        <family val="2"/>
      </rPr>
      <t xml:space="preserve">جوانمردان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اندیشه</t>
    </r>
    <r>
      <rPr>
        <sz val="11"/>
        <rFont val="Tahoma"/>
        <family val="0"/>
        <charset val="1"/>
      </rPr>
      <t xml:space="preserve">)</t>
    </r>
  </si>
  <si>
    <t xml:space="preserve">شهرزیبا</t>
  </si>
  <si>
    <t xml:space="preserve">شهر زیبا</t>
  </si>
  <si>
    <t xml:space="preserve">کن</t>
  </si>
  <si>
    <t xml:space="preserve">حصارک</t>
  </si>
  <si>
    <t xml:space="preserve">یوسف اباد</t>
  </si>
  <si>
    <t xml:space="preserve">یوسف‌آباد</t>
  </si>
  <si>
    <t xml:space="preserve">نظامی گنجوی</t>
  </si>
  <si>
    <r>
      <rPr>
        <sz val="11"/>
        <rFont val="Noto Sans"/>
        <family val="2"/>
      </rPr>
      <t xml:space="preserve">نظامی گنجوی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توانیر</t>
    </r>
    <r>
      <rPr>
        <sz val="11"/>
        <rFont val="Tahoma"/>
        <family val="0"/>
        <charset val="1"/>
      </rPr>
      <t xml:space="preserve">)</t>
    </r>
  </si>
  <si>
    <t xml:space="preserve">امیرآباد</t>
  </si>
  <si>
    <t xml:space="preserve">والفجر</t>
  </si>
  <si>
    <t xml:space="preserve">جهاد</t>
  </si>
  <si>
    <t xml:space="preserve">سنائی</t>
  </si>
  <si>
    <t xml:space="preserve">دانشگاه تهران</t>
  </si>
  <si>
    <t xml:space="preserve">ساعی</t>
  </si>
  <si>
    <t xml:space="preserve">فاطمی</t>
  </si>
  <si>
    <t xml:space="preserve">کشاورز</t>
  </si>
  <si>
    <t xml:space="preserve">بلوار کشاورز</t>
  </si>
  <si>
    <t xml:space="preserve">بهجت آباد</t>
  </si>
  <si>
    <t xml:space="preserve">بهجت‌آباد</t>
  </si>
  <si>
    <t xml:space="preserve">ایرانشهر</t>
  </si>
  <si>
    <t xml:space="preserve">ولیعصر</t>
  </si>
  <si>
    <t xml:space="preserve">میدان ولیعصر</t>
  </si>
  <si>
    <t xml:space="preserve">جمالزاده</t>
  </si>
  <si>
    <t xml:space="preserve">جمال‌زاده</t>
  </si>
  <si>
    <r>
      <rPr>
        <sz val="11"/>
        <rFont val="Noto Sans"/>
        <family val="2"/>
      </rPr>
      <t xml:space="preserve">نیلوفر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شهید قندی</t>
    </r>
  </si>
  <si>
    <t xml:space="preserve">نیلوفر</t>
  </si>
  <si>
    <r>
      <rPr>
        <sz val="11"/>
        <rFont val="Noto Sans"/>
        <family val="2"/>
      </rPr>
      <t xml:space="preserve">عباس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اندیشه</t>
    </r>
  </si>
  <si>
    <t xml:space="preserve">عباس‌آباد</t>
  </si>
  <si>
    <r>
      <rPr>
        <sz val="11"/>
        <rFont val="Noto Sans"/>
        <family val="2"/>
      </rPr>
      <t xml:space="preserve">سهروردی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باغ صبا</t>
    </r>
  </si>
  <si>
    <t xml:space="preserve">سهروردی</t>
  </si>
  <si>
    <t xml:space="preserve">بهار</t>
  </si>
  <si>
    <r>
      <rPr>
        <sz val="11"/>
        <rFont val="Noto Sans"/>
        <family val="2"/>
      </rPr>
      <t xml:space="preserve">امجدیه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خاقانی</t>
    </r>
  </si>
  <si>
    <r>
      <rPr>
        <sz val="11"/>
        <rFont val="Noto Sans"/>
        <family val="2"/>
      </rPr>
      <t xml:space="preserve">امجدیه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خاقانی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</si>
  <si>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مجیدیه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دبستان</t>
    </r>
  </si>
  <si>
    <t xml:space="preserve">دبستان</t>
  </si>
  <si>
    <t xml:space="preserve">کاج</t>
  </si>
  <si>
    <t xml:space="preserve">شاهد</t>
  </si>
  <si>
    <r>
      <rPr>
        <sz val="11"/>
        <rFont val="Noto Sans"/>
        <family val="2"/>
      </rPr>
      <t xml:space="preserve">خواجه نصیر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حقوقی</t>
    </r>
  </si>
  <si>
    <t xml:space="preserve">خواجه نصیر طوسی</t>
  </si>
  <si>
    <r>
      <rPr>
        <sz val="11"/>
        <rFont val="Noto Sans"/>
        <family val="2"/>
      </rPr>
      <t xml:space="preserve">قصر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حشمتیه</t>
    </r>
  </si>
  <si>
    <t xml:space="preserve">حشمتیه</t>
  </si>
  <si>
    <r>
      <rPr>
        <sz val="11"/>
        <rFont val="Noto Sans"/>
        <family val="2"/>
      </rPr>
      <t xml:space="preserve">دهقان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گرگان</t>
    </r>
  </si>
  <si>
    <t xml:space="preserve">دهقان، گرگان</t>
  </si>
  <si>
    <t xml:space="preserve">ارامنه</t>
  </si>
  <si>
    <t xml:space="preserve">نظام آباد</t>
  </si>
  <si>
    <t xml:space="preserve">نظام‌آباد</t>
  </si>
  <si>
    <t xml:space="preserve">خواجه نظام الملک</t>
  </si>
  <si>
    <t xml:space="preserve">هفت حوض</t>
  </si>
  <si>
    <t xml:space="preserve">مدائن</t>
  </si>
  <si>
    <t xml:space="preserve">فدک</t>
  </si>
  <si>
    <t xml:space="preserve">دردشت</t>
  </si>
  <si>
    <t xml:space="preserve">تهرانپارس</t>
  </si>
  <si>
    <t xml:space="preserve">تهرانپارس غربی، تهرانپارس شرقی</t>
  </si>
  <si>
    <t xml:space="preserve">مجیدیه</t>
  </si>
  <si>
    <t xml:space="preserve">کرمان</t>
  </si>
  <si>
    <t xml:space="preserve">زرکش</t>
  </si>
  <si>
    <t xml:space="preserve">لشگر غربی</t>
  </si>
  <si>
    <r>
      <rPr>
        <sz val="11"/>
        <rFont val="Noto Sans"/>
        <family val="2"/>
      </rPr>
      <t xml:space="preserve">سبلان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لشگر</t>
    </r>
    <r>
      <rPr>
        <sz val="11"/>
        <rFont val="Tahoma"/>
        <family val="0"/>
        <charset val="1"/>
      </rPr>
      <t xml:space="preserve">)</t>
    </r>
  </si>
  <si>
    <t xml:space="preserve">لشگرشرقی</t>
  </si>
  <si>
    <t xml:space="preserve">تسلیحات</t>
  </si>
  <si>
    <t xml:space="preserve">وحیدیه</t>
  </si>
  <si>
    <t xml:space="preserve">فرودگاه مهرآباد</t>
  </si>
  <si>
    <t xml:space="preserve">دستغیب</t>
  </si>
  <si>
    <t xml:space="preserve">دکتر هوشیار</t>
  </si>
  <si>
    <t xml:space="preserve">سراسیاب مهراباد</t>
  </si>
  <si>
    <t xml:space="preserve">امامزاده عبداله</t>
  </si>
  <si>
    <t xml:space="preserve">محله فتح</t>
  </si>
  <si>
    <t xml:space="preserve">شمشیری</t>
  </si>
  <si>
    <t xml:space="preserve">استاد معین</t>
  </si>
  <si>
    <t xml:space="preserve">مهرآباد جنوبی</t>
  </si>
  <si>
    <t xml:space="preserve">زنجان جنوبی</t>
  </si>
  <si>
    <t xml:space="preserve">هاشمی</t>
  </si>
  <si>
    <t xml:space="preserve">سلسبیل جنوبی</t>
  </si>
  <si>
    <t xml:space="preserve">سلسبیل شمالی</t>
  </si>
  <si>
    <t xml:space="preserve">کارون جنوبی</t>
  </si>
  <si>
    <t xml:space="preserve">کارون شمالی</t>
  </si>
  <si>
    <t xml:space="preserve">هفت چنار</t>
  </si>
  <si>
    <t xml:space="preserve">سلیمانی تیموری</t>
  </si>
  <si>
    <t xml:space="preserve">سلیمانی</t>
  </si>
  <si>
    <r>
      <rPr>
        <sz val="11"/>
        <rFont val="Noto Sans"/>
        <family val="2"/>
      </rPr>
      <t xml:space="preserve">شبیری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جی</t>
    </r>
  </si>
  <si>
    <t xml:space="preserve">جی</t>
  </si>
  <si>
    <t xml:space="preserve">بریانک</t>
  </si>
  <si>
    <t xml:space="preserve">راه آهن</t>
  </si>
  <si>
    <r>
      <rPr>
        <sz val="11"/>
        <rFont val="Noto Sans"/>
        <family val="2"/>
      </rPr>
      <t xml:space="preserve">گلستان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شهرک راه آهن</t>
    </r>
    <r>
      <rPr>
        <sz val="11"/>
        <rFont val="Tahoma"/>
        <family val="0"/>
        <charset val="1"/>
      </rPr>
      <t xml:space="preserve">)</t>
    </r>
  </si>
  <si>
    <t xml:space="preserve">جمهوری</t>
  </si>
  <si>
    <r>
      <rPr>
        <sz val="11"/>
        <rFont val="Noto Sans"/>
        <family val="2"/>
      </rPr>
      <t xml:space="preserve">انقلاب 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فلسطین</t>
    </r>
  </si>
  <si>
    <r>
      <rPr>
        <sz val="11"/>
        <rFont val="Noto Sans"/>
        <family val="2"/>
      </rPr>
      <t xml:space="preserve">فلسطین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میدان انقلاب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</si>
  <si>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حشمت الدوله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جمالزاده</t>
    </r>
  </si>
  <si>
    <t xml:space="preserve">منیریه</t>
  </si>
  <si>
    <t xml:space="preserve">امیریه</t>
  </si>
  <si>
    <t xml:space="preserve">عباسی</t>
  </si>
  <si>
    <t xml:space="preserve">آگاهی</t>
  </si>
  <si>
    <t xml:space="preserve">سلامت</t>
  </si>
  <si>
    <t xml:space="preserve">انبارنفت</t>
  </si>
  <si>
    <t xml:space="preserve">هلال احمر</t>
  </si>
  <si>
    <t xml:space="preserve">شیخ هادی</t>
  </si>
  <si>
    <t xml:space="preserve">حر</t>
  </si>
  <si>
    <t xml:space="preserve">اسکندری</t>
  </si>
  <si>
    <r>
      <rPr>
        <sz val="11"/>
        <rFont val="Noto Sans"/>
        <family val="2"/>
      </rPr>
      <t xml:space="preserve">فروزش 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امیربهادر</t>
    </r>
  </si>
  <si>
    <t xml:space="preserve">امیر بهادر</t>
  </si>
  <si>
    <t xml:space="preserve">قلمستان</t>
  </si>
  <si>
    <t xml:space="preserve">مخصوص</t>
  </si>
  <si>
    <t xml:space="preserve">بازار</t>
  </si>
  <si>
    <t xml:space="preserve">ایران</t>
  </si>
  <si>
    <t xml:space="preserve">دروازه شمیران</t>
  </si>
  <si>
    <t xml:space="preserve">فردوسی</t>
  </si>
  <si>
    <r>
      <rPr>
        <sz val="11"/>
        <rFont val="Noto Sans"/>
        <family val="2"/>
      </rPr>
      <t xml:space="preserve">آبشار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دردار</t>
    </r>
  </si>
  <si>
    <t xml:space="preserve">آبشار</t>
  </si>
  <si>
    <t xml:space="preserve">بهارستان</t>
  </si>
  <si>
    <t xml:space="preserve">هرندی</t>
  </si>
  <si>
    <t xml:space="preserve">امامزاده یحیی</t>
  </si>
  <si>
    <t xml:space="preserve">قیام</t>
  </si>
  <si>
    <r>
      <rPr>
        <sz val="11"/>
        <rFont val="Noto Sans"/>
        <family val="2"/>
      </rPr>
      <t xml:space="preserve">مختاری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تختی</t>
    </r>
  </si>
  <si>
    <t xml:space="preserve">تختی</t>
  </si>
  <si>
    <t xml:space="preserve">کوثر</t>
  </si>
  <si>
    <t xml:space="preserve">سنگلج</t>
  </si>
  <si>
    <r>
      <rPr>
        <sz val="11"/>
        <rFont val="Noto Sans"/>
        <family val="2"/>
      </rPr>
      <t xml:space="preserve">سنگلج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شاپور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</si>
  <si>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ارگ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پامنار</t>
    </r>
  </si>
  <si>
    <t xml:space="preserve">پامنار</t>
  </si>
  <si>
    <t xml:space="preserve">نیروی هوایی</t>
  </si>
  <si>
    <r>
      <rPr>
        <sz val="11"/>
        <rFont val="Noto Sans"/>
        <family val="2"/>
      </rPr>
      <t xml:space="preserve">نیروی هوایی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پیروزی</t>
    </r>
    <r>
      <rPr>
        <sz val="11"/>
        <rFont val="Tahoma"/>
        <family val="0"/>
        <charset val="1"/>
      </rPr>
      <t xml:space="preserve">)</t>
    </r>
  </si>
  <si>
    <t xml:space="preserve">پیروزی</t>
  </si>
  <si>
    <t xml:space="preserve">آشتیانی</t>
  </si>
  <si>
    <t xml:space="preserve">حافظیه</t>
  </si>
  <si>
    <t xml:space="preserve">قاسم آباد</t>
  </si>
  <si>
    <t xml:space="preserve">دهقان</t>
  </si>
  <si>
    <t xml:space="preserve">امامت</t>
  </si>
  <si>
    <t xml:space="preserve">شورا</t>
  </si>
  <si>
    <t xml:space="preserve">زینبیه</t>
  </si>
  <si>
    <t xml:space="preserve">سرخه حصار</t>
  </si>
  <si>
    <t xml:space="preserve">بوستان سرخه حصار</t>
  </si>
  <si>
    <t xml:space="preserve">زاهدگیلانی</t>
  </si>
  <si>
    <t xml:space="preserve">زاهد گیلانی</t>
  </si>
  <si>
    <t xml:space="preserve">اسدی</t>
  </si>
  <si>
    <t xml:space="preserve">شهید اسدی</t>
  </si>
  <si>
    <t xml:space="preserve">صفا</t>
  </si>
  <si>
    <t xml:space="preserve">پرستار</t>
  </si>
  <si>
    <t xml:space="preserve">نبی اکرم</t>
  </si>
  <si>
    <t xml:space="preserve">تاکسیرانی</t>
  </si>
  <si>
    <t xml:space="preserve">صددستگاه</t>
  </si>
  <si>
    <t xml:space="preserve">صد دستگاه</t>
  </si>
  <si>
    <t xml:space="preserve">ابوذر</t>
  </si>
  <si>
    <t xml:space="preserve">شهدای گمنام</t>
  </si>
  <si>
    <t xml:space="preserve">حسین آباد دولاب</t>
  </si>
  <si>
    <t xml:space="preserve">گذر پایین دولاب</t>
  </si>
  <si>
    <t xml:space="preserve">صاحب الزمان</t>
  </si>
  <si>
    <t xml:space="preserve">دلگشا</t>
  </si>
  <si>
    <t xml:space="preserve">عارف</t>
  </si>
  <si>
    <t xml:space="preserve">قصرفیروزه</t>
  </si>
  <si>
    <t xml:space="preserve">چهارصددستگاه</t>
  </si>
  <si>
    <t xml:space="preserve">چهارصد دستگاه</t>
  </si>
  <si>
    <t xml:space="preserve">شکوفه</t>
  </si>
  <si>
    <t xml:space="preserve">سرآسیاب دولاب</t>
  </si>
  <si>
    <r>
      <rPr>
        <sz val="11"/>
        <rFont val="Noto Sans"/>
        <family val="2"/>
      </rPr>
      <t xml:space="preserve">آهنگران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سراسیاب دولاب</t>
    </r>
    <r>
      <rPr>
        <sz val="11"/>
        <rFont val="Tahoma"/>
        <family val="0"/>
        <charset val="1"/>
      </rPr>
      <t xml:space="preserve">)</t>
    </r>
  </si>
  <si>
    <t xml:space="preserve">مینا</t>
  </si>
  <si>
    <t xml:space="preserve">مینای جنوبی</t>
  </si>
  <si>
    <t xml:space="preserve">شیوا</t>
  </si>
  <si>
    <t xml:space="preserve">دولاب</t>
  </si>
  <si>
    <r>
      <rPr>
        <sz val="11"/>
        <rFont val="Noto Sans"/>
        <family val="2"/>
      </rPr>
      <t xml:space="preserve">اسلام آباد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والفجر</t>
    </r>
  </si>
  <si>
    <t xml:space="preserve">افسریه شمالی</t>
  </si>
  <si>
    <t xml:space="preserve">بروجردی</t>
  </si>
  <si>
    <t xml:space="preserve">کیان شهر شمالی</t>
  </si>
  <si>
    <t xml:space="preserve">کیانشهر</t>
  </si>
  <si>
    <t xml:space="preserve">کیان شهرجنوبی</t>
  </si>
  <si>
    <t xml:space="preserve">مسعودیه</t>
  </si>
  <si>
    <t xml:space="preserve">افسریه جنوبی</t>
  </si>
  <si>
    <t xml:space="preserve">مطهری</t>
  </si>
  <si>
    <t xml:space="preserve">مظاهری</t>
  </si>
  <si>
    <t xml:space="preserve">مشیریه</t>
  </si>
  <si>
    <t xml:space="preserve">طیب</t>
  </si>
  <si>
    <r>
      <rPr>
        <sz val="11"/>
        <rFont val="Noto Sans"/>
        <family val="2"/>
      </rPr>
      <t xml:space="preserve">ولیعصر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بی سیم</t>
    </r>
  </si>
  <si>
    <t xml:space="preserve">بیسیم</t>
  </si>
  <si>
    <t xml:space="preserve">هاشم آباد</t>
  </si>
  <si>
    <t xml:space="preserve">هاشم‌آباد</t>
  </si>
  <si>
    <t xml:space="preserve">مینابی</t>
  </si>
  <si>
    <t xml:space="preserve">رضویه</t>
  </si>
  <si>
    <t xml:space="preserve">شهرک رضویه</t>
  </si>
  <si>
    <t xml:space="preserve">اتابک</t>
  </si>
  <si>
    <t xml:space="preserve">شوش</t>
  </si>
  <si>
    <r>
      <rPr>
        <sz val="11"/>
        <rFont val="Noto Sans"/>
        <family val="2"/>
      </rPr>
      <t xml:space="preserve">شوش، شوش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باغ آذری</t>
    </r>
    <r>
      <rPr>
        <sz val="11"/>
        <rFont val="Tahoma"/>
        <family val="0"/>
        <charset val="1"/>
      </rPr>
      <t xml:space="preserve">)</t>
    </r>
  </si>
  <si>
    <t xml:space="preserve">شهرک ابوذر</t>
  </si>
  <si>
    <t xml:space="preserve">نازی آباد</t>
  </si>
  <si>
    <t xml:space="preserve">نازی‌آباد</t>
  </si>
  <si>
    <t xml:space="preserve">یاخچی آباد</t>
  </si>
  <si>
    <t xml:space="preserve">یاخجی آباد</t>
  </si>
  <si>
    <t xml:space="preserve">شهرک بعثت</t>
  </si>
  <si>
    <t xml:space="preserve">خزانه</t>
  </si>
  <si>
    <t xml:space="preserve">علی آباد جنوبی</t>
  </si>
  <si>
    <t xml:space="preserve">علی‌آباد</t>
  </si>
  <si>
    <t xml:space="preserve">علی آبادشمالی</t>
  </si>
  <si>
    <t xml:space="preserve">باغ آذری</t>
  </si>
  <si>
    <r>
      <rPr>
        <sz val="11"/>
        <rFont val="Noto Sans"/>
        <family val="2"/>
      </rPr>
      <t xml:space="preserve">شوش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باغ آذری</t>
    </r>
    <r>
      <rPr>
        <sz val="11"/>
        <rFont val="Tahoma"/>
        <family val="0"/>
        <charset val="1"/>
      </rPr>
      <t xml:space="preserve">)</t>
    </r>
  </si>
  <si>
    <t xml:space="preserve">ابوذرشرقی</t>
  </si>
  <si>
    <t xml:space="preserve">ابوذرغربی</t>
  </si>
  <si>
    <t xml:space="preserve">باغ خزانه</t>
  </si>
  <si>
    <t xml:space="preserve">گلچین</t>
  </si>
  <si>
    <t xml:space="preserve">بلورسازی</t>
  </si>
  <si>
    <t xml:space="preserve">سجاد</t>
  </si>
  <si>
    <t xml:space="preserve">آذری</t>
  </si>
  <si>
    <t xml:space="preserve">جلیلی</t>
  </si>
  <si>
    <t xml:space="preserve">مقدم</t>
  </si>
  <si>
    <t xml:space="preserve">یافت آباد</t>
  </si>
  <si>
    <t xml:space="preserve">یافت‌آباد</t>
  </si>
  <si>
    <t xml:space="preserve">امام زاده حسن</t>
  </si>
  <si>
    <t xml:space="preserve">زمزم</t>
  </si>
  <si>
    <t xml:space="preserve">زهتابی</t>
  </si>
  <si>
    <t xml:space="preserve">وصفنارد</t>
  </si>
  <si>
    <t xml:space="preserve">شمس آباد</t>
  </si>
  <si>
    <t xml:space="preserve">شمس‌آباد</t>
  </si>
  <si>
    <t xml:space="preserve">تولید دارو</t>
  </si>
  <si>
    <t xml:space="preserve">بهداشت</t>
  </si>
  <si>
    <t xml:space="preserve">خلیج فارس شمالی</t>
  </si>
  <si>
    <t xml:space="preserve">خلیج فارس</t>
  </si>
  <si>
    <t xml:space="preserve">خلیج فارس جنوبی</t>
  </si>
  <si>
    <r>
      <rPr>
        <sz val="11"/>
        <rFont val="Noto Sans"/>
        <family val="2"/>
      </rPr>
      <t xml:space="preserve">شهرک فردوس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حسینی</t>
    </r>
    <r>
      <rPr>
        <sz val="11"/>
        <rFont val="Tahoma"/>
        <family val="0"/>
        <charset val="1"/>
      </rPr>
      <t xml:space="preserve">)</t>
    </r>
  </si>
  <si>
    <t xml:space="preserve">هفده شهریور</t>
  </si>
  <si>
    <t xml:space="preserve">نوروزآباد</t>
  </si>
  <si>
    <t xml:space="preserve">امام خمینی</t>
  </si>
  <si>
    <t xml:space="preserve">شاد آباد</t>
  </si>
  <si>
    <t xml:space="preserve">شادآباد</t>
  </si>
  <si>
    <t xml:space="preserve">ولی عصر شمالی</t>
  </si>
  <si>
    <t xml:space="preserve">شهرک ولیعصر جنوبی</t>
  </si>
  <si>
    <t xml:space="preserve">ولی عصر جنوبی</t>
  </si>
  <si>
    <t xml:space="preserve">شهید رجایی</t>
  </si>
  <si>
    <t xml:space="preserve">یافت آباد شمالی</t>
  </si>
  <si>
    <t xml:space="preserve">سعید آباد</t>
  </si>
  <si>
    <t xml:space="preserve">سعیدآباد</t>
  </si>
  <si>
    <t xml:space="preserve">یافت آباد جنوبی</t>
  </si>
  <si>
    <t xml:space="preserve">خانی آباد جنوبی</t>
  </si>
  <si>
    <t xml:space="preserve">خانی آباد نو جنوبی</t>
  </si>
  <si>
    <t xml:space="preserve">بهمنیار</t>
  </si>
  <si>
    <t xml:space="preserve">بهمن یار</t>
  </si>
  <si>
    <t xml:space="preserve">شکوفه جنوبی</t>
  </si>
  <si>
    <t xml:space="preserve">شکوفه شمالی</t>
  </si>
  <si>
    <t xml:space="preserve">شریعتی جنوبی</t>
  </si>
  <si>
    <t xml:space="preserve">شهرک شریعتی</t>
  </si>
  <si>
    <t xml:space="preserve">شریعتی شمالی</t>
  </si>
  <si>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اسفندیاری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بستان</t>
    </r>
  </si>
  <si>
    <t xml:space="preserve">اسفندیاری</t>
  </si>
  <si>
    <t xml:space="preserve">شهید کاظمی</t>
  </si>
  <si>
    <t xml:space="preserve">اسماعیل آباد</t>
  </si>
  <si>
    <t xml:space="preserve">بوستان ولایت</t>
  </si>
  <si>
    <t xml:space="preserve">خانی آباد شمالی</t>
  </si>
  <si>
    <t xml:space="preserve">خانی‌آباد</t>
  </si>
  <si>
    <t xml:space="preserve">دولتخواه جنوبی</t>
  </si>
  <si>
    <t xml:space="preserve">دولتخواه شمالی</t>
  </si>
  <si>
    <t xml:space="preserve">نعمت آباد</t>
  </si>
  <si>
    <t xml:space="preserve">نعمت‌آباد</t>
  </si>
  <si>
    <t xml:space="preserve">اقدسیه</t>
  </si>
  <si>
    <t xml:space="preserve">دولت آباد</t>
  </si>
  <si>
    <t xml:space="preserve">شهادت</t>
  </si>
  <si>
    <t xml:space="preserve">سیزده آبان</t>
  </si>
  <si>
    <t xml:space="preserve">دیلمان</t>
  </si>
  <si>
    <t xml:space="preserve">فیروزآبادی</t>
  </si>
  <si>
    <t xml:space="preserve">ظهیرآباد</t>
  </si>
  <si>
    <t xml:space="preserve">جوانمرد قصاب</t>
  </si>
  <si>
    <t xml:space="preserve">حمزه آباد</t>
  </si>
  <si>
    <t xml:space="preserve">منصوریه منگل</t>
  </si>
  <si>
    <t xml:space="preserve">ولی آباد</t>
  </si>
  <si>
    <t xml:space="preserve">صفائیه</t>
  </si>
  <si>
    <t xml:space="preserve">ابن بابویه</t>
  </si>
  <si>
    <t xml:space="preserve">تقی آباد</t>
  </si>
  <si>
    <t xml:space="preserve">سرتخت</t>
  </si>
  <si>
    <t xml:space="preserve">علائین</t>
  </si>
  <si>
    <t xml:space="preserve">استخر</t>
  </si>
  <si>
    <t xml:space="preserve">نفرآباد، هاشم آباد</t>
  </si>
  <si>
    <t xml:space="preserve">شهرک پاسداران</t>
  </si>
  <si>
    <t xml:space="preserve">شهرک دریا</t>
  </si>
  <si>
    <t xml:space="preserve">ویلاشهر</t>
  </si>
  <si>
    <r>
      <rPr>
        <sz val="11"/>
        <rFont val="Noto Sans"/>
        <family val="2"/>
      </rPr>
      <t xml:space="preserve">شهرک فرهنگیان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آزادی</t>
    </r>
  </si>
  <si>
    <t xml:space="preserve">شهرک فرهنگیان، شهرک آزادی</t>
  </si>
  <si>
    <t xml:space="preserve">باشگاه نفت</t>
  </si>
  <si>
    <t xml:space="preserve">شهرک شهرداری</t>
  </si>
  <si>
    <t xml:space="preserve">چیتگر شمالی</t>
  </si>
  <si>
    <t xml:space="preserve">شهرک چیتگر</t>
  </si>
  <si>
    <t xml:space="preserve">تهرانسر غربی</t>
  </si>
  <si>
    <t xml:space="preserve">تهرانسر شرقی</t>
  </si>
  <si>
    <t xml:space="preserve">وردآورد</t>
  </si>
  <si>
    <t xml:space="preserve">چیتگر جنوبی</t>
  </si>
  <si>
    <t xml:space="preserve">شهرک غزالی</t>
  </si>
  <si>
    <t xml:space="preserve">شهرک استقلال</t>
  </si>
  <si>
    <t xml:space="preserve">صدرا</t>
  </si>
  <si>
    <t xml:space="preserve">شهرک صدرا</t>
  </si>
  <si>
    <t xml:space="preserve">کوهک</t>
  </si>
  <si>
    <t xml:space="preserve">دریاچه شهدای خلیج فارس</t>
  </si>
  <si>
    <t xml:space="preserve">زیبادشت</t>
  </si>
  <si>
    <t xml:space="preserve">دهکده المپیک</t>
  </si>
  <si>
    <t xml:space="preserve">گلستان</t>
  </si>
  <si>
    <t xml:space="preserve">قائم</t>
  </si>
  <si>
    <t xml:space="preserve">سرو آزاد</t>
  </si>
  <si>
    <t xml:space="preserve">شریف</t>
  </si>
  <si>
    <t xml:space="preserve">شهرک دانشگاه شریف، دانشگاه شریف</t>
  </si>
  <si>
    <t xml:space="preserve">هوانیروز</t>
  </si>
  <si>
    <t xml:space="preserve">شهید باقری</t>
  </si>
  <si>
    <t xml:space="preserve">شهرک شهید باقری</t>
  </si>
  <si>
    <r>
      <rPr>
        <b val="true"/>
        <sz val="11"/>
        <color rgb="FFFFFFFF"/>
        <rFont val="Noto Sans"/>
        <family val="2"/>
      </rPr>
      <t xml:space="preserve">جمعیت محلات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حدود ۱۳۹۵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</si>
  <si>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جمعیت ۱۰ ساله و بیشتر ۱۳۹۵</t>
  </si>
  <si>
    <t xml:space="preserve">شاغلان ۱۳۹۵</t>
  </si>
  <si>
    <t xml:space="preserve">شاغلان مرد</t>
  </si>
  <si>
    <t xml:space="preserve">شاغلان زن</t>
  </si>
  <si>
    <t xml:space="preserve">بیکاران ۱۳۹۵</t>
  </si>
  <si>
    <t xml:space="preserve">بیکاران مرد</t>
  </si>
  <si>
    <t xml:space="preserve">بیکاران زن</t>
  </si>
  <si>
    <t xml:space="preserve">خانه‌دار</t>
  </si>
  <si>
    <t xml:space="preserve">محصل</t>
  </si>
  <si>
    <t xml:space="preserve">دارای درآمد بدون کار</t>
  </si>
  <si>
    <t xml:space="preserve">نرخ بیکاری مردان ٪</t>
  </si>
  <si>
    <t xml:space="preserve">نرخ بیکاری زنان ٪</t>
  </si>
  <si>
    <t xml:space="preserve">نرخ مشارکت ٪</t>
  </si>
  <si>
    <t xml:space="preserve">نسبت اشتغال ٪</t>
  </si>
  <si>
    <t xml:space="preserve">سهم زنان از نیروی کار ٪</t>
  </si>
  <si>
    <t xml:space="preserve">شاغلان ۱۳۸۵</t>
  </si>
  <si>
    <r>
      <rPr>
        <b val="true"/>
        <sz val="11"/>
        <color rgb="FFFFFFFF"/>
        <rFont val="Noto Sans"/>
        <family val="2"/>
      </rPr>
      <t xml:space="preserve">سهم مزد و حقوق‌بگیر عمومی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۱۳۸۵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</si>
  <si>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سهم مزد و حقوق‌بگیر خصوصی ٪</t>
  </si>
  <si>
    <t xml:space="preserve">سهم کارفرمایان ٪</t>
  </si>
  <si>
    <t xml:space="preserve">سهم کارکنان مستقل ٪</t>
  </si>
  <si>
    <t xml:space="preserve">سهم کارکن فامیلی بدون مزد ٪</t>
  </si>
  <si>
    <t xml:space="preserve">سهم اشتغال آسیب‌پذیر ٪</t>
  </si>
  <si>
    <r>
      <rPr>
        <b val="true"/>
        <sz val="11"/>
        <color rgb="FFFFFFFF"/>
        <rFont val="Noto Sans"/>
        <family val="2"/>
      </rPr>
      <t xml:space="preserve">میانگین وزنی نرخ اشتغال پایدار محلات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کنترل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</si>
  <si>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مجموع شاغلان برآوردی محلات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کنترل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</si>
  <si>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اختلاف با شاغلان سرشماری ٪</t>
  </si>
  <si>
    <r>
      <rPr>
        <b val="true"/>
        <sz val="11"/>
        <color rgb="FFFFFFFF"/>
        <rFont val="Noto Sans"/>
        <family val="2"/>
      </rPr>
      <t xml:space="preserve">نسبت جمعیت ۱۰</t>
    </r>
    <r>
      <rPr>
        <b val="true"/>
        <sz val="11"/>
        <color rgb="FFFFFFFF"/>
        <rFont val="Tahoma"/>
        <family val="0"/>
        <charset val="1"/>
      </rPr>
      <t xml:space="preserve">+ </t>
    </r>
    <r>
      <rPr>
        <b val="true"/>
        <sz val="11"/>
        <color rgb="FFFFFFFF"/>
        <rFont val="Noto Sans"/>
        <family val="2"/>
      </rPr>
      <t xml:space="preserve">به جمعیت کل</t>
    </r>
  </si>
  <si>
    <t xml:space="preserve">کل شهر</t>
  </si>
  <si>
    <r>
      <rPr>
        <b val="true"/>
        <sz val="14"/>
        <rFont val="Noto Sans"/>
        <family val="2"/>
      </rPr>
      <t xml:space="preserve">مدل کوچک‌ناحیه‌ای</t>
    </r>
    <r>
      <rPr>
        <b val="true"/>
        <sz val="14"/>
        <rFont val="Tahoma"/>
        <family val="0"/>
        <charset val="1"/>
      </rPr>
      <t xml:space="preserve">: logit(</t>
    </r>
    <r>
      <rPr>
        <b val="true"/>
        <sz val="14"/>
        <rFont val="Noto Sans"/>
        <family val="2"/>
      </rPr>
      <t xml:space="preserve">شاخص منطقه</t>
    </r>
    <r>
      <rPr>
        <b val="true"/>
        <sz val="14"/>
        <rFont val="Tahoma"/>
        <family val="0"/>
        <charset val="1"/>
      </rPr>
      <t xml:space="preserve">) = a + b × ln(</t>
    </r>
    <r>
      <rPr>
        <b val="true"/>
        <sz val="14"/>
        <rFont val="Noto Sans"/>
        <family val="2"/>
      </rPr>
      <t xml:space="preserve">قیمت هر متر مسکن</t>
    </r>
    <r>
      <rPr>
        <b val="true"/>
        <sz val="14"/>
        <rFont val="Tahoma"/>
        <family val="0"/>
        <charset val="1"/>
      </rPr>
      <t xml:space="preserve">) </t>
    </r>
    <r>
      <rPr>
        <b val="true"/>
        <sz val="14"/>
        <rFont val="Noto Sans"/>
        <family val="2"/>
      </rPr>
      <t xml:space="preserve">؛ ۲۲ منطقه</t>
    </r>
  </si>
  <si>
    <t xml:space="preserve">شاخص</t>
  </si>
  <si>
    <r>
      <rPr>
        <b val="true"/>
        <sz val="11"/>
        <color rgb="FFFFFFFF"/>
        <rFont val="Noto Sans"/>
        <family val="2"/>
      </rPr>
      <t xml:space="preserve">شیب </t>
    </r>
    <r>
      <rPr>
        <b val="true"/>
        <sz val="11"/>
        <color rgb="FFFFFFFF"/>
        <rFont val="Tahoma"/>
        <family val="0"/>
        <charset val="1"/>
      </rPr>
      <t xml:space="preserve">b</t>
    </r>
  </si>
  <si>
    <r>
      <rPr>
        <b val="true"/>
        <sz val="11"/>
        <color rgb="FFFFFFFF"/>
        <rFont val="Noto Sans"/>
        <family val="2"/>
      </rPr>
      <t xml:space="preserve">خطای معیار </t>
    </r>
    <r>
      <rPr>
        <b val="true"/>
        <sz val="11"/>
        <color rgb="FFFFFFFF"/>
        <rFont val="Tahoma"/>
        <family val="0"/>
        <charset val="1"/>
      </rPr>
      <t xml:space="preserve">b</t>
    </r>
  </si>
  <si>
    <t xml:space="preserve">R²</t>
  </si>
  <si>
    <t xml:space="preserve">همبستگی با قیمت</t>
  </si>
  <si>
    <r>
      <rPr>
        <b val="true"/>
        <sz val="11"/>
        <color rgb="FFFFFFFF"/>
        <rFont val="Noto Sans"/>
        <family val="2"/>
      </rPr>
      <t xml:space="preserve">میانگین خطای مطلق حذف‌یک‌منطقه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واحد درصد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</si>
  <si>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استفاده برای تفکیک درون‌منطقه‌ای؟</t>
  </si>
  <si>
    <t xml:space="preserve">نرخ بیکاری</t>
  </si>
  <si>
    <r>
      <rPr>
        <sz val="11"/>
        <rFont val="Noto Sans"/>
        <family val="2"/>
      </rPr>
      <t xml:space="preserve">خیر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مقدار منطقه برای همه محلات</t>
    </r>
    <r>
      <rPr>
        <sz val="11"/>
        <rFont val="Tahoma"/>
        <family val="0"/>
        <charset val="1"/>
      </rPr>
      <t xml:space="preserve">)</t>
    </r>
  </si>
  <si>
    <t xml:space="preserve">نرخ مشارکت</t>
  </si>
  <si>
    <t xml:space="preserve">نسبت اشتغال</t>
  </si>
  <si>
    <t xml:space="preserve">بله</t>
  </si>
  <si>
    <t xml:space="preserve">سهم بخش عمومی</t>
  </si>
  <si>
    <t xml:space="preserve">سهم اشتغال آسیب‌پذیر</t>
  </si>
  <si>
    <t xml:space="preserve">سهم مشاغل تخصصی</t>
  </si>
  <si>
    <t xml:space="preserve">سهم کارگران ساده</t>
  </si>
  <si>
    <t xml:space="preserve">نرخ اشتغال پایدار</t>
  </si>
  <si>
    <t xml:space="preserve">نرخ بیکاری زنان</t>
  </si>
  <si>
    <t xml:space="preserve">نرخ بیکاری مردان</t>
  </si>
  <si>
    <r>
      <rPr>
        <sz val="11"/>
        <rFont val="Noto Sans"/>
        <family val="2"/>
      </rPr>
      <t xml:space="preserve">معیار استفاده</t>
    </r>
    <r>
      <rPr>
        <sz val="11"/>
        <rFont val="Tahoma"/>
        <family val="0"/>
        <charset val="1"/>
      </rPr>
      <t xml:space="preserve">: R² ≥ </t>
    </r>
    <r>
      <rPr>
        <sz val="11"/>
        <rFont val="Noto Sans"/>
        <family val="2"/>
      </rPr>
      <t xml:space="preserve">۰٫۲۵ و معناداری شیب در سطح ۹۵٪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شاخص‌هایی که رابطه معنادار با قیمت ندارند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بیکاری، بخش عمومی، مشارکت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در همه محلات یک منطقه برابر رقم سرشماری منطقه‌اند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</si>
  <si>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برای شاخص‌های پذیرفته‌شده</t>
    </r>
    <r>
      <rPr>
        <sz val="11"/>
        <rFont val="Tahoma"/>
        <family val="0"/>
        <charset val="1"/>
      </rPr>
      <t xml:space="preserve">: logit(</t>
    </r>
    <r>
      <rPr>
        <sz val="11"/>
        <rFont val="Noto Sans"/>
        <family val="2"/>
      </rPr>
      <t xml:space="preserve">محله</t>
    </r>
    <r>
      <rPr>
        <sz val="11"/>
        <rFont val="Tahoma"/>
        <family val="0"/>
        <charset val="1"/>
      </rPr>
      <t xml:space="preserve">) = logit(</t>
    </r>
    <r>
      <rPr>
        <sz val="11"/>
        <rFont val="Noto Sans"/>
        <family val="2"/>
      </rPr>
      <t xml:space="preserve">منطقه</t>
    </r>
    <r>
      <rPr>
        <sz val="11"/>
        <rFont val="Tahoma"/>
        <family val="0"/>
        <charset val="1"/>
      </rPr>
      <t xml:space="preserve">) + c + b × (ln </t>
    </r>
    <r>
      <rPr>
        <sz val="11"/>
        <rFont val="Noto Sans"/>
        <family val="2"/>
      </rPr>
      <t xml:space="preserve">قیمت محله − میانگین منطقه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؛ </t>
    </r>
    <r>
      <rPr>
        <sz val="11"/>
        <rFont val="Tahoma"/>
        <family val="0"/>
        <charset val="1"/>
      </rPr>
      <t xml:space="preserve">c </t>
    </r>
    <r>
      <rPr>
        <sz val="11"/>
        <rFont val="Noto Sans"/>
        <family val="2"/>
      </rPr>
      <t xml:space="preserve">طوری تعیین شد که میانگین وزنی جمعیتی محلات </t>
    </r>
    <r>
      <rPr>
        <sz val="11"/>
        <rFont val="Tahoma"/>
        <family val="0"/>
        <charset val="1"/>
      </rPr>
      <t xml:space="preserve">= </t>
    </r>
    <r>
      <rPr>
        <sz val="11"/>
        <rFont val="Noto Sans"/>
        <family val="2"/>
      </rPr>
      <t xml:space="preserve">رقم سرشماری منطقه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</si>
  <si>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قیمت محله با روش بیزی تجربی به سمت میانگین منطقه منقبض شده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محلات کم‌آگهی</t>
    </r>
    <r>
      <rPr>
        <sz val="11"/>
        <rFont val="Tahoma"/>
        <family val="0"/>
        <charset val="1"/>
      </rPr>
      <t xml:space="preserve">) — </t>
    </r>
    <r>
      <rPr>
        <sz val="11"/>
        <rFont val="Noto Sans"/>
        <family val="2"/>
      </rPr>
      <t xml:space="preserve">همان داده و روش فایل تحصیلات نسخه ۲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</si>
  <si>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بازه پایین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بالا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با شیب </t>
    </r>
    <r>
      <rPr>
        <sz val="11"/>
        <rFont val="Tahoma"/>
        <family val="0"/>
        <charset val="1"/>
      </rPr>
      <t xml:space="preserve">b ± </t>
    </r>
    <r>
      <rPr>
        <sz val="11"/>
        <rFont val="Noto Sans"/>
        <family val="2"/>
      </rPr>
      <t xml:space="preserve">۱٫۹۶ خطای معیار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</si>
  <si>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نکته مهم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رابطه بیکاری با قیمت در ۱۳۹۵ مثبت است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مناطق مرفه بیکاری کمی بالاتر دارند، عمدتاً به سبب ورود زنان تحصیل‌کرده به بازار کار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بنابراین بیکاری به‌تنهایی معیار مناسب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پایداری</t>
    </r>
    <r>
      <rPr>
        <sz val="11"/>
        <rFont val="Tahoma"/>
        <family val="0"/>
        <charset val="1"/>
      </rPr>
      <t xml:space="preserve">» </t>
    </r>
    <r>
      <rPr>
        <sz val="11"/>
        <rFont val="Noto Sans"/>
        <family val="2"/>
      </rPr>
      <t xml:space="preserve">نیست</t>
    </r>
    <r>
      <rPr>
        <sz val="11"/>
        <rFont val="Tahoma"/>
        <family val="0"/>
        <charset val="1"/>
      </rPr>
      <t xml:space="preserve">.</t>
    </r>
  </si>
  <si>
    <t xml:space="preserve">شاغلان کل</t>
  </si>
  <si>
    <t xml:space="preserve">بخش خصوصی جمع</t>
  </si>
  <si>
    <t xml:space="preserve">کارفرمایان</t>
  </si>
  <si>
    <t xml:space="preserve">کارکنان مستقل</t>
  </si>
  <si>
    <t xml:space="preserve">مزد و حقوق‌بگیر خصوصی</t>
  </si>
  <si>
    <t xml:space="preserve">کارکن فامیلی بدون مزد</t>
  </si>
  <si>
    <t xml:space="preserve">مزد و حقوق‌بگیر عمومی</t>
  </si>
  <si>
    <t xml:space="preserve">اظهارنشده</t>
  </si>
  <si>
    <t xml:space="preserve">مدیران</t>
  </si>
  <si>
    <t xml:space="preserve">متخصصان</t>
  </si>
  <si>
    <t xml:space="preserve">تکنسین‌ها</t>
  </si>
  <si>
    <t xml:space="preserve">کارمندان اداری</t>
  </si>
  <si>
    <t xml:space="preserve">خدماتی و فروشندگان</t>
  </si>
  <si>
    <t xml:space="preserve">کشاورزی ماهر</t>
  </si>
  <si>
    <t xml:space="preserve">صنعتگران</t>
  </si>
  <si>
    <t xml:space="preserve">متصدیان و رانندگان</t>
  </si>
  <si>
    <t xml:space="preserve">کارگران ساده</t>
  </si>
  <si>
    <r>
      <rPr>
        <b val="true"/>
        <sz val="11"/>
        <color rgb="FFFFFFFF"/>
        <rFont val="Noto Sans"/>
        <family val="2"/>
      </rPr>
      <t xml:space="preserve">سایر</t>
    </r>
    <r>
      <rPr>
        <b val="true"/>
        <sz val="11"/>
        <color rgb="FFFFFFFF"/>
        <rFont val="Tahoma"/>
        <family val="0"/>
        <charset val="1"/>
      </rPr>
      <t xml:space="preserve">/</t>
    </r>
    <r>
      <rPr>
        <b val="true"/>
        <sz val="11"/>
        <color rgb="FFFFFFFF"/>
        <rFont val="Noto Sans"/>
        <family val="2"/>
      </rPr>
      <t xml:space="preserve">اظهارنشده</t>
    </r>
  </si>
  <si>
    <t xml:space="preserve">جمع</t>
  </si>
  <si>
    <r>
      <rPr>
        <b val="true"/>
        <sz val="11"/>
        <color rgb="FFFFFFFF"/>
        <rFont val="Noto Sans"/>
        <family val="2"/>
      </rPr>
      <t xml:space="preserve">منبع </t>
    </r>
    <r>
      <rPr>
        <b val="true"/>
        <sz val="11"/>
        <color rgb="FFFFFFFF"/>
        <rFont val="Tahoma"/>
        <family val="0"/>
        <charset val="1"/>
      </rPr>
      <t xml:space="preserve">/ </t>
    </r>
    <r>
      <rPr>
        <b val="true"/>
        <sz val="11"/>
        <color rgb="FFFFFFFF"/>
        <rFont val="Noto Sans"/>
        <family val="2"/>
      </rPr>
      <t xml:space="preserve">موضوع</t>
    </r>
  </si>
  <si>
    <t xml:space="preserve">توضیح</t>
  </si>
  <si>
    <r>
      <rPr>
        <b val="true"/>
        <sz val="11"/>
        <rFont val="Noto Sans"/>
        <family val="2"/>
      </rPr>
      <t xml:space="preserve">شاخص‌های نیروی کار ۱۳۹۵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Noto Sans"/>
        <family val="2"/>
      </rPr>
      <t xml:space="preserve">۲۲ منطقه</t>
    </r>
    <r>
      <rPr>
        <b val="true"/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</si>
  <si>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سالنامه آماری شهر تهران ۱۳۹۶، جداول ۲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۷ و ۲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۱۰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مأخذ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مرکز آمار ایران، سرشماری ۱۳۹۵</t>
    </r>
    <r>
      <rPr>
        <sz val="11"/>
        <rFont val="Tahoma"/>
        <family val="0"/>
        <charset val="1"/>
      </rPr>
      <t xml:space="preserve">) — https://tmicto.tehran.ir/Portals/0/Document/Amarname/NEW_PDF/AmarShahr/96-TehranStatisticalYearBook.pdf (</t>
    </r>
    <r>
      <rPr>
        <sz val="11"/>
        <rFont val="Noto Sans"/>
        <family val="2"/>
      </rPr>
      <t xml:space="preserve">نسخه بایگانی‌شده </t>
    </r>
    <r>
      <rPr>
        <sz val="11"/>
        <rFont val="Tahoma"/>
        <family val="0"/>
        <charset val="1"/>
      </rPr>
      <t xml:space="preserve">web.archive.org)</t>
    </r>
  </si>
  <si>
    <r>
      <rPr>
        <b val="true"/>
        <sz val="11"/>
        <rFont val="Noto Sans"/>
        <family val="2"/>
      </rPr>
      <t xml:space="preserve">وضع شغلی و گروه شغلی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Noto Sans"/>
        <family val="2"/>
      </rPr>
      <t xml:space="preserve">۲۲ منطقه</t>
    </r>
    <r>
      <rPr>
        <b val="true"/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</si>
  <si>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مرکز آمار ایران، نتایج کلی سرشماری ۱۳۸۵ شهر تهران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مناطق ۲۲گانه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جداول ۱۰، ۱۲ و ۱۳ — </t>
    </r>
    <r>
      <rPr>
        <sz val="11"/>
        <rFont val="Tahoma"/>
        <family val="0"/>
        <charset val="1"/>
      </rPr>
      <t xml:space="preserve">https://www.amar.org.ir/Portals/0/Files/fulltext/1388/tehran-manategh-85.pdf (</t>
    </r>
    <r>
      <rPr>
        <sz val="11"/>
        <rFont val="Noto Sans"/>
        <family val="2"/>
      </rPr>
      <t xml:space="preserve">نسخه بایگانی‌شده</t>
    </r>
    <r>
      <rPr>
        <sz val="11"/>
        <rFont val="Tahoma"/>
        <family val="0"/>
        <charset val="1"/>
      </rPr>
      <t xml:space="preserve">)</t>
    </r>
  </si>
  <si>
    <t xml:space="preserve">جمعیت محلات</t>
  </si>
  <si>
    <r>
      <rPr>
        <sz val="11"/>
        <rFont val="Noto Sans"/>
        <family val="2"/>
      </rPr>
      <t xml:space="preserve">۳۴۹ محله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حدود ۱۳۹۵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داده‌های باز شهرداری تهران به نقل از </t>
    </r>
    <r>
      <rPr>
        <sz val="11"/>
        <rFont val="Tahoma"/>
        <family val="0"/>
        <charset val="1"/>
      </rPr>
      <t xml:space="preserve">https://d-learn.ir/tehran-neighborhood-data</t>
    </r>
  </si>
  <si>
    <t xml:space="preserve">متغیر کمکی</t>
  </si>
  <si>
    <r>
      <rPr>
        <sz val="11"/>
        <rFont val="Noto Sans"/>
        <family val="2"/>
      </rPr>
      <t xml:space="preserve">قیمت درخواستی هر متر آپارتمان در ۳۱۱ محله دیوار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۲۳٬۱۰۲ آگهی، مهر ۱۴۰۵</t>
    </r>
    <r>
      <rPr>
        <sz val="11"/>
        <rFont val="Tahoma"/>
        <family val="0"/>
        <charset val="1"/>
      </rPr>
      <t xml:space="preserve">)</t>
    </r>
  </si>
  <si>
    <t xml:space="preserve">کنترل شهر</t>
  </si>
  <si>
    <r>
      <rPr>
        <sz val="11"/>
        <rFont val="Noto Sans"/>
        <family val="2"/>
      </rPr>
      <t xml:space="preserve">میزان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نرخ بیکاری تهران ۱۱٫۵٪، بیشترین منطقه ۲۱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۱۴٫۲٪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کمترین منطقه ۱۲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۸٫۵٪</t>
    </r>
    <r>
      <rPr>
        <sz val="11"/>
        <rFont val="Tahoma"/>
        <family val="0"/>
        <charset val="1"/>
      </rPr>
      <t xml:space="preserve">) — https://www.mizanonline.ir/fa/news/681973/</t>
    </r>
  </si>
  <si>
    <t xml:space="preserve">تعریف اشتغال پایدار</t>
  </si>
  <si>
    <r>
      <rPr>
        <sz val="11"/>
        <rFont val="Noto Sans"/>
        <family val="2"/>
      </rPr>
      <t xml:space="preserve">در نبود آمار بیمه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قرارداد به تفکیک محله، از تعریف سازمان بین‌المللی کار </t>
    </r>
    <r>
      <rPr>
        <sz val="11"/>
        <rFont val="Tahoma"/>
        <family val="0"/>
        <charset val="1"/>
      </rPr>
      <t xml:space="preserve">(ILO) </t>
    </r>
    <r>
      <rPr>
        <sz val="11"/>
        <rFont val="Noto Sans"/>
        <family val="2"/>
      </rPr>
      <t xml:space="preserve">برای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اشتغال آسیب‌پذیر</t>
    </r>
    <r>
      <rPr>
        <sz val="11"/>
        <rFont val="Tahoma"/>
        <family val="0"/>
        <charset val="1"/>
      </rPr>
      <t xml:space="preserve">» </t>
    </r>
    <r>
      <rPr>
        <sz val="11"/>
        <rFont val="Noto Sans"/>
        <family val="2"/>
      </rPr>
      <t xml:space="preserve">استفاده شد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کارکنان مستقل </t>
    </r>
    <r>
      <rPr>
        <sz val="11"/>
        <rFont val="Tahoma"/>
        <family val="0"/>
        <charset val="1"/>
      </rPr>
      <t xml:space="preserve">+ </t>
    </r>
    <r>
      <rPr>
        <sz val="11"/>
        <rFont val="Noto Sans"/>
        <family val="2"/>
      </rPr>
      <t xml:space="preserve">کارکنان فامیلی بدون مزد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اشتغال پایدار </t>
    </r>
    <r>
      <rPr>
        <sz val="11"/>
        <rFont val="Tahoma"/>
        <family val="0"/>
        <charset val="1"/>
      </rPr>
      <t xml:space="preserve">= </t>
    </r>
    <r>
      <rPr>
        <sz val="11"/>
        <rFont val="Noto Sans"/>
        <family val="2"/>
      </rPr>
      <t xml:space="preserve">شاغلان مزد و حقوق‌بگیر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عمومی و خصوصی</t>
    </r>
    <r>
      <rPr>
        <sz val="11"/>
        <rFont val="Tahoma"/>
        <family val="0"/>
        <charset val="1"/>
      </rPr>
      <t xml:space="preserve">) + </t>
    </r>
    <r>
      <rPr>
        <sz val="11"/>
        <rFont val="Noto Sans"/>
        <family val="2"/>
      </rPr>
      <t xml:space="preserve">کارفرمایان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نرخ اشتغال پایدار </t>
    </r>
    <r>
      <rPr>
        <sz val="11"/>
        <rFont val="Tahoma"/>
        <family val="0"/>
        <charset val="1"/>
      </rPr>
      <t xml:space="preserve">= (</t>
    </r>
    <r>
      <rPr>
        <sz val="11"/>
        <rFont val="Noto Sans"/>
        <family val="2"/>
      </rPr>
      <t xml:space="preserve">۱ − نرخ بیکاری</t>
    </r>
    <r>
      <rPr>
        <sz val="11"/>
        <rFont val="Tahoma"/>
        <family val="0"/>
        <charset val="1"/>
      </rPr>
      <t xml:space="preserve">) × (</t>
    </r>
    <r>
      <rPr>
        <sz val="11"/>
        <rFont val="Noto Sans"/>
        <family val="2"/>
      </rPr>
      <t xml:space="preserve">۱ − سهم آسیب‌پذیر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یعنی درصد نیروی کار که شغل غیرآسیب‌پذیر دارد</t>
    </r>
    <r>
      <rPr>
        <sz val="11"/>
        <rFont val="Tahoma"/>
        <family val="0"/>
        <charset val="1"/>
      </rPr>
      <t xml:space="preserve">.</t>
    </r>
  </si>
  <si>
    <t xml:space="preserve">شاخص ترکیبی</t>
  </si>
  <si>
    <r>
      <rPr>
        <sz val="11"/>
        <rFont val="Noto Sans"/>
        <family val="2"/>
      </rPr>
      <t xml:space="preserve">میانگین وزنی نرمال‌شده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کمینه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بیشینه بین ۳۴۹ محله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چهار مؤلفه؛ وزن‌ها در شیت راهنما قابل تغییرند و همه محاسبات خودکار به‌روز می‌شوند</t>
    </r>
    <r>
      <rPr>
        <sz val="11"/>
        <rFont val="Tahoma"/>
        <family val="0"/>
        <charset val="1"/>
      </rPr>
      <t xml:space="preserve">.</t>
    </r>
  </si>
  <si>
    <t xml:space="preserve">سطح‌ها</t>
  </si>
  <si>
    <r>
      <rPr>
        <sz val="11"/>
        <rFont val="Noto Sans"/>
        <family val="2"/>
      </rPr>
      <t xml:space="preserve">بر اساس پنجک‌های رتبه شاخص ترکیبی بین ۳۴۹ محله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۲۰٪ بالاترین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بالا</t>
    </r>
    <r>
      <rPr>
        <sz val="11"/>
        <rFont val="Tahoma"/>
        <family val="0"/>
        <charset val="1"/>
      </rPr>
      <t xml:space="preserve">»</t>
    </r>
    <r>
      <rPr>
        <sz val="11"/>
        <rFont val="Noto Sans"/>
        <family val="2"/>
      </rPr>
      <t xml:space="preserve">، سپس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بالا</t>
    </r>
    <r>
      <rPr>
        <sz val="11"/>
        <rFont val="Tahoma"/>
        <family val="0"/>
        <charset val="1"/>
      </rPr>
      <t xml:space="preserve">»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متوسط</t>
    </r>
    <r>
      <rPr>
        <sz val="11"/>
        <rFont val="Tahoma"/>
        <family val="0"/>
        <charset val="1"/>
      </rPr>
      <t xml:space="preserve">»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پایین</t>
    </r>
    <r>
      <rPr>
        <sz val="11"/>
        <rFont val="Tahoma"/>
        <family val="0"/>
        <charset val="1"/>
      </rPr>
      <t xml:space="preserve">» </t>
    </r>
    <r>
      <rPr>
        <sz val="11"/>
        <rFont val="Noto Sans"/>
        <family val="2"/>
      </rPr>
      <t xml:space="preserve">و ۲۰٪ پایین‌ترین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پایین</t>
    </r>
    <r>
      <rPr>
        <sz val="11"/>
        <rFont val="Tahoma"/>
        <family val="0"/>
        <charset val="1"/>
      </rPr>
      <t xml:space="preserve">» (</t>
    </r>
    <r>
      <rPr>
        <sz val="11"/>
        <rFont val="Noto Sans"/>
        <family val="2"/>
      </rPr>
      <t xml:space="preserve">نسبی نسبت به سایر محلات تهران</t>
    </r>
    <r>
      <rPr>
        <sz val="11"/>
        <rFont val="Tahoma"/>
        <family val="0"/>
        <charset val="1"/>
      </rPr>
      <t xml:space="preserve">)</t>
    </r>
  </si>
  <si>
    <t xml:space="preserve">درجه کیفیت</t>
  </si>
  <si>
    <r>
      <rPr>
        <sz val="11"/>
        <rFont val="Tahoma"/>
        <family val="0"/>
        <charset val="1"/>
      </rPr>
      <t xml:space="preserve">A: ≥</t>
    </r>
    <r>
      <rPr>
        <sz val="11"/>
        <rFont val="Noto Sans"/>
        <family val="2"/>
      </rPr>
      <t xml:space="preserve">۳۰ آگهی و تطبیق مطمئن؛ </t>
    </r>
    <r>
      <rPr>
        <sz val="11"/>
        <rFont val="Tahoma"/>
        <family val="0"/>
        <charset val="1"/>
      </rPr>
      <t xml:space="preserve">B: </t>
    </r>
    <r>
      <rPr>
        <sz val="11"/>
        <rFont val="Noto Sans"/>
        <family val="2"/>
      </rPr>
      <t xml:space="preserve">۱۰–۲۹ آگهی یا جایگزین با ≥۳۰؛ </t>
    </r>
    <r>
      <rPr>
        <sz val="11"/>
        <rFont val="Tahoma"/>
        <family val="0"/>
        <charset val="1"/>
      </rPr>
      <t xml:space="preserve">C: </t>
    </r>
    <r>
      <rPr>
        <sz val="11"/>
        <rFont val="Noto Sans"/>
        <family val="2"/>
      </rPr>
      <t xml:space="preserve">کم‌آگهی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جایگزین؛ </t>
    </r>
    <r>
      <rPr>
        <sz val="11"/>
        <rFont val="Tahoma"/>
        <family val="0"/>
        <charset val="1"/>
      </rPr>
      <t xml:space="preserve">D: </t>
    </r>
    <r>
      <rPr>
        <sz val="11"/>
        <rFont val="Noto Sans"/>
        <family val="2"/>
      </rPr>
      <t xml:space="preserve">بدون داده قیمت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فقط مقدار منطقه</t>
    </r>
    <r>
      <rPr>
        <sz val="11"/>
        <rFont val="Tahoma"/>
        <family val="0"/>
        <charset val="1"/>
      </rPr>
      <t xml:space="preserve">)</t>
    </r>
  </si>
  <si>
    <t xml:space="preserve">محدودیت‌ها</t>
  </si>
  <si>
    <r>
      <rPr>
        <sz val="11"/>
        <rFont val="Noto Sans"/>
        <family val="2"/>
      </rPr>
      <t xml:space="preserve">۱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آمار رسمی اشتغال به تفکیک محله منتشر نشده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در دسترس نبود؛ ارقام محله برآوردی‌اند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۲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وضع و گروه شغلی از سرشماری ۱۳۸۵ است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آخرین جدول منطقه‌ای در دسترس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و با ساختار ۱۳۹۵ ترکیب شده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۳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مزد و حقوق‌بگیر خصوصی لزوماً بیمه‌شده یا دارای قرارداد دائم نیست؛ کارکن مستقل نیز همیشه ناپایدار نیست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مثلاً پزشک یا مغازه‌دار</t>
    </r>
    <r>
      <rPr>
        <sz val="11"/>
        <rFont val="Tahoma"/>
        <family val="0"/>
        <charset val="1"/>
      </rPr>
      <t xml:space="preserve">). </t>
    </r>
    <r>
      <rPr>
        <sz val="11"/>
        <rFont val="Noto Sans"/>
        <family val="2"/>
      </rPr>
      <t xml:space="preserve">۴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بیکاری و سهم بخش عمومی رابطه معنادار با قیمت مسکن ندارند و درون هر منطقه یکسان فرض شده‌اند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۵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منطقه ۲۰ پوشش آگهی کمی دارد</t>
    </r>
    <r>
      <rPr>
        <sz val="11"/>
        <rFont val="Tahom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</si>
</sst>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#,##0"/>
    <numFmt numFmtId="168" formatCode="0.0"/>
    <numFmt numFmtId="169" formatCode="#,##0.0"/>
    <numFmt numFmtId="170" formatCode="0.000"/>
  </numFmts>
  <fonts count="12">
    <font>
      <sz val="11"/>
      <color theme="1"/>
      <name val="Tahoma"/>
      <family val="2"/>
      <charset val="1"/>
    </font>
    <font>
      <sz val="10"/>
      <name val="Tahoma"/>
      <family val="0"/>
    </font>
    <font>
      <sz val="10"/>
      <name val="Tahoma"/>
      <family val="0"/>
    </font>
    <font>
      <sz val="10"/>
      <name val="Tahoma"/>
      <family val="0"/>
    </font>
    <font>
      <b val="true"/>
      <sz val="14"/>
      <name val="Tahoma"/>
      <family val="2"/>
    </font>
    <font>
      <b val="true"/>
      <sz val="11"/>
      <name val="Tahoma"/>
      <family val="2"/>
    </font>
    <font>
      <b val="true"/>
      <sz val="11"/>
      <name val="Tahoma"/>
      <family val="0"/>
      <charset val="1"/>
    </font>
    <font>
      <sz val="11"/>
      <name val="Tahoma"/>
      <family val="2"/>
    </font>
    <font>
      <sz val="11"/>
      <name val="Tahoma"/>
      <family val="0"/>
      <charset val="1"/>
    </font>
    <font>
      <b val="true"/>
      <sz val="11"/>
      <color rgb="FFFFFFFF"/>
      <name val="Tahoma"/>
      <family val="2"/>
    </font>
    <font>
      <b val="true"/>
      <sz val="11"/>
      <color rgb="FFFFFFFF"/>
      <name val="Tahoma"/>
      <family val="0"/>
      <charset val="1"/>
    </font>
    <font>
      <b val="true"/>
      <sz val="14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78" type="wholeTable"/>
      <tableStyleElement dxfId="179" type="firstColumnStripe"/>
      <tableStyleElement dxfId="180" type="firstRowStripe"/>
      <tableStyleElement dxfId="181" type="lastColumn"/>
      <tableStyleElement dxfId="182" type="firstColumn"/>
      <tableStyleElement dxfId="183" type="headerRow"/>
      <tableStyleElement dxfId="18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5B3D7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hallat" displayName="Mahallat" ref="A1:AB350" headerRowCount="1" totalsRowCount="0" totalsRowShown="0">
  <autoFilter ref="A1:AB350"/>
  <tableColumns count="28">
    <tableColumn id="1" name="ردیف"/>
    <tableColumn id="2" name="منطقه"/>
    <tableColumn id="3" name="محله"/>
    <tableColumn id="4" name="جمعیت (حدود ۱۳۹۵)"/>
    <tableColumn id="5" name="جمعیت ۱۰ ساله و بیشتر (برآورد)"/>
    <tableColumn id="6" name="شاخص ترکیبی اشتغال پایدار (۰ تا ۱۰۰)"/>
    <tableColumn id="7" name="سطح اشتغال پایدار"/>
    <tableColumn id="8" name="نرخ اشتغال پایدار ٪ از نیروی کار"/>
    <tableColumn id="9" name="نرخ بیکاری ٪"/>
    <tableColumn id="10" name="نسبت اشتغال به جمعیت ۱۰+ ٪"/>
    <tableColumn id="11" name="نرخ مشارکت اقتصادی ٪"/>
    <tableColumn id="12" name="سهم اشتغال آسیب‌پذیر ٪ (کارکن مستقل + فامیلی بدون مزد)"/>
    <tableColumn id="13" name="سهم مزد و حقوق‌بگیر بخش عمومی ٪"/>
    <tableColumn id="14" name="سهم مشاغل تخصصی ٪"/>
    <tableColumn id="15" name="سهم کارگران ساده ٪"/>
    <tableColumn id="16" name="تعداد برآوردی شاغلان"/>
    <tableColumn id="17" name="تعداد برآوردی بیکاران"/>
    <tableColumn id="18" name="تعداد برآوردی شاغلان پایدار"/>
    <tableColumn id="19" name="تعداد برآوردی شاغلان بخش عمومی"/>
    <tableColumn id="20" name="حد پایین نرخ اشتغال پایدار ٪"/>
    <tableColumn id="21" name="حد بالای نرخ اشتغال پایدار ٪"/>
    <tableColumn id="22" name="رتبه در شهر (شاخص ترکیبی)"/>
    <tableColumn id="23" name="قیمت میانه هر متر مسکن (میلیون تومان)"/>
    <tableColumn id="24" name="تعداد آگهی معتبر"/>
    <tableColumn id="25" name="نوع تطبیق با داده قیمت"/>
    <tableColumn id="26" name="محله(های) دیوار"/>
    <tableColumn id="27" name="درجه کیفیت داده"/>
    <tableColumn id="28" name="سهم دانش‌آموختگان دانشگاهی ٪ (فایل تحصیلات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6.4" hidden="false" customHeight="false" outlineLevel="0" collapsed="false">
      <c r="A3" s="2" t="s">
        <v>1</v>
      </c>
    </row>
    <row r="4" customFormat="false" ht="16.4" hidden="false" customHeight="false" outlineLevel="0" collapsed="false">
      <c r="A4" s="3" t="s">
        <v>2</v>
      </c>
      <c r="B4" s="4" t="n">
        <v>0.4</v>
      </c>
      <c r="C4" s="3" t="s">
        <v>3</v>
      </c>
    </row>
    <row r="5" customFormat="false" ht="16.4" hidden="false" customHeight="false" outlineLevel="0" collapsed="false">
      <c r="A5" s="3" t="s">
        <v>4</v>
      </c>
      <c r="B5" s="4" t="n">
        <v>0.3</v>
      </c>
      <c r="C5" s="3" t="s">
        <v>5</v>
      </c>
    </row>
    <row r="6" customFormat="false" ht="15" hidden="false" customHeight="false" outlineLevel="0" collapsed="false">
      <c r="A6" s="3" t="s">
        <v>6</v>
      </c>
      <c r="B6" s="4" t="n">
        <v>0.2</v>
      </c>
      <c r="C6" s="3" t="s">
        <v>7</v>
      </c>
    </row>
    <row r="7" customFormat="false" ht="16.4" hidden="false" customHeight="false" outlineLevel="0" collapsed="false">
      <c r="A7" s="3" t="s">
        <v>8</v>
      </c>
      <c r="B7" s="4" t="n">
        <v>0.1</v>
      </c>
      <c r="C7" s="3"/>
    </row>
    <row r="8" customFormat="false" ht="16.4" hidden="false" customHeight="false" outlineLevel="0" collapsed="false">
      <c r="A8" s="3" t="s">
        <v>9</v>
      </c>
      <c r="B8" s="2" t="n">
        <f aca="false">SUM(B4:B7)</f>
        <v>1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3" t="s">
        <v>11</v>
      </c>
      <c r="B11" s="5" t="n">
        <f aca="false">COUNTA(محلات!C2:C350)</f>
        <v>349</v>
      </c>
    </row>
    <row r="12" customFormat="false" ht="15" hidden="false" customHeight="false" outlineLevel="0" collapsed="false">
      <c r="A12" s="3" t="s">
        <v>12</v>
      </c>
      <c r="B12" s="6" t="n">
        <f aca="false">SUM(محلات!D2:D350)</f>
        <v>8627281</v>
      </c>
    </row>
    <row r="13" customFormat="false" ht="15" hidden="false" customHeight="false" outlineLevel="0" collapsed="false">
      <c r="A13" s="3" t="s">
        <v>13</v>
      </c>
      <c r="B13" s="6" t="n">
        <f aca="false">SUM(محلات!P2:P350)</f>
        <v>2546746</v>
      </c>
    </row>
    <row r="14" customFormat="false" ht="15" hidden="false" customHeight="false" outlineLevel="0" collapsed="false">
      <c r="A14" s="3" t="s">
        <v>14</v>
      </c>
      <c r="B14" s="6" t="n">
        <f aca="false">SUM(محلات!R2:R350)</f>
        <v>1982521</v>
      </c>
    </row>
    <row r="15" customFormat="false" ht="16.4" hidden="false" customHeight="false" outlineLevel="0" collapsed="false">
      <c r="A15" s="3" t="s">
        <v>15</v>
      </c>
      <c r="B15" s="7" t="n">
        <f aca="false">مناطق!M24</f>
        <v>11.4995428636163</v>
      </c>
    </row>
    <row r="16" customFormat="false" ht="15" hidden="false" customHeight="false" outlineLevel="0" collapsed="false">
      <c r="A16" s="3" t="s">
        <v>16</v>
      </c>
      <c r="B16" s="7" t="n">
        <f aca="false">B14/B13*100</f>
        <v>77.8452582236313</v>
      </c>
    </row>
    <row r="17" customFormat="false" ht="16.4" hidden="false" customHeight="false" outlineLevel="0" collapsed="false">
      <c r="A17" s="3" t="s">
        <v>17</v>
      </c>
      <c r="B17" s="5" t="n">
        <f aca="false">COUNTIF(محلات!G2:G350,"بسیار بالا")</f>
        <v>70</v>
      </c>
    </row>
    <row r="18" customFormat="false" ht="16.4" hidden="false" customHeight="false" outlineLevel="0" collapsed="false">
      <c r="A18" s="3" t="s">
        <v>18</v>
      </c>
      <c r="B18" s="5" t="n">
        <f aca="false">COUNTIF(محلات!G2:G350,"بالا")</f>
        <v>70</v>
      </c>
    </row>
    <row r="19" customFormat="false" ht="16.4" hidden="false" customHeight="false" outlineLevel="0" collapsed="false">
      <c r="A19" s="3" t="s">
        <v>19</v>
      </c>
      <c r="B19" s="5" t="n">
        <f aca="false">COUNTIF(محلات!G2:G350,"متوسط")</f>
        <v>69</v>
      </c>
    </row>
    <row r="20" customFormat="false" ht="16.4" hidden="false" customHeight="false" outlineLevel="0" collapsed="false">
      <c r="A20" s="3" t="s">
        <v>20</v>
      </c>
      <c r="B20" s="5" t="n">
        <f aca="false">COUNTIF(محلات!G2:G350,"پایین")</f>
        <v>71</v>
      </c>
    </row>
    <row r="21" customFormat="false" ht="16.4" hidden="false" customHeight="false" outlineLevel="0" collapsed="false">
      <c r="A21" s="3" t="s">
        <v>21</v>
      </c>
      <c r="B21" s="5" t="n">
        <f aca="false">COUNTIF(محلات!G2:G350,"بسیار پایین")</f>
        <v>69</v>
      </c>
    </row>
    <row r="22" customFormat="false" ht="15" hidden="false" customHeight="false" outlineLevel="0" collapsed="false">
      <c r="A22" s="3" t="s">
        <v>22</v>
      </c>
      <c r="B22" s="7" t="n">
        <f aca="false">MAX(محلات!H2:H350)</f>
        <v>75.887063</v>
      </c>
    </row>
    <row r="23" customFormat="false" ht="15" hidden="false" customHeight="false" outlineLevel="0" collapsed="false">
      <c r="A23" s="3" t="s">
        <v>23</v>
      </c>
      <c r="B23" s="7" t="n">
        <f aca="false">MIN(محلات!H2:H350)</f>
        <v>59.577994</v>
      </c>
    </row>
    <row r="24" customFormat="false" ht="16.4" hidden="false" customHeight="false" outlineLevel="0" collapsed="false">
      <c r="A24" s="3" t="s">
        <v>24</v>
      </c>
      <c r="B24" s="5" t="n">
        <f aca="false">COUNTIF(محلات!AA2:AA350,"&lt;&gt;D")</f>
        <v>280</v>
      </c>
    </row>
    <row r="26" customFormat="false" ht="33.75" hidden="false" customHeight="true" outlineLevel="0" collapsed="false">
      <c r="A26" s="8" t="s">
        <v>25</v>
      </c>
      <c r="B26" s="8"/>
      <c r="C26" s="8"/>
    </row>
    <row r="27" customFormat="false" ht="33.75" hidden="false" customHeight="true" outlineLevel="0" collapsed="false">
      <c r="A27" s="8" t="s">
        <v>26</v>
      </c>
      <c r="B27" s="8"/>
      <c r="C27" s="8"/>
    </row>
    <row r="28" customFormat="false" ht="33.75" hidden="false" customHeight="true" outlineLevel="0" collapsed="false">
      <c r="A28" s="8" t="s">
        <v>27</v>
      </c>
      <c r="B28" s="8"/>
      <c r="C28" s="8"/>
    </row>
    <row r="29" customFormat="false" ht="33.75" hidden="false" customHeight="true" outlineLevel="0" collapsed="false">
      <c r="A29" s="8" t="s">
        <v>28</v>
      </c>
      <c r="B29" s="8"/>
      <c r="C29" s="8"/>
    </row>
  </sheetData>
  <mergeCells count="4"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8" min="4" style="0" width="12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12"/>
    <col collapsed="false" customWidth="true" hidden="false" outlineLevel="0" max="21" min="20" style="0" width="11"/>
    <col collapsed="false" customWidth="true" hidden="false" outlineLevel="0" max="22" min="22" style="0" width="9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16"/>
    <col collapsed="false" customWidth="true" hidden="false" outlineLevel="0" max="26" min="26" style="0" width="24"/>
    <col collapsed="false" customWidth="true" hidden="false" outlineLevel="0" max="27" min="27" style="0" width="9"/>
    <col collapsed="false" customWidth="true" hidden="false" outlineLevel="0" max="28" min="28" style="0" width="12"/>
  </cols>
  <sheetData>
    <row r="1" customFormat="false" ht="60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  <c r="Y1" s="9" t="s">
        <v>53</v>
      </c>
      <c r="Z1" s="9" t="s">
        <v>54</v>
      </c>
      <c r="AA1" s="9" t="s">
        <v>55</v>
      </c>
      <c r="AB1" s="9" t="s">
        <v>56</v>
      </c>
    </row>
    <row r="2" customFormat="false" ht="16.4" hidden="false" customHeight="false" outlineLevel="0" collapsed="false">
      <c r="A2" s="3" t="n">
        <v>1</v>
      </c>
      <c r="B2" s="3" t="n">
        <v>1</v>
      </c>
      <c r="C2" s="3" t="s">
        <v>57</v>
      </c>
      <c r="D2" s="10" t="n">
        <v>26587</v>
      </c>
      <c r="E2" s="10" t="n">
        <f aca="false">ROUND(D2*INDEX(مناطق!$AF$2:$AF$23,B2),0)</f>
        <v>24657</v>
      </c>
      <c r="F2" s="11" t="n">
        <f aca="false">ROUND(100*(راهنما!$B$4*(H2-MIN($H$2:$H$350))/(MAX($H$2:$H$350)-MIN($H$2:$H$350))+راهنما!$B$5*(N2-MIN($N$2:$N$350))/(MAX($N$2:$N$350)-MIN($N$2:$N$350))+راهنما!$B$6*(J2-MIN($J$2:$J$350))/(MAX($J$2:$J$350)-MIN($J$2:$J$350))+راهنما!$B$7*(MAX($I$2:$I$350)-I2)/(MAX($I$2:$I$350)-MIN($I$2:$I$350)))/راهنما!$B$8,1)</f>
        <v>69.7</v>
      </c>
      <c r="G2" s="3" t="str">
        <f aca="false">IF(V2&lt;=ROUND(349*0.2,0),"بسیار بالا",IF(V2&lt;=ROUND(349*0.4,0),"بالا",IF(V2&lt;=ROUND(349*0.6,0),"متوسط",IF(V2&lt;=ROUND(349*0.8,0),"پایین","بسیار پایین"))))</f>
        <v>بسیار بالا</v>
      </c>
      <c r="H2" s="11" t="n">
        <f aca="false">(100-I2)*(100-L2)/100</f>
        <v>73.592643</v>
      </c>
      <c r="I2" s="11" t="n">
        <v>11.77</v>
      </c>
      <c r="J2" s="11" t="n">
        <v>31.73</v>
      </c>
      <c r="K2" s="11" t="n">
        <f aca="false">J2/(1-I2/100)</f>
        <v>35.9628244361328</v>
      </c>
      <c r="L2" s="11" t="n">
        <v>16.59</v>
      </c>
      <c r="M2" s="11" t="n">
        <v>34.7</v>
      </c>
      <c r="N2" s="11" t="n">
        <v>70.13</v>
      </c>
      <c r="O2" s="11" t="n">
        <v>5.41</v>
      </c>
      <c r="P2" s="10" t="n">
        <f aca="false">ROUND(E2*J2/100,0)</f>
        <v>7824</v>
      </c>
      <c r="Q2" s="10" t="n">
        <f aca="false">ROUND(P2*I2/(100-I2),0)</f>
        <v>1044</v>
      </c>
      <c r="R2" s="10" t="n">
        <f aca="false">ROUND(P2*(100-L2)/100,0)</f>
        <v>6526</v>
      </c>
      <c r="S2" s="10" t="n">
        <f aca="false">ROUND(P2*M2/100,0)</f>
        <v>2715</v>
      </c>
      <c r="T2" s="11" t="n">
        <v>72.54</v>
      </c>
      <c r="U2" s="11" t="n">
        <v>74.61</v>
      </c>
      <c r="V2" s="3" t="n">
        <f aca="false">RANK(F2,$F$2:$F$350,0)</f>
        <v>14</v>
      </c>
      <c r="W2" s="12" t="n">
        <v>844.4</v>
      </c>
      <c r="X2" s="10" t="n">
        <v>88</v>
      </c>
      <c r="Y2" s="3" t="s">
        <v>58</v>
      </c>
      <c r="Z2" s="3" t="s">
        <v>57</v>
      </c>
      <c r="AA2" s="13" t="s">
        <v>59</v>
      </c>
      <c r="AB2" s="11" t="n">
        <v>45.85</v>
      </c>
    </row>
    <row r="3" customFormat="false" ht="16.4" hidden="false" customHeight="false" outlineLevel="0" collapsed="false">
      <c r="A3" s="3" t="n">
        <v>2</v>
      </c>
      <c r="B3" s="3" t="n">
        <v>1</v>
      </c>
      <c r="C3" s="3" t="s">
        <v>60</v>
      </c>
      <c r="D3" s="10" t="n">
        <v>30377</v>
      </c>
      <c r="E3" s="10" t="n">
        <f aca="false">ROUND(D3*INDEX(مناطق!$AF$2:$AF$23,B3),0)</f>
        <v>28172</v>
      </c>
      <c r="F3" s="11" t="n">
        <f aca="false">ROUND(100*(راهنما!$B$4*(H3-MIN($H$2:$H$350))/(MAX($H$2:$H$350)-MIN($H$2:$H$350))+راهنما!$B$5*(N3-MIN($N$2:$N$350))/(MAX($N$2:$N$350)-MIN($N$2:$N$350))+راهنما!$B$6*(J3-MIN($J$2:$J$350))/(MAX($J$2:$J$350)-MIN($J$2:$J$350))+راهنما!$B$7*(MAX($I$2:$I$350)-I3)/(MAX($I$2:$I$350)-MIN($I$2:$I$350)))/راهنما!$B$8,1)</f>
        <v>69.5</v>
      </c>
      <c r="G3" s="3" t="str">
        <f aca="false">IF(V3&lt;=ROUND(349*0.2,0),"بسیار بالا",IF(V3&lt;=ROUND(349*0.4,0),"بالا",IF(V3&lt;=ROUND(349*0.6,0),"متوسط",IF(V3&lt;=ROUND(349*0.8,0),"پایین","بسیار پایین"))))</f>
        <v>بسیار بالا</v>
      </c>
      <c r="H3" s="11" t="n">
        <f aca="false">(100-I3)*(100-L3)/100</f>
        <v>73.548528</v>
      </c>
      <c r="I3" s="11" t="n">
        <v>11.77</v>
      </c>
      <c r="J3" s="11" t="n">
        <v>31.74</v>
      </c>
      <c r="K3" s="11" t="n">
        <f aca="false">J3/(1-I3/100)</f>
        <v>35.974158449507</v>
      </c>
      <c r="L3" s="11" t="n">
        <v>16.64</v>
      </c>
      <c r="M3" s="11" t="n">
        <v>34.7</v>
      </c>
      <c r="N3" s="11" t="n">
        <v>69.87</v>
      </c>
      <c r="O3" s="11" t="n">
        <v>5.43</v>
      </c>
      <c r="P3" s="10" t="n">
        <f aca="false">ROUND(E3*J3/100,0)</f>
        <v>8942</v>
      </c>
      <c r="Q3" s="10" t="n">
        <f aca="false">ROUND(P3*I3/(100-I3),0)</f>
        <v>1193</v>
      </c>
      <c r="R3" s="10" t="n">
        <f aca="false">ROUND(P3*(100-L3)/100,0)</f>
        <v>7454</v>
      </c>
      <c r="S3" s="10" t="n">
        <f aca="false">ROUND(P3*M3/100,0)</f>
        <v>3103</v>
      </c>
      <c r="T3" s="11" t="n">
        <v>72.52</v>
      </c>
      <c r="U3" s="11" t="n">
        <v>74.56</v>
      </c>
      <c r="V3" s="3" t="n">
        <f aca="false">RANK(F3,$F$2:$F$350,0)</f>
        <v>15</v>
      </c>
      <c r="W3" s="12" t="n">
        <v>831.2</v>
      </c>
      <c r="X3" s="10" t="n">
        <v>87</v>
      </c>
      <c r="Y3" s="3" t="s">
        <v>58</v>
      </c>
      <c r="Z3" s="3" t="s">
        <v>60</v>
      </c>
      <c r="AA3" s="13" t="s">
        <v>59</v>
      </c>
      <c r="AB3" s="11" t="n">
        <v>45.56</v>
      </c>
    </row>
    <row r="4" customFormat="false" ht="16.4" hidden="false" customHeight="false" outlineLevel="0" collapsed="false">
      <c r="A4" s="3" t="n">
        <v>3</v>
      </c>
      <c r="B4" s="3" t="n">
        <v>1</v>
      </c>
      <c r="C4" s="3" t="s">
        <v>61</v>
      </c>
      <c r="D4" s="10" t="n">
        <v>8763</v>
      </c>
      <c r="E4" s="10" t="n">
        <f aca="false">ROUND(D4*INDEX(مناطق!$AF$2:$AF$23,B4),0)</f>
        <v>8127</v>
      </c>
      <c r="F4" s="11" t="n">
        <f aca="false">ROUND(100*(راهنما!$B$4*(H4-MIN($H$2:$H$350))/(MAX($H$2:$H$350)-MIN($H$2:$H$350))+راهنما!$B$5*(N4-MIN($N$2:$N$350))/(MAX($N$2:$N$350)-MIN($N$2:$N$350))+راهنما!$B$6*(J4-MIN($J$2:$J$350))/(MAX($J$2:$J$350)-MIN($J$2:$J$350))+راهنما!$B$7*(MAX($I$2:$I$350)-I4)/(MAX($I$2:$I$350)-MIN($I$2:$I$350)))/راهنما!$B$8,1)</f>
        <v>65.8</v>
      </c>
      <c r="G4" s="3" t="str">
        <f aca="false">IF(V4&lt;=ROUND(349*0.2,0),"بسیار بالا",IF(V4&lt;=ROUND(349*0.4,0),"بالا",IF(V4&lt;=ROUND(349*0.6,0),"متوسط",IF(V4&lt;=ROUND(349*0.8,0),"پایین","بسیار پایین"))))</f>
        <v>بسیار بالا</v>
      </c>
      <c r="H4" s="11" t="n">
        <f aca="false">(100-I4)*(100-L4)/100</f>
        <v>72.657405</v>
      </c>
      <c r="I4" s="11" t="n">
        <v>11.77</v>
      </c>
      <c r="J4" s="11" t="n">
        <v>31.95</v>
      </c>
      <c r="K4" s="11" t="n">
        <f aca="false">J4/(1-I4/100)</f>
        <v>36.2121727303638</v>
      </c>
      <c r="L4" s="11" t="n">
        <v>17.65</v>
      </c>
      <c r="M4" s="11" t="n">
        <v>34.7</v>
      </c>
      <c r="N4" s="11" t="n">
        <v>64.31</v>
      </c>
      <c r="O4" s="11" t="n">
        <v>5.91</v>
      </c>
      <c r="P4" s="10" t="n">
        <f aca="false">ROUND(E4*J4/100,0)</f>
        <v>2597</v>
      </c>
      <c r="Q4" s="10" t="n">
        <f aca="false">ROUND(P4*I4/(100-I4),0)</f>
        <v>346</v>
      </c>
      <c r="R4" s="10" t="n">
        <f aca="false">ROUND(P4*(100-L4)/100,0)</f>
        <v>2139</v>
      </c>
      <c r="S4" s="10" t="n">
        <f aca="false">ROUND(P4*M4/100,0)</f>
        <v>901</v>
      </c>
      <c r="T4" s="11" t="n">
        <v>71.97</v>
      </c>
      <c r="U4" s="11" t="n">
        <v>73.34</v>
      </c>
      <c r="V4" s="3" t="n">
        <f aca="false">RANK(F4,$F$2:$F$350,0)</f>
        <v>29</v>
      </c>
      <c r="W4" s="12" t="n">
        <v>704.4</v>
      </c>
      <c r="X4" s="10" t="n">
        <v>88</v>
      </c>
      <c r="Y4" s="3" t="s">
        <v>58</v>
      </c>
      <c r="Z4" s="3" t="s">
        <v>61</v>
      </c>
      <c r="AA4" s="13" t="s">
        <v>59</v>
      </c>
      <c r="AB4" s="11" t="n">
        <v>39.73</v>
      </c>
    </row>
    <row r="5" customFormat="false" ht="16.4" hidden="false" customHeight="false" outlineLevel="0" collapsed="false">
      <c r="A5" s="3" t="n">
        <v>4</v>
      </c>
      <c r="B5" s="3" t="n">
        <v>1</v>
      </c>
      <c r="C5" s="3" t="s">
        <v>62</v>
      </c>
      <c r="D5" s="10" t="n">
        <v>17579</v>
      </c>
      <c r="E5" s="10" t="n">
        <f aca="false">ROUND(D5*INDEX(مناطق!$AF$2:$AF$23,B5),0)</f>
        <v>16303</v>
      </c>
      <c r="F5" s="11" t="n">
        <f aca="false">ROUND(100*(راهنما!$B$4*(H5-MIN($H$2:$H$350))/(MAX($H$2:$H$350)-MIN($H$2:$H$350))+راهنما!$B$5*(N5-MIN($N$2:$N$350))/(MAX($N$2:$N$350)-MIN($N$2:$N$350))+راهنما!$B$6*(J5-MIN($J$2:$J$350))/(MAX($J$2:$J$350)-MIN($J$2:$J$350))+راهنما!$B$7*(MAX($I$2:$I$350)-I5)/(MAX($I$2:$I$350)-MIN($I$2:$I$350)))/راهنما!$B$8,1)</f>
        <v>65.5</v>
      </c>
      <c r="G5" s="3" t="str">
        <f aca="false">IF(V5&lt;=ROUND(349*0.2,0),"بسیار بالا",IF(V5&lt;=ROUND(349*0.4,0),"بالا",IF(V5&lt;=ROUND(349*0.6,0),"متوسط",IF(V5&lt;=ROUND(349*0.8,0),"پایین","بسیار پایین"))))</f>
        <v>بسیار بالا</v>
      </c>
      <c r="H5" s="11" t="n">
        <f aca="false">(100-I5)*(100-L5)/100</f>
        <v>72.577998</v>
      </c>
      <c r="I5" s="11" t="n">
        <v>11.77</v>
      </c>
      <c r="J5" s="11" t="n">
        <v>31.96</v>
      </c>
      <c r="K5" s="11" t="n">
        <f aca="false">J5/(1-I5/100)</f>
        <v>36.223506743738</v>
      </c>
      <c r="L5" s="11" t="n">
        <v>17.74</v>
      </c>
      <c r="M5" s="11" t="n">
        <v>34.7</v>
      </c>
      <c r="N5" s="11" t="n">
        <v>63.83</v>
      </c>
      <c r="O5" s="11" t="n">
        <v>5.95</v>
      </c>
      <c r="P5" s="10" t="n">
        <f aca="false">ROUND(E5*J5/100,0)</f>
        <v>5210</v>
      </c>
      <c r="Q5" s="10" t="n">
        <f aca="false">ROUND(P5*I5/(100-I5),0)</f>
        <v>695</v>
      </c>
      <c r="R5" s="10" t="n">
        <f aca="false">ROUND(P5*(100-L5)/100,0)</f>
        <v>4286</v>
      </c>
      <c r="S5" s="10" t="n">
        <f aca="false">ROUND(P5*M5/100,0)</f>
        <v>1808</v>
      </c>
      <c r="T5" s="11" t="n">
        <v>71.93</v>
      </c>
      <c r="U5" s="11" t="n">
        <v>73.24</v>
      </c>
      <c r="V5" s="3" t="n">
        <f aca="false">RANK(F5,$F$2:$F$350,0)</f>
        <v>31</v>
      </c>
      <c r="W5" s="12" t="n">
        <v>650</v>
      </c>
      <c r="X5" s="10" t="n">
        <v>13</v>
      </c>
      <c r="Y5" s="3" t="s">
        <v>58</v>
      </c>
      <c r="Z5" s="3" t="s">
        <v>62</v>
      </c>
      <c r="AA5" s="13" t="s">
        <v>63</v>
      </c>
      <c r="AB5" s="11" t="n">
        <v>39.26</v>
      </c>
    </row>
    <row r="6" customFormat="false" ht="16.4" hidden="false" customHeight="false" outlineLevel="0" collapsed="false">
      <c r="A6" s="3" t="n">
        <v>5</v>
      </c>
      <c r="B6" s="3" t="n">
        <v>1</v>
      </c>
      <c r="C6" s="3" t="s">
        <v>64</v>
      </c>
      <c r="D6" s="10" t="n">
        <v>22574</v>
      </c>
      <c r="E6" s="10" t="n">
        <f aca="false">ROUND(D6*INDEX(مناطق!$AF$2:$AF$23,B6),0)</f>
        <v>20936</v>
      </c>
      <c r="F6" s="11" t="n">
        <f aca="false">ROUND(100*(راهنما!$B$4*(H6-MIN($H$2:$H$350))/(MAX($H$2:$H$350)-MIN($H$2:$H$350))+راهنما!$B$5*(N6-MIN($N$2:$N$350))/(MAX($N$2:$N$350)-MIN($N$2:$N$350))+راهنما!$B$6*(J6-MIN($J$2:$J$350))/(MAX($J$2:$J$350)-MIN($J$2:$J$350))+راهنما!$B$7*(MAX($I$2:$I$350)-I6)/(MAX($I$2:$I$350)-MIN($I$2:$I$350)))/راهنما!$B$8,1)</f>
        <v>65.4</v>
      </c>
      <c r="G6" s="3" t="str">
        <f aca="false">IF(V6&lt;=ROUND(349*0.2,0),"بسیار بالا",IF(V6&lt;=ROUND(349*0.4,0),"بالا",IF(V6&lt;=ROUND(349*0.6,0),"متوسط",IF(V6&lt;=ROUND(349*0.8,0),"پایین","بسیار پایین"))))</f>
        <v>بسیار بالا</v>
      </c>
      <c r="H6" s="11" t="n">
        <f aca="false">(100-I6)*(100-L6)/100</f>
        <v>72.569175</v>
      </c>
      <c r="I6" s="11" t="n">
        <v>11.77</v>
      </c>
      <c r="J6" s="11" t="n">
        <v>31.97</v>
      </c>
      <c r="K6" s="11" t="n">
        <f aca="false">J6/(1-I6/100)</f>
        <v>36.2348407571121</v>
      </c>
      <c r="L6" s="11" t="n">
        <v>17.75</v>
      </c>
      <c r="M6" s="11" t="n">
        <v>34.7</v>
      </c>
      <c r="N6" s="11" t="n">
        <v>63.75</v>
      </c>
      <c r="O6" s="11" t="n">
        <v>5.96</v>
      </c>
      <c r="P6" s="10" t="n">
        <f aca="false">ROUND(E6*J6/100,0)</f>
        <v>6693</v>
      </c>
      <c r="Q6" s="10" t="n">
        <f aca="false">ROUND(P6*I6/(100-I6),0)</f>
        <v>893</v>
      </c>
      <c r="R6" s="10" t="n">
        <f aca="false">ROUND(P6*(100-L6)/100,0)</f>
        <v>5505</v>
      </c>
      <c r="S6" s="10" t="n">
        <f aca="false">ROUND(P6*M6/100,0)</f>
        <v>2322</v>
      </c>
      <c r="T6" s="11" t="n">
        <v>71.92</v>
      </c>
      <c r="U6" s="11" t="n">
        <v>73.22</v>
      </c>
      <c r="V6" s="3" t="n">
        <f aca="false">RANK(F6,$F$2:$F$350,0)</f>
        <v>34</v>
      </c>
      <c r="W6" s="12" t="n">
        <v>682.1</v>
      </c>
      <c r="X6" s="10" t="n">
        <v>88</v>
      </c>
      <c r="Y6" s="3" t="s">
        <v>58</v>
      </c>
      <c r="Z6" s="3" t="s">
        <v>64</v>
      </c>
      <c r="AA6" s="13" t="s">
        <v>59</v>
      </c>
      <c r="AB6" s="11" t="n">
        <v>39.18</v>
      </c>
    </row>
    <row r="7" customFormat="false" ht="16.4" hidden="false" customHeight="false" outlineLevel="0" collapsed="false">
      <c r="A7" s="3" t="n">
        <v>6</v>
      </c>
      <c r="B7" s="3" t="n">
        <v>1</v>
      </c>
      <c r="C7" s="3" t="s">
        <v>65</v>
      </c>
      <c r="D7" s="10" t="n">
        <v>13368</v>
      </c>
      <c r="E7" s="10" t="n">
        <f aca="false">ROUND(D7*INDEX(مناطق!$AF$2:$AF$23,B7),0)</f>
        <v>12398</v>
      </c>
      <c r="F7" s="11" t="n">
        <f aca="false">ROUND(100*(راهنما!$B$4*(H7-MIN($H$2:$H$350))/(MAX($H$2:$H$350)-MIN($H$2:$H$350))+راهنما!$B$5*(N7-MIN($N$2:$N$350))/(MAX($N$2:$N$350)-MIN($N$2:$N$350))+راهنما!$B$6*(J7-MIN($J$2:$J$350))/(MAX($J$2:$J$350)-MIN($J$2:$J$350))+راهنما!$B$7*(MAX($I$2:$I$350)-I7)/(MAX($I$2:$I$350)-MIN($I$2:$I$350)))/راهنما!$B$8,1)</f>
        <v>64.5</v>
      </c>
      <c r="G7" s="3" t="str">
        <f aca="false">IF(V7&lt;=ROUND(349*0.2,0),"بسیار بالا",IF(V7&lt;=ROUND(349*0.4,0),"بالا",IF(V7&lt;=ROUND(349*0.6,0),"متوسط",IF(V7&lt;=ROUND(349*0.8,0),"پایین","بسیار پایین"))))</f>
        <v>بسیار بالا</v>
      </c>
      <c r="H7" s="11" t="n">
        <f aca="false">(100-I7)*(100-L7)/100</f>
        <v>72.357423</v>
      </c>
      <c r="I7" s="11" t="n">
        <v>11.77</v>
      </c>
      <c r="J7" s="11" t="n">
        <v>32.01</v>
      </c>
      <c r="K7" s="11" t="n">
        <f aca="false">J7/(1-I7/100)</f>
        <v>36.2801768106086</v>
      </c>
      <c r="L7" s="11" t="n">
        <v>17.99</v>
      </c>
      <c r="M7" s="11" t="n">
        <v>34.7</v>
      </c>
      <c r="N7" s="11" t="n">
        <v>62.41</v>
      </c>
      <c r="O7" s="11" t="n">
        <v>6.08</v>
      </c>
      <c r="P7" s="10" t="n">
        <f aca="false">ROUND(E7*J7/100,0)</f>
        <v>3969</v>
      </c>
      <c r="Q7" s="10" t="n">
        <f aca="false">ROUND(P7*I7/(100-I7),0)</f>
        <v>529</v>
      </c>
      <c r="R7" s="10" t="n">
        <f aca="false">ROUND(P7*(100-L7)/100,0)</f>
        <v>3255</v>
      </c>
      <c r="S7" s="10" t="n">
        <f aca="false">ROUND(P7*M7/100,0)</f>
        <v>1377</v>
      </c>
      <c r="T7" s="11" t="n">
        <v>71.79</v>
      </c>
      <c r="U7" s="11" t="n">
        <v>72.93</v>
      </c>
      <c r="V7" s="3" t="n">
        <f aca="false">RANK(F7,$F$2:$F$350,0)</f>
        <v>41</v>
      </c>
      <c r="W7" s="12" t="n">
        <v>653.3</v>
      </c>
      <c r="X7" s="10" t="n">
        <v>87</v>
      </c>
      <c r="Y7" s="3" t="s">
        <v>58</v>
      </c>
      <c r="Z7" s="3" t="s">
        <v>65</v>
      </c>
      <c r="AA7" s="13" t="s">
        <v>59</v>
      </c>
      <c r="AB7" s="11" t="n">
        <v>37.89</v>
      </c>
    </row>
    <row r="8" customFormat="false" ht="16.4" hidden="false" customHeight="false" outlineLevel="0" collapsed="false">
      <c r="A8" s="3" t="n">
        <v>7</v>
      </c>
      <c r="B8" s="3" t="n">
        <v>1</v>
      </c>
      <c r="C8" s="3" t="s">
        <v>66</v>
      </c>
      <c r="D8" s="10" t="n">
        <v>9791</v>
      </c>
      <c r="E8" s="10" t="n">
        <f aca="false">ROUND(D8*INDEX(مناطق!$AF$2:$AF$23,B8),0)</f>
        <v>9080</v>
      </c>
      <c r="F8" s="11" t="n">
        <f aca="false">ROUND(100*(راهنما!$B$4*(H8-MIN($H$2:$H$350))/(MAX($H$2:$H$350)-MIN($H$2:$H$350))+راهنما!$B$5*(N8-MIN($N$2:$N$350))/(MAX($N$2:$N$350)-MIN($N$2:$N$350))+راهنما!$B$6*(J8-MIN($J$2:$J$350))/(MAX($J$2:$J$350)-MIN($J$2:$J$350))+راهنما!$B$7*(MAX($I$2:$I$350)-I8)/(MAX($I$2:$I$350)-MIN($I$2:$I$350)))/راهنما!$B$8,1)</f>
        <v>64.2</v>
      </c>
      <c r="G8" s="3" t="str">
        <f aca="false">IF(V8&lt;=ROUND(349*0.2,0),"بسیار بالا",IF(V8&lt;=ROUND(349*0.4,0),"بالا",IF(V8&lt;=ROUND(349*0.6,0),"متوسط",IF(V8&lt;=ROUND(349*0.8,0),"پایین","بسیار پایین"))))</f>
        <v>بسیار بالا</v>
      </c>
      <c r="H8" s="11" t="n">
        <f aca="false">(100-I8)*(100-L8)/100</f>
        <v>72.278016</v>
      </c>
      <c r="I8" s="11" t="n">
        <v>11.77</v>
      </c>
      <c r="J8" s="11" t="n">
        <v>32.03</v>
      </c>
      <c r="K8" s="11" t="n">
        <f aca="false">J8/(1-I8/100)</f>
        <v>36.3028448373569</v>
      </c>
      <c r="L8" s="11" t="n">
        <v>18.08</v>
      </c>
      <c r="M8" s="11" t="n">
        <v>34.7</v>
      </c>
      <c r="N8" s="11" t="n">
        <v>61.91</v>
      </c>
      <c r="O8" s="11" t="n">
        <v>6.12</v>
      </c>
      <c r="P8" s="10" t="n">
        <f aca="false">ROUND(E8*J8/100,0)</f>
        <v>2908</v>
      </c>
      <c r="Q8" s="10" t="n">
        <f aca="false">ROUND(P8*I8/(100-I8),0)</f>
        <v>388</v>
      </c>
      <c r="R8" s="10" t="n">
        <f aca="false">ROUND(P8*(100-L8)/100,0)</f>
        <v>2382</v>
      </c>
      <c r="S8" s="10" t="n">
        <f aca="false">ROUND(P8*M8/100,0)</f>
        <v>1009</v>
      </c>
      <c r="T8" s="11" t="n">
        <v>71.75</v>
      </c>
      <c r="U8" s="11" t="n">
        <v>72.82</v>
      </c>
      <c r="V8" s="3" t="n">
        <f aca="false">RANK(F8,$F$2:$F$350,0)</f>
        <v>45</v>
      </c>
      <c r="W8" s="12" t="n">
        <v>671.2</v>
      </c>
      <c r="X8" s="10" t="n">
        <v>90</v>
      </c>
      <c r="Y8" s="3" t="s">
        <v>67</v>
      </c>
      <c r="Z8" s="3" t="s">
        <v>66</v>
      </c>
      <c r="AA8" s="13" t="s">
        <v>59</v>
      </c>
      <c r="AB8" s="11" t="n">
        <v>37.42</v>
      </c>
    </row>
    <row r="9" customFormat="false" ht="16.4" hidden="false" customHeight="false" outlineLevel="0" collapsed="false">
      <c r="A9" s="3" t="n">
        <v>8</v>
      </c>
      <c r="B9" s="3" t="n">
        <v>1</v>
      </c>
      <c r="C9" s="3" t="s">
        <v>68</v>
      </c>
      <c r="D9" s="10" t="n">
        <v>8373</v>
      </c>
      <c r="E9" s="10" t="n">
        <f aca="false">ROUND(D9*INDEX(مناطق!$AF$2:$AF$23,B9),0)</f>
        <v>7765</v>
      </c>
      <c r="F9" s="11" t="n">
        <f aca="false">ROUND(100*(راهنما!$B$4*(H9-MIN($H$2:$H$350))/(MAX($H$2:$H$350)-MIN($H$2:$H$350))+راهنما!$B$5*(N9-MIN($N$2:$N$350))/(MAX($N$2:$N$350)-MIN($N$2:$N$350))+راهنما!$B$6*(J9-MIN($J$2:$J$350))/(MAX($J$2:$J$350)-MIN($J$2:$J$350))+راهنما!$B$7*(MAX($I$2:$I$350)-I9)/(MAX($I$2:$I$350)-MIN($I$2:$I$350)))/راهنما!$B$8,1)</f>
        <v>64.1</v>
      </c>
      <c r="G9" s="3" t="str">
        <f aca="false">IF(V9&lt;=ROUND(349*0.2,0),"بسیار بالا",IF(V9&lt;=ROUND(349*0.4,0),"بالا",IF(V9&lt;=ROUND(349*0.6,0),"متوسط",IF(V9&lt;=ROUND(349*0.8,0),"پایین","بسیار پایین"))))</f>
        <v>بسیار بالا</v>
      </c>
      <c r="H9" s="11" t="n">
        <f aca="false">(100-I9)*(100-L9)/100</f>
        <v>72.26037</v>
      </c>
      <c r="I9" s="11" t="n">
        <v>11.77</v>
      </c>
      <c r="J9" s="11" t="n">
        <v>32.03</v>
      </c>
      <c r="K9" s="11" t="n">
        <f aca="false">J9/(1-I9/100)</f>
        <v>36.3028448373569</v>
      </c>
      <c r="L9" s="11" t="n">
        <v>18.1</v>
      </c>
      <c r="M9" s="11" t="n">
        <v>34.7</v>
      </c>
      <c r="N9" s="11" t="n">
        <v>61.79</v>
      </c>
      <c r="O9" s="11" t="n">
        <v>6.13</v>
      </c>
      <c r="P9" s="10" t="n">
        <f aca="false">ROUND(E9*J9/100,0)</f>
        <v>2487</v>
      </c>
      <c r="Q9" s="10" t="n">
        <f aca="false">ROUND(P9*I9/(100-I9),0)</f>
        <v>332</v>
      </c>
      <c r="R9" s="10" t="n">
        <f aca="false">ROUND(P9*(100-L9)/100,0)</f>
        <v>2037</v>
      </c>
      <c r="S9" s="10" t="n">
        <f aca="false">ROUND(P9*M9/100,0)</f>
        <v>863</v>
      </c>
      <c r="T9" s="11" t="n">
        <v>71.73</v>
      </c>
      <c r="U9" s="11" t="n">
        <v>72.8</v>
      </c>
      <c r="V9" s="3" t="n">
        <f aca="false">RANK(F9,$F$2:$F$350,0)</f>
        <v>46</v>
      </c>
      <c r="W9" s="12" t="n">
        <v>646.9</v>
      </c>
      <c r="X9" s="10" t="n">
        <v>91</v>
      </c>
      <c r="Y9" s="3" t="s">
        <v>58</v>
      </c>
      <c r="Z9" s="3" t="s">
        <v>69</v>
      </c>
      <c r="AA9" s="13" t="s">
        <v>59</v>
      </c>
      <c r="AB9" s="11" t="n">
        <v>37.31</v>
      </c>
    </row>
    <row r="10" customFormat="false" ht="16.4" hidden="false" customHeight="false" outlineLevel="0" collapsed="false">
      <c r="A10" s="3" t="n">
        <v>9</v>
      </c>
      <c r="B10" s="3" t="n">
        <v>1</v>
      </c>
      <c r="C10" s="3" t="s">
        <v>70</v>
      </c>
      <c r="D10" s="10" t="n">
        <v>23845</v>
      </c>
      <c r="E10" s="10" t="n">
        <f aca="false">ROUND(D10*INDEX(مناطق!$AF$2:$AF$23,B10),0)</f>
        <v>22114</v>
      </c>
      <c r="F10" s="11" t="n">
        <f aca="false">ROUND(100*(راهنما!$B$4*(H10-MIN($H$2:$H$350))/(MAX($H$2:$H$350)-MIN($H$2:$H$350))+راهنما!$B$5*(N10-MIN($N$2:$N$350))/(MAX($N$2:$N$350)-MIN($N$2:$N$350))+راهنما!$B$6*(J10-MIN($J$2:$J$350))/(MAX($J$2:$J$350)-MIN($J$2:$J$350))+راهنما!$B$7*(MAX($I$2:$I$350)-I10)/(MAX($I$2:$I$350)-MIN($I$2:$I$350)))/راهنما!$B$8,1)</f>
        <v>63.9</v>
      </c>
      <c r="G10" s="3" t="str">
        <f aca="false">IF(V10&lt;=ROUND(349*0.2,0),"بسیار بالا",IF(V10&lt;=ROUND(349*0.4,0),"بالا",IF(V10&lt;=ROUND(349*0.6,0),"متوسط",IF(V10&lt;=ROUND(349*0.8,0),"پایین","بسیار پایین"))))</f>
        <v>بسیار بالا</v>
      </c>
      <c r="H10" s="11" t="n">
        <f aca="false">(100-I10)*(100-L10)/100</f>
        <v>72.216255</v>
      </c>
      <c r="I10" s="11" t="n">
        <v>11.77</v>
      </c>
      <c r="J10" s="11" t="n">
        <v>32.04</v>
      </c>
      <c r="K10" s="11" t="n">
        <f aca="false">J10/(1-I10/100)</f>
        <v>36.3141788507311</v>
      </c>
      <c r="L10" s="11" t="n">
        <v>18.15</v>
      </c>
      <c r="M10" s="11" t="n">
        <v>34.7</v>
      </c>
      <c r="N10" s="11" t="n">
        <v>61.52</v>
      </c>
      <c r="O10" s="11" t="n">
        <v>6.15</v>
      </c>
      <c r="P10" s="10" t="n">
        <f aca="false">ROUND(E10*J10/100,0)</f>
        <v>7085</v>
      </c>
      <c r="Q10" s="10" t="n">
        <f aca="false">ROUND(P10*I10/(100-I10),0)</f>
        <v>945</v>
      </c>
      <c r="R10" s="10" t="n">
        <f aca="false">ROUND(P10*(100-L10)/100,0)</f>
        <v>5799</v>
      </c>
      <c r="S10" s="10" t="n">
        <f aca="false">ROUND(P10*M10/100,0)</f>
        <v>2458</v>
      </c>
      <c r="T10" s="11" t="n">
        <v>71.71</v>
      </c>
      <c r="U10" s="11" t="n">
        <v>72.74</v>
      </c>
      <c r="V10" s="3" t="n">
        <f aca="false">RANK(F10,$F$2:$F$350,0)</f>
        <v>48</v>
      </c>
      <c r="W10" s="12" t="n">
        <v>636.8</v>
      </c>
      <c r="X10" s="10" t="n">
        <v>86</v>
      </c>
      <c r="Y10" s="3" t="s">
        <v>58</v>
      </c>
      <c r="Z10" s="3" t="s">
        <v>71</v>
      </c>
      <c r="AA10" s="13" t="s">
        <v>59</v>
      </c>
      <c r="AB10" s="11" t="n">
        <v>37.06</v>
      </c>
    </row>
    <row r="11" customFormat="false" ht="16.4" hidden="false" customHeight="false" outlineLevel="0" collapsed="false">
      <c r="A11" s="3" t="n">
        <v>10</v>
      </c>
      <c r="B11" s="3" t="n">
        <v>1</v>
      </c>
      <c r="C11" s="3" t="s">
        <v>72</v>
      </c>
      <c r="D11" s="10" t="n">
        <v>15178</v>
      </c>
      <c r="E11" s="10" t="n">
        <f aca="false">ROUND(D11*INDEX(مناطق!$AF$2:$AF$23,B11),0)</f>
        <v>14076</v>
      </c>
      <c r="F11" s="11" t="n">
        <f aca="false">ROUND(100*(راهنما!$B$4*(H11-MIN($H$2:$H$350))/(MAX($H$2:$H$350)-MIN($H$2:$H$350))+راهنما!$B$5*(N11-MIN($N$2:$N$350))/(MAX($N$2:$N$350)-MIN($N$2:$N$350))+راهنما!$B$6*(J11-MIN($J$2:$J$350))/(MAX($J$2:$J$350)-MIN($J$2:$J$350))+راهنما!$B$7*(MAX($I$2:$I$350)-I11)/(MAX($I$2:$I$350)-MIN($I$2:$I$350)))/راهنما!$B$8,1)</f>
        <v>63.1</v>
      </c>
      <c r="G11" s="3" t="str">
        <f aca="false">IF(V11&lt;=ROUND(349*0.2,0),"بسیار بالا",IF(V11&lt;=ROUND(349*0.4,0),"بالا",IF(V11&lt;=ROUND(349*0.6,0),"متوسط",IF(V11&lt;=ROUND(349*0.8,0),"پایین","بسیار پایین"))))</f>
        <v>بسیار بالا</v>
      </c>
      <c r="H11" s="11" t="n">
        <f aca="false">(100-I11)*(100-L11)/100</f>
        <v>72.022149</v>
      </c>
      <c r="I11" s="11" t="n">
        <v>11.77</v>
      </c>
      <c r="J11" s="11" t="n">
        <v>32.09</v>
      </c>
      <c r="K11" s="11" t="n">
        <f aca="false">J11/(1-I11/100)</f>
        <v>36.3708489176017</v>
      </c>
      <c r="L11" s="11" t="n">
        <v>18.37</v>
      </c>
      <c r="M11" s="11" t="n">
        <v>34.7</v>
      </c>
      <c r="N11" s="11" t="n">
        <v>60.26</v>
      </c>
      <c r="O11" s="11" t="n">
        <v>6.26</v>
      </c>
      <c r="P11" s="10" t="n">
        <f aca="false">ROUND(E11*J11/100,0)</f>
        <v>4517</v>
      </c>
      <c r="Q11" s="10" t="n">
        <f aca="false">ROUND(P11*I11/(100-I11),0)</f>
        <v>603</v>
      </c>
      <c r="R11" s="10" t="n">
        <f aca="false">ROUND(P11*(100-L11)/100,0)</f>
        <v>3687</v>
      </c>
      <c r="S11" s="10" t="n">
        <f aca="false">ROUND(P11*M11/100,0)</f>
        <v>1567</v>
      </c>
      <c r="T11" s="11" t="n">
        <v>71.59</v>
      </c>
      <c r="U11" s="11" t="n">
        <v>72.47</v>
      </c>
      <c r="V11" s="3" t="n">
        <f aca="false">RANK(F11,$F$2:$F$350,0)</f>
        <v>56</v>
      </c>
      <c r="W11" s="12" t="n">
        <v>608.8</v>
      </c>
      <c r="X11" s="10" t="n">
        <v>88</v>
      </c>
      <c r="Y11" s="3" t="s">
        <v>58</v>
      </c>
      <c r="Z11" s="3" t="s">
        <v>72</v>
      </c>
      <c r="AA11" s="13" t="s">
        <v>59</v>
      </c>
      <c r="AB11" s="11" t="n">
        <v>35.9</v>
      </c>
    </row>
    <row r="12" customFormat="false" ht="16.4" hidden="false" customHeight="false" outlineLevel="0" collapsed="false">
      <c r="A12" s="3" t="n">
        <v>11</v>
      </c>
      <c r="B12" s="3" t="n">
        <v>1</v>
      </c>
      <c r="C12" s="3" t="s">
        <v>73</v>
      </c>
      <c r="D12" s="10" t="n">
        <v>30216</v>
      </c>
      <c r="E12" s="10" t="n">
        <f aca="false">ROUND(D12*INDEX(مناطق!$AF$2:$AF$23,B12),0)</f>
        <v>28023</v>
      </c>
      <c r="F12" s="11" t="n">
        <f aca="false">ROUND(100*(راهنما!$B$4*(H12-MIN($H$2:$H$350))/(MAX($H$2:$H$350)-MIN($H$2:$H$350))+راهنما!$B$5*(N12-MIN($N$2:$N$350))/(MAX($N$2:$N$350)-MIN($N$2:$N$350))+راهنما!$B$6*(J12-MIN($J$2:$J$350))/(MAX($J$2:$J$350)-MIN($J$2:$J$350))+راهنما!$B$7*(MAX($I$2:$I$350)-I12)/(MAX($I$2:$I$350)-MIN($I$2:$I$350)))/راهنما!$B$8,1)</f>
        <v>61</v>
      </c>
      <c r="G12" s="3" t="str">
        <f aca="false">IF(V12&lt;=ROUND(349*0.2,0),"بسیار بالا",IF(V12&lt;=ROUND(349*0.4,0),"بالا",IF(V12&lt;=ROUND(349*0.6,0),"متوسط",IF(V12&lt;=ROUND(349*0.8,0),"پایین","بسیار پایین"))))</f>
        <v>بالا</v>
      </c>
      <c r="H12" s="11" t="n">
        <f aca="false">(100-I12)*(100-L12)/100</f>
        <v>71.536884</v>
      </c>
      <c r="I12" s="11" t="n">
        <v>11.77</v>
      </c>
      <c r="J12" s="11" t="n">
        <v>32.19</v>
      </c>
      <c r="K12" s="11" t="n">
        <f aca="false">J12/(1-I12/100)</f>
        <v>36.4841890513431</v>
      </c>
      <c r="L12" s="11" t="n">
        <v>18.92</v>
      </c>
      <c r="M12" s="11" t="n">
        <v>34.7</v>
      </c>
      <c r="N12" s="11" t="n">
        <v>57.17</v>
      </c>
      <c r="O12" s="11" t="n">
        <v>6.53</v>
      </c>
      <c r="P12" s="10" t="n">
        <f aca="false">ROUND(E12*J12/100,0)</f>
        <v>9021</v>
      </c>
      <c r="Q12" s="10" t="n">
        <f aca="false">ROUND(P12*I12/(100-I12),0)</f>
        <v>1203</v>
      </c>
      <c r="R12" s="10" t="n">
        <f aca="false">ROUND(P12*(100-L12)/100,0)</f>
        <v>7314</v>
      </c>
      <c r="S12" s="10" t="n">
        <f aca="false">ROUND(P12*M12/100,0)</f>
        <v>3130</v>
      </c>
      <c r="T12" s="11" t="n">
        <v>71.31</v>
      </c>
      <c r="U12" s="11" t="n">
        <v>71.8</v>
      </c>
      <c r="V12" s="3" t="n">
        <f aca="false">RANK(F12,$F$2:$F$350,0)</f>
        <v>72</v>
      </c>
      <c r="W12" s="12" t="n">
        <v>595.9</v>
      </c>
      <c r="X12" s="10" t="n">
        <v>90</v>
      </c>
      <c r="Y12" s="3" t="s">
        <v>58</v>
      </c>
      <c r="Z12" s="3" t="s">
        <v>73</v>
      </c>
      <c r="AA12" s="13" t="s">
        <v>59</v>
      </c>
      <c r="AB12" s="11" t="n">
        <v>33.18</v>
      </c>
    </row>
    <row r="13" customFormat="false" ht="16.4" hidden="false" customHeight="false" outlineLevel="0" collapsed="false">
      <c r="A13" s="3" t="n">
        <v>12</v>
      </c>
      <c r="B13" s="3" t="n">
        <v>1</v>
      </c>
      <c r="C13" s="3" t="s">
        <v>74</v>
      </c>
      <c r="D13" s="10" t="n">
        <v>24680</v>
      </c>
      <c r="E13" s="10" t="n">
        <f aca="false">ROUND(D13*INDEX(مناطق!$AF$2:$AF$23,B13),0)</f>
        <v>22889</v>
      </c>
      <c r="F13" s="11" t="n">
        <f aca="false">ROUND(100*(راهنما!$B$4*(H13-MIN($H$2:$H$350))/(MAX($H$2:$H$350)-MIN($H$2:$H$350))+راهنما!$B$5*(N13-MIN($N$2:$N$350))/(MAX($N$2:$N$350)-MIN($N$2:$N$350))+راهنما!$B$6*(J13-MIN($J$2:$J$350))/(MAX($J$2:$J$350)-MIN($J$2:$J$350))+راهنما!$B$7*(MAX($I$2:$I$350)-I13)/(MAX($I$2:$I$350)-MIN($I$2:$I$350)))/راهنما!$B$8,1)</f>
        <v>60.2</v>
      </c>
      <c r="G13" s="3" t="str">
        <f aca="false">IF(V13&lt;=ROUND(349*0.2,0),"بسیار بالا",IF(V13&lt;=ROUND(349*0.4,0),"بالا",IF(V13&lt;=ROUND(349*0.6,0),"متوسط",IF(V13&lt;=ROUND(349*0.8,0),"پایین","بسیار پایین"))))</f>
        <v>بالا</v>
      </c>
      <c r="H13" s="11" t="n">
        <f aca="false">(100-I13)*(100-L13)/100</f>
        <v>71.333955</v>
      </c>
      <c r="I13" s="11" t="n">
        <v>11.77</v>
      </c>
      <c r="J13" s="11" t="n">
        <v>32.24</v>
      </c>
      <c r="K13" s="11" t="n">
        <f aca="false">J13/(1-I13/100)</f>
        <v>36.5408591182138</v>
      </c>
      <c r="L13" s="11" t="n">
        <v>19.15</v>
      </c>
      <c r="M13" s="11" t="n">
        <v>34.7</v>
      </c>
      <c r="N13" s="11" t="n">
        <v>55.88</v>
      </c>
      <c r="O13" s="11" t="n">
        <v>6.65</v>
      </c>
      <c r="P13" s="10" t="n">
        <f aca="false">ROUND(E13*J13/100,0)</f>
        <v>7379</v>
      </c>
      <c r="Q13" s="10" t="n">
        <f aca="false">ROUND(P13*I13/(100-I13),0)</f>
        <v>984</v>
      </c>
      <c r="R13" s="10" t="n">
        <f aca="false">ROUND(P13*(100-L13)/100,0)</f>
        <v>5966</v>
      </c>
      <c r="S13" s="10" t="n">
        <f aca="false">ROUND(P13*M13/100,0)</f>
        <v>2561</v>
      </c>
      <c r="T13" s="11" t="n">
        <v>71.19</v>
      </c>
      <c r="U13" s="11" t="n">
        <v>71.51</v>
      </c>
      <c r="V13" s="3" t="n">
        <f aca="false">RANK(F13,$F$2:$F$350,0)</f>
        <v>81</v>
      </c>
      <c r="W13" s="12" t="n">
        <v>562.5</v>
      </c>
      <c r="X13" s="10" t="n">
        <v>89</v>
      </c>
      <c r="Y13" s="3" t="s">
        <v>58</v>
      </c>
      <c r="Z13" s="3" t="s">
        <v>74</v>
      </c>
      <c r="AA13" s="13" t="s">
        <v>59</v>
      </c>
      <c r="AB13" s="11" t="n">
        <v>32.08</v>
      </c>
    </row>
    <row r="14" customFormat="false" ht="16.4" hidden="false" customHeight="false" outlineLevel="0" collapsed="false">
      <c r="A14" s="3" t="n">
        <v>13</v>
      </c>
      <c r="B14" s="3" t="n">
        <v>1</v>
      </c>
      <c r="C14" s="3" t="s">
        <v>75</v>
      </c>
      <c r="D14" s="10" t="n">
        <v>14564</v>
      </c>
      <c r="E14" s="10" t="n">
        <f aca="false">ROUND(D14*INDEX(مناطق!$AF$2:$AF$23,B14),0)</f>
        <v>13507</v>
      </c>
      <c r="F14" s="11" t="n">
        <f aca="false">ROUND(100*(راهنما!$B$4*(H14-MIN($H$2:$H$350))/(MAX($H$2:$H$350)-MIN($H$2:$H$350))+راهنما!$B$5*(N14-MIN($N$2:$N$350))/(MAX($N$2:$N$350)-MIN($N$2:$N$350))+راهنما!$B$6*(J14-MIN($J$2:$J$350))/(MAX($J$2:$J$350)-MIN($J$2:$J$350))+راهنما!$B$7*(MAX($I$2:$I$350)-I14)/(MAX($I$2:$I$350)-MIN($I$2:$I$350)))/راهنما!$B$8,1)</f>
        <v>59.2</v>
      </c>
      <c r="G14" s="3" t="str">
        <f aca="false">IF(V14&lt;=ROUND(349*0.2,0),"بسیار بالا",IF(V14&lt;=ROUND(349*0.4,0),"بالا",IF(V14&lt;=ROUND(349*0.6,0),"متوسط",IF(V14&lt;=ROUND(349*0.8,0),"پایین","بسیار پایین"))))</f>
        <v>بالا</v>
      </c>
      <c r="H14" s="11" t="n">
        <f aca="false">(100-I14)*(100-L14)/100</f>
        <v>71.11338</v>
      </c>
      <c r="I14" s="11" t="n">
        <v>11.77</v>
      </c>
      <c r="J14" s="11" t="n">
        <v>32.29</v>
      </c>
      <c r="K14" s="11" t="n">
        <f aca="false">J14/(1-I14/100)</f>
        <v>36.5975291850844</v>
      </c>
      <c r="L14" s="11" t="n">
        <v>19.4</v>
      </c>
      <c r="M14" s="11" t="n">
        <v>34.7</v>
      </c>
      <c r="N14" s="11" t="n">
        <v>54.48</v>
      </c>
      <c r="O14" s="11" t="n">
        <v>6.77</v>
      </c>
      <c r="P14" s="10" t="n">
        <f aca="false">ROUND(E14*J14/100,0)</f>
        <v>4361</v>
      </c>
      <c r="Q14" s="10" t="n">
        <f aca="false">ROUND(P14*I14/(100-I14),0)</f>
        <v>582</v>
      </c>
      <c r="R14" s="10" t="n">
        <f aca="false">ROUND(P14*(100-L14)/100,0)</f>
        <v>3515</v>
      </c>
      <c r="S14" s="10" t="n">
        <f aca="false">ROUND(P14*M14/100,0)</f>
        <v>1513</v>
      </c>
      <c r="T14" s="11" t="n">
        <v>71.06</v>
      </c>
      <c r="U14" s="11" t="n">
        <v>71.2</v>
      </c>
      <c r="V14" s="3" t="n">
        <f aca="false">RANK(F14,$F$2:$F$350,0)</f>
        <v>91</v>
      </c>
      <c r="W14" s="12" t="n">
        <v>546.9</v>
      </c>
      <c r="X14" s="10" t="n">
        <v>82</v>
      </c>
      <c r="Y14" s="3" t="s">
        <v>58</v>
      </c>
      <c r="Z14" s="3" t="s">
        <v>75</v>
      </c>
      <c r="AA14" s="13" t="s">
        <v>59</v>
      </c>
      <c r="AB14" s="11" t="n">
        <v>30.93</v>
      </c>
    </row>
    <row r="15" customFormat="false" ht="16.4" hidden="false" customHeight="false" outlineLevel="0" collapsed="false">
      <c r="A15" s="3" t="n">
        <v>14</v>
      </c>
      <c r="B15" s="3" t="n">
        <v>1</v>
      </c>
      <c r="C15" s="3" t="s">
        <v>76</v>
      </c>
      <c r="D15" s="10" t="n">
        <v>16408</v>
      </c>
      <c r="E15" s="10" t="n">
        <f aca="false">ROUND(D15*INDEX(مناطق!$AF$2:$AF$23,B15),0)</f>
        <v>15217</v>
      </c>
      <c r="F15" s="11" t="n">
        <f aca="false">ROUND(100*(راهنما!$B$4*(H15-MIN($H$2:$H$350))/(MAX($H$2:$H$350)-MIN($H$2:$H$350))+راهنما!$B$5*(N15-MIN($N$2:$N$350))/(MAX($N$2:$N$350)-MIN($N$2:$N$350))+راهنما!$B$6*(J15-MIN($J$2:$J$350))/(MAX($J$2:$J$350)-MIN($J$2:$J$350))+راهنما!$B$7*(MAX($I$2:$I$350)-I15)/(MAX($I$2:$I$350)-MIN($I$2:$I$350)))/راهنما!$B$8,1)</f>
        <v>59</v>
      </c>
      <c r="G15" s="3" t="str">
        <f aca="false">IF(V15&lt;=ROUND(349*0.2,0),"بسیار بالا",IF(V15&lt;=ROUND(349*0.4,0),"بالا",IF(V15&lt;=ROUND(349*0.6,0),"متوسط",IF(V15&lt;=ROUND(349*0.8,0),"پایین","بسیار پایین"))))</f>
        <v>بالا</v>
      </c>
      <c r="H15" s="11" t="n">
        <f aca="false">(100-I15)*(100-L15)/100</f>
        <v>71.069265</v>
      </c>
      <c r="I15" s="11" t="n">
        <v>11.77</v>
      </c>
      <c r="J15" s="11" t="n">
        <v>32.3</v>
      </c>
      <c r="K15" s="11" t="n">
        <f aca="false">J15/(1-I15/100)</f>
        <v>36.6088631984586</v>
      </c>
      <c r="L15" s="11" t="n">
        <v>19.45</v>
      </c>
      <c r="M15" s="11" t="n">
        <v>34.7</v>
      </c>
      <c r="N15" s="11" t="n">
        <v>54.16</v>
      </c>
      <c r="O15" s="11" t="n">
        <v>6.8</v>
      </c>
      <c r="P15" s="10" t="n">
        <f aca="false">ROUND(E15*J15/100,0)</f>
        <v>4915</v>
      </c>
      <c r="Q15" s="10" t="n">
        <f aca="false">ROUND(P15*I15/(100-I15),0)</f>
        <v>656</v>
      </c>
      <c r="R15" s="10" t="n">
        <f aca="false">ROUND(P15*(100-L15)/100,0)</f>
        <v>3959</v>
      </c>
      <c r="S15" s="10" t="n">
        <f aca="false">ROUND(P15*M15/100,0)</f>
        <v>1706</v>
      </c>
      <c r="T15" s="11" t="n">
        <v>71.03</v>
      </c>
      <c r="U15" s="11" t="n">
        <v>71.13</v>
      </c>
      <c r="V15" s="3" t="n">
        <f aca="false">RANK(F15,$F$2:$F$350,0)</f>
        <v>95</v>
      </c>
      <c r="W15" s="12"/>
      <c r="X15" s="10" t="n">
        <v>0</v>
      </c>
      <c r="Y15" s="3" t="s">
        <v>77</v>
      </c>
      <c r="Z15" s="13" t="s">
        <v>78</v>
      </c>
      <c r="AA15" s="13" t="s">
        <v>79</v>
      </c>
      <c r="AB15" s="11" t="n">
        <v>30.67</v>
      </c>
    </row>
    <row r="16" customFormat="false" ht="16.4" hidden="false" customHeight="false" outlineLevel="0" collapsed="false">
      <c r="A16" s="3" t="n">
        <v>15</v>
      </c>
      <c r="B16" s="3" t="n">
        <v>1</v>
      </c>
      <c r="C16" s="3" t="s">
        <v>80</v>
      </c>
      <c r="D16" s="10" t="n">
        <v>1088</v>
      </c>
      <c r="E16" s="10" t="n">
        <f aca="false">ROUND(D16*INDEX(مناطق!$AF$2:$AF$23,B16),0)</f>
        <v>1009</v>
      </c>
      <c r="F16" s="11" t="n">
        <f aca="false">ROUND(100*(راهنما!$B$4*(H16-MIN($H$2:$H$350))/(MAX($H$2:$H$350)-MIN($H$2:$H$350))+راهنما!$B$5*(N16-MIN($N$2:$N$350))/(MAX($N$2:$N$350)-MIN($N$2:$N$350))+راهنما!$B$6*(J16-MIN($J$2:$J$350))/(MAX($J$2:$J$350)-MIN($J$2:$J$350))+راهنما!$B$7*(MAX($I$2:$I$350)-I16)/(MAX($I$2:$I$350)-MIN($I$2:$I$350)))/راهنما!$B$8,1)</f>
        <v>59</v>
      </c>
      <c r="G16" s="3" t="str">
        <f aca="false">IF(V16&lt;=ROUND(349*0.2,0),"بسیار بالا",IF(V16&lt;=ROUND(349*0.4,0),"بالا",IF(V16&lt;=ROUND(349*0.6,0),"متوسط",IF(V16&lt;=ROUND(349*0.8,0),"پایین","بسیار پایین"))))</f>
        <v>بالا</v>
      </c>
      <c r="H16" s="11" t="n">
        <f aca="false">(100-I16)*(100-L16)/100</f>
        <v>71.069265</v>
      </c>
      <c r="I16" s="11" t="n">
        <v>11.77</v>
      </c>
      <c r="J16" s="11" t="n">
        <v>32.3</v>
      </c>
      <c r="K16" s="11" t="n">
        <f aca="false">J16/(1-I16/100)</f>
        <v>36.6088631984586</v>
      </c>
      <c r="L16" s="11" t="n">
        <v>19.45</v>
      </c>
      <c r="M16" s="11" t="n">
        <v>34.7</v>
      </c>
      <c r="N16" s="11" t="n">
        <v>54.16</v>
      </c>
      <c r="O16" s="11" t="n">
        <v>6.8</v>
      </c>
      <c r="P16" s="10" t="n">
        <f aca="false">ROUND(E16*J16/100,0)</f>
        <v>326</v>
      </c>
      <c r="Q16" s="10" t="n">
        <f aca="false">ROUND(P16*I16/(100-I16),0)</f>
        <v>43</v>
      </c>
      <c r="R16" s="10" t="n">
        <f aca="false">ROUND(P16*(100-L16)/100,0)</f>
        <v>263</v>
      </c>
      <c r="S16" s="10" t="n">
        <f aca="false">ROUND(P16*M16/100,0)</f>
        <v>113</v>
      </c>
      <c r="T16" s="11" t="n">
        <v>71.03</v>
      </c>
      <c r="U16" s="11" t="n">
        <v>71.13</v>
      </c>
      <c r="V16" s="3" t="n">
        <f aca="false">RANK(F16,$F$2:$F$350,0)</f>
        <v>95</v>
      </c>
      <c r="W16" s="12"/>
      <c r="X16" s="10" t="n">
        <v>0</v>
      </c>
      <c r="Y16" s="3" t="s">
        <v>77</v>
      </c>
      <c r="Z16" s="13" t="s">
        <v>78</v>
      </c>
      <c r="AA16" s="13" t="s">
        <v>79</v>
      </c>
      <c r="AB16" s="11" t="n">
        <v>30.67</v>
      </c>
    </row>
    <row r="17" customFormat="false" ht="16.4" hidden="false" customHeight="false" outlineLevel="0" collapsed="false">
      <c r="A17" s="3" t="n">
        <v>16</v>
      </c>
      <c r="B17" s="3" t="n">
        <v>1</v>
      </c>
      <c r="C17" s="3" t="s">
        <v>81</v>
      </c>
      <c r="D17" s="10" t="n">
        <v>40434</v>
      </c>
      <c r="E17" s="10" t="n">
        <f aca="false">ROUND(D17*INDEX(مناطق!$AF$2:$AF$23,B17),0)</f>
        <v>37499</v>
      </c>
      <c r="F17" s="11" t="n">
        <f aca="false">ROUND(100*(راهنما!$B$4*(H17-MIN($H$2:$H$350))/(MAX($H$2:$H$350)-MIN($H$2:$H$350))+راهنما!$B$5*(N17-MIN($N$2:$N$350))/(MAX($N$2:$N$350)-MIN($N$2:$N$350))+راهنما!$B$6*(J17-MIN($J$2:$J$350))/(MAX($J$2:$J$350)-MIN($J$2:$J$350))+راهنما!$B$7*(MAX($I$2:$I$350)-I17)/(MAX($I$2:$I$350)-MIN($I$2:$I$350)))/راهنما!$B$8,1)</f>
        <v>58</v>
      </c>
      <c r="G17" s="3" t="str">
        <f aca="false">IF(V17&lt;=ROUND(349*0.2,0),"بسیار بالا",IF(V17&lt;=ROUND(349*0.4,0),"بالا",IF(V17&lt;=ROUND(349*0.6,0),"متوسط",IF(V17&lt;=ROUND(349*0.8,0),"پایین","بسیار پایین"))))</f>
        <v>بالا</v>
      </c>
      <c r="H17" s="11" t="n">
        <f aca="false">(100-I17)*(100-L17)/100</f>
        <v>70.831044</v>
      </c>
      <c r="I17" s="11" t="n">
        <v>11.77</v>
      </c>
      <c r="J17" s="11" t="n">
        <v>32.35</v>
      </c>
      <c r="K17" s="11" t="n">
        <f aca="false">J17/(1-I17/100)</f>
        <v>36.6655332653293</v>
      </c>
      <c r="L17" s="11" t="n">
        <v>19.72</v>
      </c>
      <c r="M17" s="11" t="n">
        <v>34.7</v>
      </c>
      <c r="N17" s="11" t="n">
        <v>52.65</v>
      </c>
      <c r="O17" s="11" t="n">
        <v>6.94</v>
      </c>
      <c r="P17" s="10" t="n">
        <f aca="false">ROUND(E17*J17/100,0)</f>
        <v>12131</v>
      </c>
      <c r="Q17" s="10" t="n">
        <f aca="false">ROUND(P17*I17/(100-I17),0)</f>
        <v>1618</v>
      </c>
      <c r="R17" s="10" t="n">
        <f aca="false">ROUND(P17*(100-L17)/100,0)</f>
        <v>9739</v>
      </c>
      <c r="S17" s="10" t="n">
        <f aca="false">ROUND(P17*M17/100,0)</f>
        <v>4209</v>
      </c>
      <c r="T17" s="11" t="n">
        <v>70.79</v>
      </c>
      <c r="U17" s="11" t="n">
        <v>70.89</v>
      </c>
      <c r="V17" s="3" t="n">
        <f aca="false">RANK(F17,$F$2:$F$350,0)</f>
        <v>104</v>
      </c>
      <c r="W17" s="12" t="n">
        <v>520</v>
      </c>
      <c r="X17" s="10" t="n">
        <v>91</v>
      </c>
      <c r="Y17" s="3" t="s">
        <v>58</v>
      </c>
      <c r="Z17" s="3" t="s">
        <v>81</v>
      </c>
      <c r="AA17" s="13" t="s">
        <v>59</v>
      </c>
      <c r="AB17" s="11" t="n">
        <v>29.46</v>
      </c>
    </row>
    <row r="18" customFormat="false" ht="16.4" hidden="false" customHeight="false" outlineLevel="0" collapsed="false">
      <c r="A18" s="3" t="n">
        <v>17</v>
      </c>
      <c r="B18" s="3" t="n">
        <v>1</v>
      </c>
      <c r="C18" s="3" t="s">
        <v>82</v>
      </c>
      <c r="D18" s="10" t="n">
        <v>18995</v>
      </c>
      <c r="E18" s="10" t="n">
        <f aca="false">ROUND(D18*INDEX(مناطق!$AF$2:$AF$23,B18),0)</f>
        <v>17616</v>
      </c>
      <c r="F18" s="11" t="n">
        <f aca="false">ROUND(100*(راهنما!$B$4*(H18-MIN($H$2:$H$350))/(MAX($H$2:$H$350)-MIN($H$2:$H$350))+راهنما!$B$5*(N18-MIN($N$2:$N$350))/(MAX($N$2:$N$350)-MIN($N$2:$N$350))+راهنما!$B$6*(J18-MIN($J$2:$J$350))/(MAX($J$2:$J$350)-MIN($J$2:$J$350))+راهنما!$B$7*(MAX($I$2:$I$350)-I18)/(MAX($I$2:$I$350)-MIN($I$2:$I$350)))/راهنما!$B$8,1)</f>
        <v>55.6</v>
      </c>
      <c r="G18" s="3" t="str">
        <f aca="false">IF(V18&lt;=ROUND(349*0.2,0),"بسیار بالا",IF(V18&lt;=ROUND(349*0.4,0),"بالا",IF(V18&lt;=ROUND(349*0.6,0),"متوسط",IF(V18&lt;=ROUND(349*0.8,0),"پایین","بسیار پایین"))))</f>
        <v>بالا</v>
      </c>
      <c r="H18" s="11" t="n">
        <f aca="false">(100-I18)*(100-L18)/100</f>
        <v>70.275195</v>
      </c>
      <c r="I18" s="11" t="n">
        <v>11.77</v>
      </c>
      <c r="J18" s="11" t="n">
        <v>32.46</v>
      </c>
      <c r="K18" s="11" t="n">
        <f aca="false">J18/(1-I18/100)</f>
        <v>36.7902074124448</v>
      </c>
      <c r="L18" s="11" t="n">
        <v>20.35</v>
      </c>
      <c r="M18" s="11" t="n">
        <v>34.7</v>
      </c>
      <c r="N18" s="11" t="n">
        <v>49.23</v>
      </c>
      <c r="O18" s="11" t="n">
        <v>7.26</v>
      </c>
      <c r="P18" s="10" t="n">
        <f aca="false">ROUND(E18*J18/100,0)</f>
        <v>5718</v>
      </c>
      <c r="Q18" s="10" t="n">
        <f aca="false">ROUND(P18*I18/(100-I18),0)</f>
        <v>763</v>
      </c>
      <c r="R18" s="10" t="n">
        <f aca="false">ROUND(P18*(100-L18)/100,0)</f>
        <v>4554</v>
      </c>
      <c r="S18" s="10" t="n">
        <f aca="false">ROUND(P18*M18/100,0)</f>
        <v>1984</v>
      </c>
      <c r="T18" s="11" t="n">
        <v>70.01</v>
      </c>
      <c r="U18" s="11" t="n">
        <v>70.57</v>
      </c>
      <c r="V18" s="3" t="n">
        <f aca="false">RANK(F18,$F$2:$F$350,0)</f>
        <v>125</v>
      </c>
      <c r="W18" s="12" t="n">
        <v>470.1</v>
      </c>
      <c r="X18" s="10" t="n">
        <v>78</v>
      </c>
      <c r="Y18" s="3" t="s">
        <v>58</v>
      </c>
      <c r="Z18" s="3" t="s">
        <v>82</v>
      </c>
      <c r="AA18" s="13" t="s">
        <v>59</v>
      </c>
      <c r="AB18" s="11" t="n">
        <v>26.84</v>
      </c>
    </row>
    <row r="19" customFormat="false" ht="16.4" hidden="false" customHeight="false" outlineLevel="0" collapsed="false">
      <c r="A19" s="3" t="n">
        <v>18</v>
      </c>
      <c r="B19" s="3" t="n">
        <v>1</v>
      </c>
      <c r="C19" s="3" t="s">
        <v>83</v>
      </c>
      <c r="D19" s="10" t="n">
        <v>25362</v>
      </c>
      <c r="E19" s="10" t="n">
        <f aca="false">ROUND(D19*INDEX(مناطق!$AF$2:$AF$23,B19),0)</f>
        <v>23521</v>
      </c>
      <c r="F19" s="11" t="n">
        <f aca="false">ROUND(100*(راهنما!$B$4*(H19-MIN($H$2:$H$350))/(MAX($H$2:$H$350)-MIN($H$2:$H$350))+راهنما!$B$5*(N19-MIN($N$2:$N$350))/(MAX($N$2:$N$350)-MIN($N$2:$N$350))+راهنما!$B$6*(J19-MIN($J$2:$J$350))/(MAX($J$2:$J$350)-MIN($J$2:$J$350))+راهنما!$B$7*(MAX($I$2:$I$350)-I19)/(MAX($I$2:$I$350)-MIN($I$2:$I$350)))/راهنما!$B$8,1)</f>
        <v>53.9</v>
      </c>
      <c r="G19" s="3" t="str">
        <f aca="false">IF(V19&lt;=ROUND(349*0.2,0),"بسیار بالا",IF(V19&lt;=ROUND(349*0.4,0),"بالا",IF(V19&lt;=ROUND(349*0.6,0),"متوسط",IF(V19&lt;=ROUND(349*0.8,0),"پایین","بسیار پایین"))))</f>
        <v>بالا</v>
      </c>
      <c r="H19" s="11" t="n">
        <f aca="false">(100-I19)*(100-L19)/100</f>
        <v>69.869337</v>
      </c>
      <c r="I19" s="11" t="n">
        <v>11.77</v>
      </c>
      <c r="J19" s="11" t="n">
        <v>32.54</v>
      </c>
      <c r="K19" s="11" t="n">
        <f aca="false">J19/(1-I19/100)</f>
        <v>36.8808795194378</v>
      </c>
      <c r="L19" s="11" t="n">
        <v>20.81</v>
      </c>
      <c r="M19" s="11" t="n">
        <v>34.7</v>
      </c>
      <c r="N19" s="11" t="n">
        <v>46.71</v>
      </c>
      <c r="O19" s="11" t="n">
        <v>7.51</v>
      </c>
      <c r="P19" s="10" t="n">
        <f aca="false">ROUND(E19*J19/100,0)</f>
        <v>7654</v>
      </c>
      <c r="Q19" s="10" t="n">
        <f aca="false">ROUND(P19*I19/(100-I19),0)</f>
        <v>1021</v>
      </c>
      <c r="R19" s="10" t="n">
        <f aca="false">ROUND(P19*(100-L19)/100,0)</f>
        <v>6061</v>
      </c>
      <c r="S19" s="10" t="n">
        <f aca="false">ROUND(P19*M19/100,0)</f>
        <v>2656</v>
      </c>
      <c r="T19" s="11" t="n">
        <v>69.42</v>
      </c>
      <c r="U19" s="11" t="n">
        <v>70.34</v>
      </c>
      <c r="V19" s="3" t="n">
        <f aca="false">RANK(F19,$F$2:$F$350,0)</f>
        <v>138</v>
      </c>
      <c r="W19" s="12" t="n">
        <v>397.4</v>
      </c>
      <c r="X19" s="10" t="n">
        <v>86</v>
      </c>
      <c r="Y19" s="3" t="s">
        <v>58</v>
      </c>
      <c r="Z19" s="3" t="s">
        <v>83</v>
      </c>
      <c r="AA19" s="13" t="s">
        <v>59</v>
      </c>
      <c r="AB19" s="11" t="n">
        <v>25.01</v>
      </c>
    </row>
    <row r="20" customFormat="false" ht="16.4" hidden="false" customHeight="false" outlineLevel="0" collapsed="false">
      <c r="A20" s="3" t="n">
        <v>19</v>
      </c>
      <c r="B20" s="3" t="n">
        <v>1</v>
      </c>
      <c r="C20" s="3" t="s">
        <v>84</v>
      </c>
      <c r="D20" s="10" t="n">
        <v>8226</v>
      </c>
      <c r="E20" s="10" t="n">
        <f aca="false">ROUND(D20*INDEX(مناطق!$AF$2:$AF$23,B20),0)</f>
        <v>7629</v>
      </c>
      <c r="F20" s="11" t="n">
        <f aca="false">ROUND(100*(راهنما!$B$4*(H20-MIN($H$2:$H$350))/(MAX($H$2:$H$350)-MIN($H$2:$H$350))+راهنما!$B$5*(N20-MIN($N$2:$N$350))/(MAX($N$2:$N$350)-MIN($N$2:$N$350))+راهنما!$B$6*(J20-MIN($J$2:$J$350))/(MAX($J$2:$J$350)-MIN($J$2:$J$350))+راهنما!$B$7*(MAX($I$2:$I$350)-I20)/(MAX($I$2:$I$350)-MIN($I$2:$I$350)))/راهنما!$B$8,1)</f>
        <v>53.6</v>
      </c>
      <c r="G20" s="3" t="str">
        <f aca="false">IF(V20&lt;=ROUND(349*0.2,0),"بسیار بالا",IF(V20&lt;=ROUND(349*0.4,0),"بالا",IF(V20&lt;=ROUND(349*0.6,0),"متوسط",IF(V20&lt;=ROUND(349*0.8,0),"پایین","بسیار پایین"))))</f>
        <v>متوسط</v>
      </c>
      <c r="H20" s="11" t="n">
        <f aca="false">(100-I20)*(100-L20)/100</f>
        <v>69.781107</v>
      </c>
      <c r="I20" s="11" t="n">
        <v>11.77</v>
      </c>
      <c r="J20" s="11" t="n">
        <v>32.56</v>
      </c>
      <c r="K20" s="11" t="n">
        <f aca="false">J20/(1-I20/100)</f>
        <v>36.9035475461861</v>
      </c>
      <c r="L20" s="11" t="n">
        <v>20.91</v>
      </c>
      <c r="M20" s="11" t="n">
        <v>34.7</v>
      </c>
      <c r="N20" s="11" t="n">
        <v>46.21</v>
      </c>
      <c r="O20" s="11" t="n">
        <v>7.56</v>
      </c>
      <c r="P20" s="10" t="n">
        <f aca="false">ROUND(E20*J20/100,0)</f>
        <v>2484</v>
      </c>
      <c r="Q20" s="10" t="n">
        <f aca="false">ROUND(P20*I20/(100-I20),0)</f>
        <v>331</v>
      </c>
      <c r="R20" s="10" t="n">
        <f aca="false">ROUND(P20*(100-L20)/100,0)</f>
        <v>1965</v>
      </c>
      <c r="S20" s="10" t="n">
        <f aca="false">ROUND(P20*M20/100,0)</f>
        <v>862</v>
      </c>
      <c r="T20" s="11" t="n">
        <v>69.3</v>
      </c>
      <c r="U20" s="11" t="n">
        <v>70.29</v>
      </c>
      <c r="V20" s="3" t="n">
        <f aca="false">RANK(F20,$F$2:$F$350,0)</f>
        <v>141</v>
      </c>
      <c r="W20" s="12" t="n">
        <v>412.5</v>
      </c>
      <c r="X20" s="10" t="n">
        <v>50</v>
      </c>
      <c r="Y20" s="3" t="s">
        <v>58</v>
      </c>
      <c r="Z20" s="3" t="s">
        <v>84</v>
      </c>
      <c r="AA20" s="13" t="s">
        <v>59</v>
      </c>
      <c r="AB20" s="11" t="n">
        <v>24.66</v>
      </c>
    </row>
    <row r="21" customFormat="false" ht="16.4" hidden="false" customHeight="false" outlineLevel="0" collapsed="false">
      <c r="A21" s="3" t="n">
        <v>20</v>
      </c>
      <c r="B21" s="3" t="n">
        <v>1</v>
      </c>
      <c r="C21" s="3" t="s">
        <v>85</v>
      </c>
      <c r="D21" s="10" t="n">
        <v>11282</v>
      </c>
      <c r="E21" s="10" t="n">
        <f aca="false">ROUND(D21*INDEX(مناطق!$AF$2:$AF$23,B21),0)</f>
        <v>10463</v>
      </c>
      <c r="F21" s="11" t="n">
        <f aca="false">ROUND(100*(راهنما!$B$4*(H21-MIN($H$2:$H$350))/(MAX($H$2:$H$350)-MIN($H$2:$H$350))+راهنما!$B$5*(N21-MIN($N$2:$N$350))/(MAX($N$2:$N$350)-MIN($N$2:$N$350))+راهنما!$B$6*(J21-MIN($J$2:$J$350))/(MAX($J$2:$J$350)-MIN($J$2:$J$350))+راهنما!$B$7*(MAX($I$2:$I$350)-I21)/(MAX($I$2:$I$350)-MIN($I$2:$I$350)))/راهنما!$B$8,1)</f>
        <v>53.2</v>
      </c>
      <c r="G21" s="3" t="str">
        <f aca="false">IF(V21&lt;=ROUND(349*0.2,0),"بسیار بالا",IF(V21&lt;=ROUND(349*0.4,0),"بالا",IF(V21&lt;=ROUND(349*0.6,0),"متوسط",IF(V21&lt;=ROUND(349*0.8,0),"پایین","بسیار پایین"))))</f>
        <v>متوسط</v>
      </c>
      <c r="H21" s="11" t="n">
        <f aca="false">(100-I21)*(100-L21)/100</f>
        <v>69.7017</v>
      </c>
      <c r="I21" s="11" t="n">
        <v>11.77</v>
      </c>
      <c r="J21" s="11" t="n">
        <v>32.58</v>
      </c>
      <c r="K21" s="11" t="n">
        <f aca="false">J21/(1-I21/100)</f>
        <v>36.9262155729344</v>
      </c>
      <c r="L21" s="11" t="n">
        <v>21</v>
      </c>
      <c r="M21" s="11" t="n">
        <v>34.7</v>
      </c>
      <c r="N21" s="11" t="n">
        <v>45.69</v>
      </c>
      <c r="O21" s="11" t="n">
        <v>7.61</v>
      </c>
      <c r="P21" s="10" t="n">
        <f aca="false">ROUND(E21*J21/100,0)</f>
        <v>3409</v>
      </c>
      <c r="Q21" s="10" t="n">
        <f aca="false">ROUND(P21*I21/(100-I21),0)</f>
        <v>455</v>
      </c>
      <c r="R21" s="10" t="n">
        <f aca="false">ROUND(P21*(100-L21)/100,0)</f>
        <v>2693</v>
      </c>
      <c r="S21" s="10" t="n">
        <f aca="false">ROUND(P21*M21/100,0)</f>
        <v>1183</v>
      </c>
      <c r="T21" s="11" t="n">
        <v>69.17</v>
      </c>
      <c r="U21" s="11" t="n">
        <v>70.24</v>
      </c>
      <c r="V21" s="3" t="n">
        <f aca="false">RANK(F21,$F$2:$F$350,0)</f>
        <v>144</v>
      </c>
      <c r="W21" s="12" t="n">
        <v>423.5</v>
      </c>
      <c r="X21" s="10" t="n">
        <v>46</v>
      </c>
      <c r="Y21" s="3" t="s">
        <v>58</v>
      </c>
      <c r="Z21" s="3" t="s">
        <v>85</v>
      </c>
      <c r="AA21" s="13" t="s">
        <v>59</v>
      </c>
      <c r="AB21" s="11" t="n">
        <v>24.29</v>
      </c>
    </row>
    <row r="22" customFormat="false" ht="16.4" hidden="false" customHeight="false" outlineLevel="0" collapsed="false">
      <c r="A22" s="3" t="n">
        <v>21</v>
      </c>
      <c r="B22" s="3" t="n">
        <v>1</v>
      </c>
      <c r="C22" s="3" t="s">
        <v>86</v>
      </c>
      <c r="D22" s="10" t="n">
        <v>3048</v>
      </c>
      <c r="E22" s="10" t="n">
        <f aca="false">ROUND(D22*INDEX(مناطق!$AF$2:$AF$23,B22),0)</f>
        <v>2827</v>
      </c>
      <c r="F22" s="11" t="n">
        <f aca="false">ROUND(100*(راهنما!$B$4*(H22-MIN($H$2:$H$350))/(MAX($H$2:$H$350)-MIN($H$2:$H$350))+راهنما!$B$5*(N22-MIN($N$2:$N$350))/(MAX($N$2:$N$350)-MIN($N$2:$N$350))+راهنما!$B$6*(J22-MIN($J$2:$J$350))/(MAX($J$2:$J$350)-MIN($J$2:$J$350))+راهنما!$B$7*(MAX($I$2:$I$350)-I22)/(MAX($I$2:$I$350)-MIN($I$2:$I$350)))/راهنما!$B$8,1)</f>
        <v>53.1</v>
      </c>
      <c r="G22" s="3" t="str">
        <f aca="false">IF(V22&lt;=ROUND(349*0.2,0),"بسیار بالا",IF(V22&lt;=ROUND(349*0.4,0),"بالا",IF(V22&lt;=ROUND(349*0.6,0),"متوسط",IF(V22&lt;=ROUND(349*0.8,0),"پایین","بسیار پایین"))))</f>
        <v>متوسط</v>
      </c>
      <c r="H22" s="11" t="n">
        <f aca="false">(100-I22)*(100-L22)/100</f>
        <v>69.657585</v>
      </c>
      <c r="I22" s="11" t="n">
        <v>11.77</v>
      </c>
      <c r="J22" s="11" t="n">
        <v>32.59</v>
      </c>
      <c r="K22" s="11" t="n">
        <f aca="false">J22/(1-I22/100)</f>
        <v>36.9375495863085</v>
      </c>
      <c r="L22" s="11" t="n">
        <v>21.05</v>
      </c>
      <c r="M22" s="11" t="n">
        <v>34.7</v>
      </c>
      <c r="N22" s="11" t="n">
        <v>45.47</v>
      </c>
      <c r="O22" s="11" t="n">
        <v>7.63</v>
      </c>
      <c r="P22" s="10" t="n">
        <f aca="false">ROUND(E22*J22/100,0)</f>
        <v>921</v>
      </c>
      <c r="Q22" s="10" t="n">
        <f aca="false">ROUND(P22*I22/(100-I22),0)</f>
        <v>123</v>
      </c>
      <c r="R22" s="10" t="n">
        <f aca="false">ROUND(P22*(100-L22)/100,0)</f>
        <v>727</v>
      </c>
      <c r="S22" s="10" t="n">
        <f aca="false">ROUND(P22*M22/100,0)</f>
        <v>320</v>
      </c>
      <c r="T22" s="11" t="n">
        <v>69.12</v>
      </c>
      <c r="U22" s="11" t="n">
        <v>70.22</v>
      </c>
      <c r="V22" s="3" t="n">
        <f aca="false">RANK(F22,$F$2:$F$350,0)</f>
        <v>145</v>
      </c>
      <c r="W22" s="12" t="n">
        <v>428.2</v>
      </c>
      <c r="X22" s="10" t="n">
        <v>29</v>
      </c>
      <c r="Y22" s="3" t="s">
        <v>67</v>
      </c>
      <c r="Z22" s="3" t="s">
        <v>87</v>
      </c>
      <c r="AA22" s="13" t="s">
        <v>63</v>
      </c>
      <c r="AB22" s="11" t="n">
        <v>24.14</v>
      </c>
    </row>
    <row r="23" customFormat="false" ht="16.4" hidden="false" customHeight="false" outlineLevel="0" collapsed="false">
      <c r="A23" s="3" t="n">
        <v>22</v>
      </c>
      <c r="B23" s="3" t="n">
        <v>1</v>
      </c>
      <c r="C23" s="3" t="s">
        <v>88</v>
      </c>
      <c r="D23" s="10" t="n">
        <v>6719</v>
      </c>
      <c r="E23" s="10" t="n">
        <f aca="false">ROUND(D23*INDEX(مناطق!$AF$2:$AF$23,B23),0)</f>
        <v>6231</v>
      </c>
      <c r="F23" s="11" t="n">
        <f aca="false">ROUND(100*(راهنما!$B$4*(H23-MIN($H$2:$H$350))/(MAX($H$2:$H$350)-MIN($H$2:$H$350))+راهنما!$B$5*(N23-MIN($N$2:$N$350))/(MAX($N$2:$N$350)-MIN($N$2:$N$350))+راهنما!$B$6*(J23-MIN($J$2:$J$350))/(MAX($J$2:$J$350)-MIN($J$2:$J$350))+راهنما!$B$7*(MAX($I$2:$I$350)-I23)/(MAX($I$2:$I$350)-MIN($I$2:$I$350)))/راهنما!$B$8,1)</f>
        <v>52.5</v>
      </c>
      <c r="G23" s="3" t="str">
        <f aca="false">IF(V23&lt;=ROUND(349*0.2,0),"بسیار بالا",IF(V23&lt;=ROUND(349*0.4,0),"بالا",IF(V23&lt;=ROUND(349*0.6,0),"متوسط",IF(V23&lt;=ROUND(349*0.8,0),"پایین","بسیار پایین"))))</f>
        <v>متوسط</v>
      </c>
      <c r="H23" s="11" t="n">
        <f aca="false">(100-I23)*(100-L23)/100</f>
        <v>69.516417</v>
      </c>
      <c r="I23" s="11" t="n">
        <v>11.77</v>
      </c>
      <c r="J23" s="11" t="n">
        <v>32.62</v>
      </c>
      <c r="K23" s="11" t="n">
        <f aca="false">J23/(1-I23/100)</f>
        <v>36.9715516264309</v>
      </c>
      <c r="L23" s="11" t="n">
        <v>21.21</v>
      </c>
      <c r="M23" s="11" t="n">
        <v>34.7</v>
      </c>
      <c r="N23" s="11" t="n">
        <v>44.59</v>
      </c>
      <c r="O23" s="11" t="n">
        <v>7.72</v>
      </c>
      <c r="P23" s="10" t="n">
        <f aca="false">ROUND(E23*J23/100,0)</f>
        <v>2033</v>
      </c>
      <c r="Q23" s="10" t="n">
        <f aca="false">ROUND(P23*I23/(100-I23),0)</f>
        <v>271</v>
      </c>
      <c r="R23" s="10" t="n">
        <f aca="false">ROUND(P23*(100-L23)/100,0)</f>
        <v>1602</v>
      </c>
      <c r="S23" s="10" t="n">
        <f aca="false">ROUND(P23*M23/100,0)</f>
        <v>705</v>
      </c>
      <c r="T23" s="11" t="n">
        <v>68.9</v>
      </c>
      <c r="U23" s="11" t="n">
        <v>70.14</v>
      </c>
      <c r="V23" s="3" t="n">
        <f aca="false">RANK(F23,$F$2:$F$350,0)</f>
        <v>151</v>
      </c>
      <c r="W23" s="12" t="n">
        <v>394.8</v>
      </c>
      <c r="X23" s="10" t="n">
        <v>50</v>
      </c>
      <c r="Y23" s="3" t="s">
        <v>58</v>
      </c>
      <c r="Z23" s="3" t="s">
        <v>88</v>
      </c>
      <c r="AA23" s="13" t="s">
        <v>59</v>
      </c>
      <c r="AB23" s="11" t="n">
        <v>23.53</v>
      </c>
    </row>
    <row r="24" customFormat="false" ht="16.4" hidden="false" customHeight="false" outlineLevel="0" collapsed="false">
      <c r="A24" s="3" t="n">
        <v>23</v>
      </c>
      <c r="B24" s="3" t="n">
        <v>1</v>
      </c>
      <c r="C24" s="3" t="s">
        <v>89</v>
      </c>
      <c r="D24" s="10" t="n">
        <v>24137</v>
      </c>
      <c r="E24" s="10" t="n">
        <f aca="false">ROUND(D24*INDEX(مناطق!$AF$2:$AF$23,B24),0)</f>
        <v>22385</v>
      </c>
      <c r="F24" s="11" t="n">
        <f aca="false">ROUND(100*(راهنما!$B$4*(H24-MIN($H$2:$H$350))/(MAX($H$2:$H$350)-MIN($H$2:$H$350))+راهنما!$B$5*(N24-MIN($N$2:$N$350))/(MAX($N$2:$N$350)-MIN($N$2:$N$350))+راهنما!$B$6*(J24-MIN($J$2:$J$350))/(MAX($J$2:$J$350)-MIN($J$2:$J$350))+راهنما!$B$7*(MAX($I$2:$I$350)-I24)/(MAX($I$2:$I$350)-MIN($I$2:$I$350)))/راهنما!$B$8,1)</f>
        <v>51.5</v>
      </c>
      <c r="G24" s="3" t="str">
        <f aca="false">IF(V24&lt;=ROUND(349*0.2,0),"بسیار بالا",IF(V24&lt;=ROUND(349*0.4,0),"بالا",IF(V24&lt;=ROUND(349*0.6,0),"متوسط",IF(V24&lt;=ROUND(349*0.8,0),"پایین","بسیار پایین"))))</f>
        <v>متوسط</v>
      </c>
      <c r="H24" s="11" t="n">
        <f aca="false">(100-I24)*(100-L24)/100</f>
        <v>69.278196</v>
      </c>
      <c r="I24" s="11" t="n">
        <v>11.77</v>
      </c>
      <c r="J24" s="11" t="n">
        <v>32.66</v>
      </c>
      <c r="K24" s="11" t="n">
        <f aca="false">J24/(1-I24/100)</f>
        <v>37.0168876799275</v>
      </c>
      <c r="L24" s="11" t="n">
        <v>21.48</v>
      </c>
      <c r="M24" s="11" t="n">
        <v>34.7</v>
      </c>
      <c r="N24" s="11" t="n">
        <v>43.23</v>
      </c>
      <c r="O24" s="11" t="n">
        <v>7.86</v>
      </c>
      <c r="P24" s="10" t="n">
        <f aca="false">ROUND(E24*J24/100,0)</f>
        <v>7311</v>
      </c>
      <c r="Q24" s="10" t="n">
        <f aca="false">ROUND(P24*I24/(100-I24),0)</f>
        <v>975</v>
      </c>
      <c r="R24" s="10" t="n">
        <f aca="false">ROUND(P24*(100-L24)/100,0)</f>
        <v>5741</v>
      </c>
      <c r="S24" s="10" t="n">
        <f aca="false">ROUND(P24*M24/100,0)</f>
        <v>2537</v>
      </c>
      <c r="T24" s="11" t="n">
        <v>68.57</v>
      </c>
      <c r="U24" s="11" t="n">
        <v>70.01</v>
      </c>
      <c r="V24" s="3" t="n">
        <f aca="false">RANK(F24,$F$2:$F$350,0)</f>
        <v>155</v>
      </c>
      <c r="W24" s="12" t="n">
        <v>423.1</v>
      </c>
      <c r="X24" s="10" t="n">
        <v>80</v>
      </c>
      <c r="Y24" s="3" t="s">
        <v>67</v>
      </c>
      <c r="Z24" s="3" t="s">
        <v>90</v>
      </c>
      <c r="AA24" s="13" t="s">
        <v>59</v>
      </c>
      <c r="AB24" s="11" t="n">
        <v>22.6</v>
      </c>
    </row>
    <row r="25" customFormat="false" ht="16.4" hidden="false" customHeight="false" outlineLevel="0" collapsed="false">
      <c r="A25" s="3" t="n">
        <v>24</v>
      </c>
      <c r="B25" s="3" t="n">
        <v>1</v>
      </c>
      <c r="C25" s="3" t="s">
        <v>91</v>
      </c>
      <c r="D25" s="10" t="n">
        <v>15236</v>
      </c>
      <c r="E25" s="10" t="n">
        <f aca="false">ROUND(D25*INDEX(مناطق!$AF$2:$AF$23,B25),0)</f>
        <v>14130</v>
      </c>
      <c r="F25" s="11" t="n">
        <f aca="false">ROUND(100*(راهنما!$B$4*(H25-MIN($H$2:$H$350))/(MAX($H$2:$H$350)-MIN($H$2:$H$350))+راهنما!$B$5*(N25-MIN($N$2:$N$350))/(MAX($N$2:$N$350)-MIN($N$2:$N$350))+راهنما!$B$6*(J25-MIN($J$2:$J$350))/(MAX($J$2:$J$350)-MIN($J$2:$J$350))+راهنما!$B$7*(MAX($I$2:$I$350)-I25)/(MAX($I$2:$I$350)-MIN($I$2:$I$350)))/راهنما!$B$8,1)</f>
        <v>51.5</v>
      </c>
      <c r="G25" s="3" t="str">
        <f aca="false">IF(V25&lt;=ROUND(349*0.2,0),"بسیار بالا",IF(V25&lt;=ROUND(349*0.4,0),"بالا",IF(V25&lt;=ROUND(349*0.6,0),"متوسط",IF(V25&lt;=ROUND(349*0.8,0),"پایین","بسیار پایین"))))</f>
        <v>متوسط</v>
      </c>
      <c r="H25" s="11" t="n">
        <f aca="false">(100-I25)*(100-L25)/100</f>
        <v>69.278196</v>
      </c>
      <c r="I25" s="11" t="n">
        <v>11.77</v>
      </c>
      <c r="J25" s="11" t="n">
        <v>32.66</v>
      </c>
      <c r="K25" s="11" t="n">
        <f aca="false">J25/(1-I25/100)</f>
        <v>37.0168876799275</v>
      </c>
      <c r="L25" s="11" t="n">
        <v>21.48</v>
      </c>
      <c r="M25" s="11" t="n">
        <v>34.7</v>
      </c>
      <c r="N25" s="11" t="n">
        <v>43.22</v>
      </c>
      <c r="O25" s="11" t="n">
        <v>7.86</v>
      </c>
      <c r="P25" s="10" t="n">
        <f aca="false">ROUND(E25*J25/100,0)</f>
        <v>4615</v>
      </c>
      <c r="Q25" s="10" t="n">
        <f aca="false">ROUND(P25*I25/(100-I25),0)</f>
        <v>616</v>
      </c>
      <c r="R25" s="10" t="n">
        <f aca="false">ROUND(P25*(100-L25)/100,0)</f>
        <v>3624</v>
      </c>
      <c r="S25" s="10" t="n">
        <f aca="false">ROUND(P25*M25/100,0)</f>
        <v>1601</v>
      </c>
      <c r="T25" s="11" t="n">
        <v>68.57</v>
      </c>
      <c r="U25" s="11" t="n">
        <v>70</v>
      </c>
      <c r="V25" s="3" t="n">
        <f aca="false">RANK(F25,$F$2:$F$350,0)</f>
        <v>155</v>
      </c>
      <c r="W25" s="12" t="n">
        <v>376.5</v>
      </c>
      <c r="X25" s="10" t="n">
        <v>81</v>
      </c>
      <c r="Y25" s="3" t="s">
        <v>58</v>
      </c>
      <c r="Z25" s="3" t="s">
        <v>91</v>
      </c>
      <c r="AA25" s="13" t="s">
        <v>59</v>
      </c>
      <c r="AB25" s="11" t="n">
        <v>22.6</v>
      </c>
    </row>
    <row r="26" customFormat="false" ht="16.4" hidden="false" customHeight="false" outlineLevel="0" collapsed="false">
      <c r="A26" s="3" t="n">
        <v>25</v>
      </c>
      <c r="B26" s="3" t="n">
        <v>1</v>
      </c>
      <c r="C26" s="3" t="s">
        <v>92</v>
      </c>
      <c r="D26" s="10" t="n">
        <v>22829</v>
      </c>
      <c r="E26" s="10" t="n">
        <f aca="false">ROUND(D26*INDEX(مناطق!$AF$2:$AF$23,B26),0)</f>
        <v>21172</v>
      </c>
      <c r="F26" s="11" t="n">
        <f aca="false">ROUND(100*(راهنما!$B$4*(H26-MIN($H$2:$H$350))/(MAX($H$2:$H$350)-MIN($H$2:$H$350))+راهنما!$B$5*(N26-MIN($N$2:$N$350))/(MAX($N$2:$N$350)-MIN($N$2:$N$350))+راهنما!$B$6*(J26-MIN($J$2:$J$350))/(MAX($J$2:$J$350)-MIN($J$2:$J$350))+راهنما!$B$7*(MAX($I$2:$I$350)-I26)/(MAX($I$2:$I$350)-MIN($I$2:$I$350)))/راهنما!$B$8,1)</f>
        <v>51</v>
      </c>
      <c r="G26" s="3" t="str">
        <f aca="false">IF(V26&lt;=ROUND(349*0.2,0),"بسیار بالا",IF(V26&lt;=ROUND(349*0.4,0),"بالا",IF(V26&lt;=ROUND(349*0.6,0),"متوسط",IF(V26&lt;=ROUND(349*0.8,0),"پایین","بسیار پایین"))))</f>
        <v>متوسط</v>
      </c>
      <c r="H26" s="11" t="n">
        <f aca="false">(100-I26)*(100-L26)/100</f>
        <v>69.181143</v>
      </c>
      <c r="I26" s="11" t="n">
        <v>11.77</v>
      </c>
      <c r="J26" s="11" t="n">
        <v>32.68</v>
      </c>
      <c r="K26" s="11" t="n">
        <f aca="false">J26/(1-I26/100)</f>
        <v>37.0395557066757</v>
      </c>
      <c r="L26" s="11" t="n">
        <v>21.59</v>
      </c>
      <c r="M26" s="11" t="n">
        <v>34.7</v>
      </c>
      <c r="N26" s="11" t="n">
        <v>42.62</v>
      </c>
      <c r="O26" s="11" t="n">
        <v>7.93</v>
      </c>
      <c r="P26" s="10" t="n">
        <f aca="false">ROUND(E26*J26/100,0)</f>
        <v>6919</v>
      </c>
      <c r="Q26" s="10" t="n">
        <f aca="false">ROUND(P26*I26/(100-I26),0)</f>
        <v>923</v>
      </c>
      <c r="R26" s="10" t="n">
        <f aca="false">ROUND(P26*(100-L26)/100,0)</f>
        <v>5425</v>
      </c>
      <c r="S26" s="10" t="n">
        <f aca="false">ROUND(P26*M26/100,0)</f>
        <v>2401</v>
      </c>
      <c r="T26" s="11" t="n">
        <v>68.42</v>
      </c>
      <c r="U26" s="11" t="n">
        <v>69.95</v>
      </c>
      <c r="V26" s="3" t="n">
        <f aca="false">RANK(F26,$F$2:$F$350,0)</f>
        <v>159</v>
      </c>
      <c r="W26" s="12" t="n">
        <v>375.2</v>
      </c>
      <c r="X26" s="10" t="n">
        <v>89</v>
      </c>
      <c r="Y26" s="3" t="s">
        <v>58</v>
      </c>
      <c r="Z26" s="3" t="s">
        <v>92</v>
      </c>
      <c r="AA26" s="13" t="s">
        <v>59</v>
      </c>
      <c r="AB26" s="11" t="n">
        <v>22.19</v>
      </c>
    </row>
    <row r="27" customFormat="false" ht="16.4" hidden="false" customHeight="false" outlineLevel="0" collapsed="false">
      <c r="A27" s="3" t="n">
        <v>26</v>
      </c>
      <c r="B27" s="3" t="n">
        <v>1</v>
      </c>
      <c r="C27" s="3" t="s">
        <v>93</v>
      </c>
      <c r="D27" s="10" t="n">
        <v>32186</v>
      </c>
      <c r="E27" s="10" t="n">
        <f aca="false">ROUND(D27*INDEX(مناطق!$AF$2:$AF$23,B27),0)</f>
        <v>29850</v>
      </c>
      <c r="F27" s="11" t="n">
        <f aca="false">ROUND(100*(راهنما!$B$4*(H27-MIN($H$2:$H$350))/(MAX($H$2:$H$350)-MIN($H$2:$H$350))+راهنما!$B$5*(N27-MIN($N$2:$N$350))/(MAX($N$2:$N$350)-MIN($N$2:$N$350))+راهنما!$B$6*(J27-MIN($J$2:$J$350))/(MAX($J$2:$J$350)-MIN($J$2:$J$350))+راهنما!$B$7*(MAX($I$2:$I$350)-I27)/(MAX($I$2:$I$350)-MIN($I$2:$I$350)))/راهنما!$B$8,1)</f>
        <v>48.5</v>
      </c>
      <c r="G27" s="3" t="str">
        <f aca="false">IF(V27&lt;=ROUND(349*0.2,0),"بسیار بالا",IF(V27&lt;=ROUND(349*0.4,0),"بالا",IF(V27&lt;=ROUND(349*0.6,0),"متوسط",IF(V27&lt;=ROUND(349*0.8,0),"پایین","بسیار پایین"))))</f>
        <v>متوسط</v>
      </c>
      <c r="H27" s="11" t="n">
        <f aca="false">(100-I27)*(100-L27)/100</f>
        <v>68.55471</v>
      </c>
      <c r="I27" s="11" t="n">
        <v>11.77</v>
      </c>
      <c r="J27" s="11" t="n">
        <v>32.81</v>
      </c>
      <c r="K27" s="11" t="n">
        <f aca="false">J27/(1-I27/100)</f>
        <v>37.1868978805395</v>
      </c>
      <c r="L27" s="11" t="n">
        <v>22.3</v>
      </c>
      <c r="M27" s="11" t="n">
        <v>34.7</v>
      </c>
      <c r="N27" s="11" t="n">
        <v>39.11</v>
      </c>
      <c r="O27" s="11" t="n">
        <v>8.31</v>
      </c>
      <c r="P27" s="10" t="n">
        <f aca="false">ROUND(E27*J27/100,0)</f>
        <v>9794</v>
      </c>
      <c r="Q27" s="10" t="n">
        <f aca="false">ROUND(P27*I27/(100-I27),0)</f>
        <v>1307</v>
      </c>
      <c r="R27" s="10" t="n">
        <f aca="false">ROUND(P27*(100-L27)/100,0)</f>
        <v>7610</v>
      </c>
      <c r="S27" s="10" t="n">
        <f aca="false">ROUND(P27*M27/100,0)</f>
        <v>3399</v>
      </c>
      <c r="T27" s="11" t="n">
        <v>67.5</v>
      </c>
      <c r="U27" s="11" t="n">
        <v>69.6</v>
      </c>
      <c r="V27" s="3" t="n">
        <f aca="false">RANK(F27,$F$2:$F$350,0)</f>
        <v>187</v>
      </c>
      <c r="W27" s="12" t="n">
        <v>343.9</v>
      </c>
      <c r="X27" s="10" t="n">
        <v>56</v>
      </c>
      <c r="Y27" s="3" t="s">
        <v>58</v>
      </c>
      <c r="Z27" s="3" t="s">
        <v>93</v>
      </c>
      <c r="AA27" s="13" t="s">
        <v>59</v>
      </c>
      <c r="AB27" s="11" t="n">
        <v>19.91</v>
      </c>
    </row>
    <row r="28" customFormat="false" ht="16.4" hidden="false" customHeight="false" outlineLevel="0" collapsed="false">
      <c r="A28" s="3" t="n">
        <v>27</v>
      </c>
      <c r="B28" s="3" t="n">
        <v>1</v>
      </c>
      <c r="C28" s="3" t="s">
        <v>94</v>
      </c>
      <c r="D28" s="10" t="n">
        <v>14224</v>
      </c>
      <c r="E28" s="10" t="n">
        <f aca="false">ROUND(D28*INDEX(مناطق!$AF$2:$AF$23,B28),0)</f>
        <v>13192</v>
      </c>
      <c r="F28" s="11" t="n">
        <f aca="false">ROUND(100*(راهنما!$B$4*(H28-MIN($H$2:$H$350))/(MAX($H$2:$H$350)-MIN($H$2:$H$350))+راهنما!$B$5*(N28-MIN($N$2:$N$350))/(MAX($N$2:$N$350)-MIN($N$2:$N$350))+راهنما!$B$6*(J28-MIN($J$2:$J$350))/(MAX($J$2:$J$350)-MIN($J$2:$J$350))+راهنما!$B$7*(MAX($I$2:$I$350)-I28)/(MAX($I$2:$I$350)-MIN($I$2:$I$350)))/راهنما!$B$8,1)</f>
        <v>42.2</v>
      </c>
      <c r="G28" s="3" t="str">
        <f aca="false">IF(V28&lt;=ROUND(349*0.2,0),"بسیار بالا",IF(V28&lt;=ROUND(349*0.4,0),"بالا",IF(V28&lt;=ROUND(349*0.6,0),"متوسط",IF(V28&lt;=ROUND(349*0.8,0),"پایین","بسیار پایین"))))</f>
        <v>پایین</v>
      </c>
      <c r="H28" s="11" t="n">
        <f aca="false">(100-I28)*(100-L28)/100</f>
        <v>66.895986</v>
      </c>
      <c r="I28" s="11" t="n">
        <v>11.77</v>
      </c>
      <c r="J28" s="11" t="n">
        <v>33.12</v>
      </c>
      <c r="K28" s="11" t="n">
        <f aca="false">J28/(1-I28/100)</f>
        <v>37.5382522951377</v>
      </c>
      <c r="L28" s="11" t="n">
        <v>24.18</v>
      </c>
      <c r="M28" s="11" t="n">
        <v>34.7</v>
      </c>
      <c r="N28" s="11" t="n">
        <v>30.69</v>
      </c>
      <c r="O28" s="11" t="n">
        <v>9.37</v>
      </c>
      <c r="P28" s="10" t="n">
        <f aca="false">ROUND(E28*J28/100,0)</f>
        <v>4369</v>
      </c>
      <c r="Q28" s="10" t="n">
        <f aca="false">ROUND(P28*I28/(100-I28),0)</f>
        <v>583</v>
      </c>
      <c r="R28" s="10" t="n">
        <f aca="false">ROUND(P28*(100-L28)/100,0)</f>
        <v>3313</v>
      </c>
      <c r="S28" s="10" t="n">
        <f aca="false">ROUND(P28*M28/100,0)</f>
        <v>1516</v>
      </c>
      <c r="T28" s="11" t="n">
        <v>65.04</v>
      </c>
      <c r="U28" s="11" t="n">
        <v>68.68</v>
      </c>
      <c r="V28" s="3" t="n">
        <f aca="false">RANK(F28,$F$2:$F$350,0)</f>
        <v>241</v>
      </c>
      <c r="W28" s="12" t="n">
        <v>260</v>
      </c>
      <c r="X28" s="10" t="n">
        <v>17</v>
      </c>
      <c r="Y28" s="3" t="s">
        <v>58</v>
      </c>
      <c r="Z28" s="3" t="s">
        <v>95</v>
      </c>
      <c r="AA28" s="13" t="s">
        <v>63</v>
      </c>
      <c r="AB28" s="11" t="n">
        <v>14.88</v>
      </c>
    </row>
    <row r="29" customFormat="false" ht="16.4" hidden="false" customHeight="false" outlineLevel="0" collapsed="false">
      <c r="A29" s="3" t="n">
        <v>28</v>
      </c>
      <c r="B29" s="3" t="n">
        <v>2</v>
      </c>
      <c r="C29" s="3" t="s">
        <v>96</v>
      </c>
      <c r="D29" s="10" t="n">
        <v>62423</v>
      </c>
      <c r="E29" s="10" t="n">
        <f aca="false">ROUND(D29*INDEX(مناطق!$AF$2:$AF$23,B29),0)</f>
        <v>57371</v>
      </c>
      <c r="F29" s="11" t="n">
        <f aca="false">ROUND(100*(راهنما!$B$4*(H29-MIN($H$2:$H$350))/(MAX($H$2:$H$350)-MIN($H$2:$H$350))+راهنما!$B$5*(N29-MIN($N$2:$N$350))/(MAX($N$2:$N$350)-MIN($N$2:$N$350))+راهنما!$B$6*(J29-MIN($J$2:$J$350))/(MAX($J$2:$J$350)-MIN($J$2:$J$350))+راهنما!$B$7*(MAX($I$2:$I$350)-I29)/(MAX($I$2:$I$350)-MIN($I$2:$I$350)))/راهنما!$B$8,1)</f>
        <v>64.4</v>
      </c>
      <c r="G29" s="3" t="str">
        <f aca="false">IF(V29&lt;=ROUND(349*0.2,0),"بسیار بالا",IF(V29&lt;=ROUND(349*0.4,0),"بالا",IF(V29&lt;=ROUND(349*0.6,0),"متوسط",IF(V29&lt;=ROUND(349*0.8,0),"پایین","بسیار پایین"))))</f>
        <v>بسیار بالا</v>
      </c>
      <c r="H29" s="11" t="n">
        <f aca="false">(100-I29)*(100-L29)/100</f>
        <v>73.339071</v>
      </c>
      <c r="I29" s="11" t="n">
        <v>13.81</v>
      </c>
      <c r="J29" s="11" t="n">
        <v>31.26</v>
      </c>
      <c r="K29" s="11" t="n">
        <f aca="false">J29/(1-I29/100)</f>
        <v>36.2687086668987</v>
      </c>
      <c r="L29" s="11" t="n">
        <v>14.91</v>
      </c>
      <c r="M29" s="11" t="n">
        <v>33.66</v>
      </c>
      <c r="N29" s="11" t="n">
        <v>72.83</v>
      </c>
      <c r="O29" s="11" t="n">
        <v>2.7</v>
      </c>
      <c r="P29" s="10" t="n">
        <f aca="false">ROUND(E29*J29/100,0)</f>
        <v>17934</v>
      </c>
      <c r="Q29" s="10" t="n">
        <f aca="false">ROUND(P29*I29/(100-I29),0)</f>
        <v>2874</v>
      </c>
      <c r="R29" s="10" t="n">
        <f aca="false">ROUND(P29*(100-L29)/100,0)</f>
        <v>15260</v>
      </c>
      <c r="S29" s="10" t="n">
        <f aca="false">ROUND(P29*M29/100,0)</f>
        <v>6037</v>
      </c>
      <c r="T29" s="11" t="n">
        <v>72.36</v>
      </c>
      <c r="U29" s="11" t="n">
        <v>74.27</v>
      </c>
      <c r="V29" s="3" t="n">
        <f aca="false">RANK(F29,$F$2:$F$350,0)</f>
        <v>43</v>
      </c>
      <c r="W29" s="12" t="n">
        <v>656.2</v>
      </c>
      <c r="X29" s="10" t="n">
        <v>88</v>
      </c>
      <c r="Y29" s="3" t="s">
        <v>58</v>
      </c>
      <c r="Z29" s="3" t="s">
        <v>97</v>
      </c>
      <c r="AA29" s="13" t="s">
        <v>59</v>
      </c>
      <c r="AB29" s="11" t="n">
        <v>46.93</v>
      </c>
    </row>
    <row r="30" customFormat="false" ht="16.4" hidden="false" customHeight="false" outlineLevel="0" collapsed="false">
      <c r="A30" s="3" t="n">
        <v>29</v>
      </c>
      <c r="B30" s="3" t="n">
        <v>2</v>
      </c>
      <c r="C30" s="3" t="s">
        <v>98</v>
      </c>
      <c r="D30" s="10" t="n">
        <v>24679</v>
      </c>
      <c r="E30" s="10" t="n">
        <f aca="false">ROUND(D30*INDEX(مناطق!$AF$2:$AF$23,B30),0)</f>
        <v>22682</v>
      </c>
      <c r="F30" s="11" t="n">
        <f aca="false">ROUND(100*(راهنما!$B$4*(H30-MIN($H$2:$H$350))/(MAX($H$2:$H$350)-MIN($H$2:$H$350))+راهنما!$B$5*(N30-MIN($N$2:$N$350))/(MAX($N$2:$N$350)-MIN($N$2:$N$350))+راهنما!$B$6*(J30-MIN($J$2:$J$350))/(MAX($J$2:$J$350)-MIN($J$2:$J$350))+راهنما!$B$7*(MAX($I$2:$I$350)-I30)/(MAX($I$2:$I$350)-MIN($I$2:$I$350)))/راهنما!$B$8,1)</f>
        <v>61.9</v>
      </c>
      <c r="G30" s="3" t="str">
        <f aca="false">IF(V30&lt;=ROUND(349*0.2,0),"بسیار بالا",IF(V30&lt;=ROUND(349*0.4,0),"بالا",IF(V30&lt;=ROUND(349*0.6,0),"متوسط",IF(V30&lt;=ROUND(349*0.8,0),"پایین","بسیار پایین"))))</f>
        <v>بسیار بالا</v>
      </c>
      <c r="H30" s="11" t="n">
        <f aca="false">(100-I30)*(100-L30)/100</f>
        <v>72.718503</v>
      </c>
      <c r="I30" s="11" t="n">
        <v>13.81</v>
      </c>
      <c r="J30" s="11" t="n">
        <v>31.43</v>
      </c>
      <c r="K30" s="11" t="n">
        <f aca="false">J30/(1-I30/100)</f>
        <v>36.4659473256758</v>
      </c>
      <c r="L30" s="11" t="n">
        <v>15.63</v>
      </c>
      <c r="M30" s="11" t="n">
        <v>33.66</v>
      </c>
      <c r="N30" s="11" t="n">
        <v>68.72</v>
      </c>
      <c r="O30" s="11" t="n">
        <v>2.89</v>
      </c>
      <c r="P30" s="10" t="n">
        <f aca="false">ROUND(E30*J30/100,0)</f>
        <v>7129</v>
      </c>
      <c r="Q30" s="10" t="n">
        <f aca="false">ROUND(P30*I30/(100-I30),0)</f>
        <v>1142</v>
      </c>
      <c r="R30" s="10" t="n">
        <f aca="false">ROUND(P30*(100-L30)/100,0)</f>
        <v>6015</v>
      </c>
      <c r="S30" s="10" t="n">
        <f aca="false">ROUND(P30*M30/100,0)</f>
        <v>2400</v>
      </c>
      <c r="T30" s="11" t="n">
        <v>71.98</v>
      </c>
      <c r="U30" s="11" t="n">
        <v>73.43</v>
      </c>
      <c r="V30" s="3" t="n">
        <f aca="false">RANK(F30,$F$2:$F$350,0)</f>
        <v>68</v>
      </c>
      <c r="W30" s="12" t="n">
        <v>595.7</v>
      </c>
      <c r="X30" s="10" t="n">
        <v>90</v>
      </c>
      <c r="Y30" s="3" t="s">
        <v>58</v>
      </c>
      <c r="Z30" s="3" t="s">
        <v>98</v>
      </c>
      <c r="AA30" s="13" t="s">
        <v>59</v>
      </c>
      <c r="AB30" s="11" t="n">
        <v>42.28</v>
      </c>
    </row>
    <row r="31" customFormat="false" ht="16.4" hidden="false" customHeight="false" outlineLevel="0" collapsed="false">
      <c r="A31" s="3" t="n">
        <v>30</v>
      </c>
      <c r="B31" s="3" t="n">
        <v>2</v>
      </c>
      <c r="C31" s="3" t="s">
        <v>99</v>
      </c>
      <c r="D31" s="10" t="n">
        <v>45841</v>
      </c>
      <c r="E31" s="10" t="n">
        <f aca="false">ROUND(D31*INDEX(مناطق!$AF$2:$AF$23,B31),0)</f>
        <v>42131</v>
      </c>
      <c r="F31" s="11" t="n">
        <f aca="false">ROUND(100*(راهنما!$B$4*(H31-MIN($H$2:$H$350))/(MAX($H$2:$H$350)-MIN($H$2:$H$350))+راهنما!$B$5*(N31-MIN($N$2:$N$350))/(MAX($N$2:$N$350)-MIN($N$2:$N$350))+راهنما!$B$6*(J31-MIN($J$2:$J$350))/(MAX($J$2:$J$350)-MIN($J$2:$J$350))+راهنما!$B$7*(MAX($I$2:$I$350)-I31)/(MAX($I$2:$I$350)-MIN($I$2:$I$350)))/راهنما!$B$8,1)</f>
        <v>59.5</v>
      </c>
      <c r="G31" s="3" t="str">
        <f aca="false">IF(V31&lt;=ROUND(349*0.2,0),"بسیار بالا",IF(V31&lt;=ROUND(349*0.4,0),"بالا",IF(V31&lt;=ROUND(349*0.6,0),"متوسط",IF(V31&lt;=ROUND(349*0.8,0),"پایین","بسیار پایین"))))</f>
        <v>بالا</v>
      </c>
      <c r="H31" s="11" t="n">
        <f aca="false">(100-I31)*(100-L31)/100</f>
        <v>72.158268</v>
      </c>
      <c r="I31" s="11" t="n">
        <v>13.81</v>
      </c>
      <c r="J31" s="11" t="n">
        <v>31.57</v>
      </c>
      <c r="K31" s="11" t="n">
        <f aca="false">J31/(1-I31/100)</f>
        <v>36.6283791623158</v>
      </c>
      <c r="L31" s="11" t="n">
        <v>16.28</v>
      </c>
      <c r="M31" s="11" t="n">
        <v>33.66</v>
      </c>
      <c r="N31" s="11" t="n">
        <v>64.96</v>
      </c>
      <c r="O31" s="11" t="n">
        <v>3.07</v>
      </c>
      <c r="P31" s="10" t="n">
        <f aca="false">ROUND(E31*J31/100,0)</f>
        <v>13301</v>
      </c>
      <c r="Q31" s="10" t="n">
        <f aca="false">ROUND(P31*I31/(100-I31),0)</f>
        <v>2131</v>
      </c>
      <c r="R31" s="10" t="n">
        <f aca="false">ROUND(P31*(100-L31)/100,0)</f>
        <v>11136</v>
      </c>
      <c r="S31" s="10" t="n">
        <f aca="false">ROUND(P31*M31/100,0)</f>
        <v>4477</v>
      </c>
      <c r="T31" s="11" t="n">
        <v>71.64</v>
      </c>
      <c r="U31" s="11" t="n">
        <v>72.67</v>
      </c>
      <c r="V31" s="3" t="n">
        <f aca="false">RANK(F31,$F$2:$F$350,0)</f>
        <v>88</v>
      </c>
      <c r="W31" s="12" t="n">
        <v>503.6</v>
      </c>
      <c r="X31" s="10" t="n">
        <v>93</v>
      </c>
      <c r="Y31" s="3" t="s">
        <v>67</v>
      </c>
      <c r="Z31" s="3" t="s">
        <v>100</v>
      </c>
      <c r="AA31" s="13" t="s">
        <v>59</v>
      </c>
      <c r="AB31" s="11" t="n">
        <v>38.42</v>
      </c>
    </row>
    <row r="32" customFormat="false" ht="16.4" hidden="false" customHeight="false" outlineLevel="0" collapsed="false">
      <c r="A32" s="3" t="n">
        <v>31</v>
      </c>
      <c r="B32" s="3" t="n">
        <v>2</v>
      </c>
      <c r="C32" s="3" t="s">
        <v>100</v>
      </c>
      <c r="D32" s="10" t="n">
        <v>37403</v>
      </c>
      <c r="E32" s="10" t="n">
        <f aca="false">ROUND(D32*INDEX(مناطق!$AF$2:$AF$23,B32),0)</f>
        <v>34376</v>
      </c>
      <c r="F32" s="11" t="n">
        <f aca="false">ROUND(100*(راهنما!$B$4*(H32-MIN($H$2:$H$350))/(MAX($H$2:$H$350)-MIN($H$2:$H$350))+راهنما!$B$5*(N32-MIN($N$2:$N$350))/(MAX($N$2:$N$350)-MIN($N$2:$N$350))+راهنما!$B$6*(J32-MIN($J$2:$J$350))/(MAX($J$2:$J$350)-MIN($J$2:$J$350))+راهنما!$B$7*(MAX($I$2:$I$350)-I32)/(MAX($I$2:$I$350)-MIN($I$2:$I$350)))/راهنما!$B$8,1)</f>
        <v>59.5</v>
      </c>
      <c r="G32" s="3" t="str">
        <f aca="false">IF(V32&lt;=ROUND(349*0.2,0),"بسیار بالا",IF(V32&lt;=ROUND(349*0.4,0),"بالا",IF(V32&lt;=ROUND(349*0.6,0),"متوسط",IF(V32&lt;=ROUND(349*0.8,0),"پایین","بسیار پایین"))))</f>
        <v>بالا</v>
      </c>
      <c r="H32" s="11" t="n">
        <f aca="false">(100-I32)*(100-L32)/100</f>
        <v>72.158268</v>
      </c>
      <c r="I32" s="11" t="n">
        <v>13.81</v>
      </c>
      <c r="J32" s="11" t="n">
        <v>31.57</v>
      </c>
      <c r="K32" s="11" t="n">
        <f aca="false">J32/(1-I32/100)</f>
        <v>36.6283791623158</v>
      </c>
      <c r="L32" s="11" t="n">
        <v>16.28</v>
      </c>
      <c r="M32" s="11" t="n">
        <v>33.66</v>
      </c>
      <c r="N32" s="11" t="n">
        <v>64.96</v>
      </c>
      <c r="O32" s="11" t="n">
        <v>3.07</v>
      </c>
      <c r="P32" s="10" t="n">
        <f aca="false">ROUND(E32*J32/100,0)</f>
        <v>10853</v>
      </c>
      <c r="Q32" s="10" t="n">
        <f aca="false">ROUND(P32*I32/(100-I32),0)</f>
        <v>1739</v>
      </c>
      <c r="R32" s="10" t="n">
        <f aca="false">ROUND(P32*(100-L32)/100,0)</f>
        <v>9086</v>
      </c>
      <c r="S32" s="10" t="n">
        <f aca="false">ROUND(P32*M32/100,0)</f>
        <v>3653</v>
      </c>
      <c r="T32" s="11" t="n">
        <v>71.64</v>
      </c>
      <c r="U32" s="11" t="n">
        <v>72.67</v>
      </c>
      <c r="V32" s="3" t="n">
        <f aca="false">RANK(F32,$F$2:$F$350,0)</f>
        <v>88</v>
      </c>
      <c r="W32" s="12" t="n">
        <v>503.6</v>
      </c>
      <c r="X32" s="10" t="n">
        <v>93</v>
      </c>
      <c r="Y32" s="3" t="s">
        <v>67</v>
      </c>
      <c r="Z32" s="3" t="s">
        <v>100</v>
      </c>
      <c r="AA32" s="13" t="s">
        <v>59</v>
      </c>
      <c r="AB32" s="11" t="n">
        <v>38.42</v>
      </c>
    </row>
    <row r="33" customFormat="false" ht="16.4" hidden="false" customHeight="false" outlineLevel="0" collapsed="false">
      <c r="A33" s="3" t="n">
        <v>32</v>
      </c>
      <c r="B33" s="3" t="n">
        <v>2</v>
      </c>
      <c r="C33" s="3" t="s">
        <v>101</v>
      </c>
      <c r="D33" s="10" t="n">
        <v>30508</v>
      </c>
      <c r="E33" s="10" t="n">
        <f aca="false">ROUND(D33*INDEX(مناطق!$AF$2:$AF$23,B33),0)</f>
        <v>28039</v>
      </c>
      <c r="F33" s="11" t="n">
        <f aca="false">ROUND(100*(راهنما!$B$4*(H33-MIN($H$2:$H$350))/(MAX($H$2:$H$350)-MIN($H$2:$H$350))+راهنما!$B$5*(N33-MIN($N$2:$N$350))/(MAX($N$2:$N$350)-MIN($N$2:$N$350))+راهنما!$B$6*(J33-MIN($J$2:$J$350))/(MAX($J$2:$J$350)-MIN($J$2:$J$350))+راهنما!$B$7*(MAX($I$2:$I$350)-I33)/(MAX($I$2:$I$350)-MIN($I$2:$I$350)))/راهنما!$B$8,1)</f>
        <v>58.3</v>
      </c>
      <c r="G33" s="3" t="str">
        <f aca="false">IF(V33&lt;=ROUND(349*0.2,0),"بسیار بالا",IF(V33&lt;=ROUND(349*0.4,0),"بالا",IF(V33&lt;=ROUND(349*0.6,0),"متوسط",IF(V33&lt;=ROUND(349*0.8,0),"پایین","بسیار پایین"))))</f>
        <v>بالا</v>
      </c>
      <c r="H33" s="11" t="n">
        <f aca="false">(100-I33)*(100-L33)/100</f>
        <v>71.899698</v>
      </c>
      <c r="I33" s="11" t="n">
        <v>13.81</v>
      </c>
      <c r="J33" s="11" t="n">
        <v>31.63</v>
      </c>
      <c r="K33" s="11" t="n">
        <f aca="false">J33/(1-I33/100)</f>
        <v>36.6979928065901</v>
      </c>
      <c r="L33" s="11" t="n">
        <v>16.58</v>
      </c>
      <c r="M33" s="11" t="n">
        <v>33.66</v>
      </c>
      <c r="N33" s="11" t="n">
        <v>63.19</v>
      </c>
      <c r="O33" s="11" t="n">
        <v>3.15</v>
      </c>
      <c r="P33" s="10" t="n">
        <f aca="false">ROUND(E33*J33/100,0)</f>
        <v>8869</v>
      </c>
      <c r="Q33" s="10" t="n">
        <f aca="false">ROUND(P33*I33/(100-I33),0)</f>
        <v>1421</v>
      </c>
      <c r="R33" s="10" t="n">
        <f aca="false">ROUND(P33*(100-L33)/100,0)</f>
        <v>7399</v>
      </c>
      <c r="S33" s="10" t="n">
        <f aca="false">ROUND(P33*M33/100,0)</f>
        <v>2985</v>
      </c>
      <c r="T33" s="11" t="n">
        <v>71.49</v>
      </c>
      <c r="U33" s="11" t="n">
        <v>72.32</v>
      </c>
      <c r="V33" s="3" t="n">
        <f aca="false">RANK(F33,$F$2:$F$350,0)</f>
        <v>101</v>
      </c>
      <c r="W33" s="12" t="n">
        <v>479.8</v>
      </c>
      <c r="X33" s="10" t="n">
        <v>60</v>
      </c>
      <c r="Y33" s="3" t="s">
        <v>58</v>
      </c>
      <c r="Z33" s="3" t="s">
        <v>102</v>
      </c>
      <c r="AA33" s="13" t="s">
        <v>59</v>
      </c>
      <c r="AB33" s="11" t="n">
        <v>36.72</v>
      </c>
    </row>
    <row r="34" customFormat="false" ht="16.4" hidden="false" customHeight="false" outlineLevel="0" collapsed="false">
      <c r="A34" s="3" t="n">
        <v>33</v>
      </c>
      <c r="B34" s="3" t="n">
        <v>2</v>
      </c>
      <c r="C34" s="3" t="s">
        <v>103</v>
      </c>
      <c r="D34" s="10" t="n">
        <v>44870</v>
      </c>
      <c r="E34" s="10" t="n">
        <f aca="false">ROUND(D34*INDEX(مناطق!$AF$2:$AF$23,B34),0)</f>
        <v>41239</v>
      </c>
      <c r="F34" s="11" t="n">
        <f aca="false">ROUND(100*(راهنما!$B$4*(H34-MIN($H$2:$H$350))/(MAX($H$2:$H$350)-MIN($H$2:$H$350))+راهنما!$B$5*(N34-MIN($N$2:$N$350))/(MAX($N$2:$N$350)-MIN($N$2:$N$350))+راهنما!$B$6*(J34-MIN($J$2:$J$350))/(MAX($J$2:$J$350)-MIN($J$2:$J$350))+راهنما!$B$7*(MAX($I$2:$I$350)-I34)/(MAX($I$2:$I$350)-MIN($I$2:$I$350)))/راهنما!$B$8,1)</f>
        <v>57.6</v>
      </c>
      <c r="G34" s="3" t="str">
        <f aca="false">IF(V34&lt;=ROUND(349*0.2,0),"بسیار بالا",IF(V34&lt;=ROUND(349*0.4,0),"بالا",IF(V34&lt;=ROUND(349*0.6,0),"متوسط",IF(V34&lt;=ROUND(349*0.8,0),"پایین","بسیار پایین"))))</f>
        <v>بالا</v>
      </c>
      <c r="H34" s="11" t="n">
        <f aca="false">(100-I34)*(100-L34)/100</f>
        <v>71.727318</v>
      </c>
      <c r="I34" s="11" t="n">
        <v>13.81</v>
      </c>
      <c r="J34" s="11" t="n">
        <v>31.67</v>
      </c>
      <c r="K34" s="11" t="n">
        <f aca="false">J34/(1-I34/100)</f>
        <v>36.7444019027729</v>
      </c>
      <c r="L34" s="11" t="n">
        <v>16.78</v>
      </c>
      <c r="M34" s="11" t="n">
        <v>33.66</v>
      </c>
      <c r="N34" s="11" t="n">
        <v>61.99</v>
      </c>
      <c r="O34" s="11" t="n">
        <v>3.21</v>
      </c>
      <c r="P34" s="10" t="n">
        <f aca="false">ROUND(E34*J34/100,0)</f>
        <v>13060</v>
      </c>
      <c r="Q34" s="10" t="n">
        <f aca="false">ROUND(P34*I34/(100-I34),0)</f>
        <v>2093</v>
      </c>
      <c r="R34" s="10" t="n">
        <f aca="false">ROUND(P34*(100-L34)/100,0)</f>
        <v>10869</v>
      </c>
      <c r="S34" s="10" t="n">
        <f aca="false">ROUND(P34*M34/100,0)</f>
        <v>4396</v>
      </c>
      <c r="T34" s="11" t="n">
        <v>71.38</v>
      </c>
      <c r="U34" s="11" t="n">
        <v>72.07</v>
      </c>
      <c r="V34" s="3" t="n">
        <f aca="false">RANK(F34,$F$2:$F$350,0)</f>
        <v>105</v>
      </c>
      <c r="W34" s="12" t="n">
        <v>473.2</v>
      </c>
      <c r="X34" s="10" t="n">
        <v>95</v>
      </c>
      <c r="Y34" s="3" t="s">
        <v>67</v>
      </c>
      <c r="Z34" s="3" t="s">
        <v>104</v>
      </c>
      <c r="AA34" s="13" t="s">
        <v>59</v>
      </c>
      <c r="AB34" s="11" t="n">
        <v>35.6</v>
      </c>
    </row>
    <row r="35" customFormat="false" ht="16.4" hidden="false" customHeight="false" outlineLevel="0" collapsed="false">
      <c r="A35" s="3" t="n">
        <v>34</v>
      </c>
      <c r="B35" s="3" t="n">
        <v>2</v>
      </c>
      <c r="C35" s="3" t="s">
        <v>105</v>
      </c>
      <c r="D35" s="10" t="n">
        <v>33397</v>
      </c>
      <c r="E35" s="10" t="n">
        <f aca="false">ROUND(D35*INDEX(مناطق!$AF$2:$AF$23,B35),0)</f>
        <v>30694</v>
      </c>
      <c r="F35" s="11" t="n">
        <f aca="false">ROUND(100*(راهنما!$B$4*(H35-MIN($H$2:$H$350))/(MAX($H$2:$H$350)-MIN($H$2:$H$350))+راهنما!$B$5*(N35-MIN($N$2:$N$350))/(MAX($N$2:$N$350)-MIN($N$2:$N$350))+راهنما!$B$6*(J35-MIN($J$2:$J$350))/(MAX($J$2:$J$350)-MIN($J$2:$J$350))+راهنما!$B$7*(MAX($I$2:$I$350)-I35)/(MAX($I$2:$I$350)-MIN($I$2:$I$350)))/راهنما!$B$8,1)</f>
        <v>55.7</v>
      </c>
      <c r="G35" s="3" t="str">
        <f aca="false">IF(V35&lt;=ROUND(349*0.2,0),"بسیار بالا",IF(V35&lt;=ROUND(349*0.4,0),"بالا",IF(V35&lt;=ROUND(349*0.6,0),"متوسط",IF(V35&lt;=ROUND(349*0.8,0),"پایین","بسیار پایین"))))</f>
        <v>بالا</v>
      </c>
      <c r="H35" s="11" t="n">
        <f aca="false">(100-I35)*(100-L35)/100</f>
        <v>71.313606</v>
      </c>
      <c r="I35" s="11" t="n">
        <v>13.81</v>
      </c>
      <c r="J35" s="11" t="n">
        <v>31.77</v>
      </c>
      <c r="K35" s="11" t="n">
        <f aca="false">J35/(1-I35/100)</f>
        <v>36.8604246432301</v>
      </c>
      <c r="L35" s="11" t="n">
        <v>17.26</v>
      </c>
      <c r="M35" s="11" t="n">
        <v>33.66</v>
      </c>
      <c r="N35" s="11" t="n">
        <v>59.14</v>
      </c>
      <c r="O35" s="11" t="n">
        <v>3.34</v>
      </c>
      <c r="P35" s="10" t="n">
        <f aca="false">ROUND(E35*J35/100,0)</f>
        <v>9751</v>
      </c>
      <c r="Q35" s="10" t="n">
        <f aca="false">ROUND(P35*I35/(100-I35),0)</f>
        <v>1562</v>
      </c>
      <c r="R35" s="10" t="n">
        <f aca="false">ROUND(P35*(100-L35)/100,0)</f>
        <v>8068</v>
      </c>
      <c r="S35" s="10" t="n">
        <f aca="false">ROUND(P35*M35/100,0)</f>
        <v>3282</v>
      </c>
      <c r="T35" s="11" t="n">
        <v>71.14</v>
      </c>
      <c r="U35" s="11" t="n">
        <v>71.5</v>
      </c>
      <c r="V35" s="3" t="n">
        <f aca="false">RANK(F35,$F$2:$F$350,0)</f>
        <v>122</v>
      </c>
      <c r="W35" s="12" t="n">
        <v>427.3</v>
      </c>
      <c r="X35" s="10" t="n">
        <v>89</v>
      </c>
      <c r="Y35" s="3" t="s">
        <v>58</v>
      </c>
      <c r="Z35" s="3" t="s">
        <v>105</v>
      </c>
      <c r="AA35" s="13" t="s">
        <v>59</v>
      </c>
      <c r="AB35" s="11" t="n">
        <v>33.05</v>
      </c>
    </row>
    <row r="36" customFormat="false" ht="16.4" hidden="false" customHeight="false" outlineLevel="0" collapsed="false">
      <c r="A36" s="3" t="n">
        <v>35</v>
      </c>
      <c r="B36" s="3" t="n">
        <v>2</v>
      </c>
      <c r="C36" s="3" t="s">
        <v>106</v>
      </c>
      <c r="D36" s="10" t="n">
        <v>54387</v>
      </c>
      <c r="E36" s="10" t="n">
        <f aca="false">ROUND(D36*INDEX(مناطق!$AF$2:$AF$23,B36),0)</f>
        <v>49985</v>
      </c>
      <c r="F36" s="11" t="n">
        <f aca="false">ROUND(100*(راهنما!$B$4*(H36-MIN($H$2:$H$350))/(MAX($H$2:$H$350)-MIN($H$2:$H$350))+راهنما!$B$5*(N36-MIN($N$2:$N$350))/(MAX($N$2:$N$350)-MIN($N$2:$N$350))+راهنما!$B$6*(J36-MIN($J$2:$J$350))/(MAX($J$2:$J$350)-MIN($J$2:$J$350))+راهنما!$B$7*(MAX($I$2:$I$350)-I36)/(MAX($I$2:$I$350)-MIN($I$2:$I$350)))/راهنما!$B$8,1)</f>
        <v>54.6</v>
      </c>
      <c r="G36" s="3" t="str">
        <f aca="false">IF(V36&lt;=ROUND(349*0.2,0),"بسیار بالا",IF(V36&lt;=ROUND(349*0.4,0),"بالا",IF(V36&lt;=ROUND(349*0.6,0),"متوسط",IF(V36&lt;=ROUND(349*0.8,0),"پایین","بسیار پایین"))))</f>
        <v>بالا</v>
      </c>
      <c r="H36" s="11" t="n">
        <f aca="false">(100-I36)*(100-L36)/100</f>
        <v>71.046417</v>
      </c>
      <c r="I36" s="11" t="n">
        <v>13.81</v>
      </c>
      <c r="J36" s="11" t="n">
        <v>31.84</v>
      </c>
      <c r="K36" s="11" t="n">
        <f aca="false">J36/(1-I36/100)</f>
        <v>36.9416405615501</v>
      </c>
      <c r="L36" s="11" t="n">
        <v>17.57</v>
      </c>
      <c r="M36" s="11" t="n">
        <v>33.66</v>
      </c>
      <c r="N36" s="11" t="n">
        <v>57.25</v>
      </c>
      <c r="O36" s="11" t="n">
        <v>3.43</v>
      </c>
      <c r="P36" s="10" t="n">
        <f aca="false">ROUND(E36*J36/100,0)</f>
        <v>15915</v>
      </c>
      <c r="Q36" s="10" t="n">
        <f aca="false">ROUND(P36*I36/(100-I36),0)</f>
        <v>2550</v>
      </c>
      <c r="R36" s="10" t="n">
        <f aca="false">ROUND(P36*(100-L36)/100,0)</f>
        <v>13119</v>
      </c>
      <c r="S36" s="10" t="n">
        <f aca="false">ROUND(P36*M36/100,0)</f>
        <v>5357</v>
      </c>
      <c r="T36" s="11" t="n">
        <v>70.98</v>
      </c>
      <c r="U36" s="11" t="n">
        <v>71.12</v>
      </c>
      <c r="V36" s="3" t="n">
        <f aca="false">RANK(F36,$F$2:$F$350,0)</f>
        <v>132</v>
      </c>
      <c r="W36" s="12" t="n">
        <v>405.9</v>
      </c>
      <c r="X36" s="10" t="n">
        <v>89</v>
      </c>
      <c r="Y36" s="3" t="s">
        <v>67</v>
      </c>
      <c r="Z36" s="3" t="s">
        <v>107</v>
      </c>
      <c r="AA36" s="13" t="s">
        <v>59</v>
      </c>
      <c r="AB36" s="11" t="n">
        <v>31.45</v>
      </c>
    </row>
    <row r="37" customFormat="false" ht="16.4" hidden="false" customHeight="false" outlineLevel="0" collapsed="false">
      <c r="A37" s="3" t="n">
        <v>36</v>
      </c>
      <c r="B37" s="3" t="n">
        <v>2</v>
      </c>
      <c r="C37" s="3" t="s">
        <v>108</v>
      </c>
      <c r="D37" s="10" t="n">
        <v>42043</v>
      </c>
      <c r="E37" s="10" t="n">
        <f aca="false">ROUND(D37*INDEX(مناطق!$AF$2:$AF$23,B37),0)</f>
        <v>38640</v>
      </c>
      <c r="F37" s="11" t="n">
        <f aca="false">ROUND(100*(راهنما!$B$4*(H37-MIN($H$2:$H$350))/(MAX($H$2:$H$350)-MIN($H$2:$H$350))+راهنما!$B$5*(N37-MIN($N$2:$N$350))/(MAX($N$2:$N$350)-MIN($N$2:$N$350))+راهنما!$B$6*(J37-MIN($J$2:$J$350))/(MAX($J$2:$J$350)-MIN($J$2:$J$350))+راهنما!$B$7*(MAX($I$2:$I$350)-I37)/(MAX($I$2:$I$350)-MIN($I$2:$I$350)))/راهنما!$B$8,1)</f>
        <v>54.6</v>
      </c>
      <c r="G37" s="3" t="str">
        <f aca="false">IF(V37&lt;=ROUND(349*0.2,0),"بسیار بالا",IF(V37&lt;=ROUND(349*0.4,0),"بالا",IF(V37&lt;=ROUND(349*0.6,0),"متوسط",IF(V37&lt;=ROUND(349*0.8,0),"پایین","بسیار پایین"))))</f>
        <v>بالا</v>
      </c>
      <c r="H37" s="11" t="n">
        <f aca="false">(100-I37)*(100-L37)/100</f>
        <v>71.046417</v>
      </c>
      <c r="I37" s="11" t="n">
        <v>13.81</v>
      </c>
      <c r="J37" s="11" t="n">
        <v>31.84</v>
      </c>
      <c r="K37" s="11" t="n">
        <f aca="false">J37/(1-I37/100)</f>
        <v>36.9416405615501</v>
      </c>
      <c r="L37" s="11" t="n">
        <v>17.57</v>
      </c>
      <c r="M37" s="11" t="n">
        <v>33.66</v>
      </c>
      <c r="N37" s="11" t="n">
        <v>57.25</v>
      </c>
      <c r="O37" s="11" t="n">
        <v>3.43</v>
      </c>
      <c r="P37" s="10" t="n">
        <f aca="false">ROUND(E37*J37/100,0)</f>
        <v>12303</v>
      </c>
      <c r="Q37" s="10" t="n">
        <f aca="false">ROUND(P37*I37/(100-I37),0)</f>
        <v>1971</v>
      </c>
      <c r="R37" s="10" t="n">
        <f aca="false">ROUND(P37*(100-L37)/100,0)</f>
        <v>10141</v>
      </c>
      <c r="S37" s="10" t="n">
        <f aca="false">ROUND(P37*M37/100,0)</f>
        <v>4141</v>
      </c>
      <c r="T37" s="11" t="n">
        <v>70.98</v>
      </c>
      <c r="U37" s="11" t="n">
        <v>71.12</v>
      </c>
      <c r="V37" s="3" t="n">
        <f aca="false">RANK(F37,$F$2:$F$350,0)</f>
        <v>132</v>
      </c>
      <c r="W37" s="12" t="n">
        <v>405.9</v>
      </c>
      <c r="X37" s="10" t="n">
        <v>89</v>
      </c>
      <c r="Y37" s="3" t="s">
        <v>67</v>
      </c>
      <c r="Z37" s="3" t="s">
        <v>107</v>
      </c>
      <c r="AA37" s="13" t="s">
        <v>59</v>
      </c>
      <c r="AB37" s="11" t="n">
        <v>31.45</v>
      </c>
    </row>
    <row r="38" customFormat="false" ht="16.4" hidden="false" customHeight="false" outlineLevel="0" collapsed="false">
      <c r="A38" s="3" t="n">
        <v>37</v>
      </c>
      <c r="B38" s="3" t="n">
        <v>2</v>
      </c>
      <c r="C38" s="3" t="s">
        <v>109</v>
      </c>
      <c r="D38" s="10" t="n">
        <v>33619</v>
      </c>
      <c r="E38" s="10" t="n">
        <f aca="false">ROUND(D38*INDEX(مناطق!$AF$2:$AF$23,B38),0)</f>
        <v>30898</v>
      </c>
      <c r="F38" s="11" t="n">
        <f aca="false">ROUND(100*(راهنما!$B$4*(H38-MIN($H$2:$H$350))/(MAX($H$2:$H$350)-MIN($H$2:$H$350))+راهنما!$B$5*(N38-MIN($N$2:$N$350))/(MAX($N$2:$N$350)-MIN($N$2:$N$350))+راهنما!$B$6*(J38-MIN($J$2:$J$350))/(MAX($J$2:$J$350)-MIN($J$2:$J$350))+راهنما!$B$7*(MAX($I$2:$I$350)-I38)/(MAX($I$2:$I$350)-MIN($I$2:$I$350)))/راهنما!$B$8,1)</f>
        <v>54.3</v>
      </c>
      <c r="G38" s="3" t="str">
        <f aca="false">IF(V38&lt;=ROUND(349*0.2,0),"بسیار بالا",IF(V38&lt;=ROUND(349*0.4,0),"بالا",IF(V38&lt;=ROUND(349*0.6,0),"متوسط",IF(V38&lt;=ROUND(349*0.8,0),"پایین","بسیار پایین"))))</f>
        <v>بالا</v>
      </c>
      <c r="H38" s="11" t="n">
        <f aca="false">(100-I38)*(100-L38)/100</f>
        <v>70.986084</v>
      </c>
      <c r="I38" s="11" t="n">
        <v>13.81</v>
      </c>
      <c r="J38" s="11" t="n">
        <v>31.85</v>
      </c>
      <c r="K38" s="11" t="n">
        <f aca="false">J38/(1-I38/100)</f>
        <v>36.9532428355958</v>
      </c>
      <c r="L38" s="11" t="n">
        <v>17.64</v>
      </c>
      <c r="M38" s="11" t="n">
        <v>33.66</v>
      </c>
      <c r="N38" s="11" t="n">
        <v>56.87</v>
      </c>
      <c r="O38" s="11" t="n">
        <v>3.45</v>
      </c>
      <c r="P38" s="10" t="n">
        <f aca="false">ROUND(E38*J38/100,0)</f>
        <v>9841</v>
      </c>
      <c r="Q38" s="10" t="n">
        <f aca="false">ROUND(P38*I38/(100-I38),0)</f>
        <v>1577</v>
      </c>
      <c r="R38" s="10" t="n">
        <f aca="false">ROUND(P38*(100-L38)/100,0)</f>
        <v>8105</v>
      </c>
      <c r="S38" s="10" t="n">
        <f aca="false">ROUND(P38*M38/100,0)</f>
        <v>3312</v>
      </c>
      <c r="T38" s="11" t="n">
        <v>70.95</v>
      </c>
      <c r="U38" s="11" t="n">
        <v>71.04</v>
      </c>
      <c r="V38" s="3" t="n">
        <f aca="false">RANK(F38,$F$2:$F$350,0)</f>
        <v>135</v>
      </c>
      <c r="W38" s="12"/>
      <c r="X38" s="10" t="n">
        <v>0</v>
      </c>
      <c r="Y38" s="3" t="s">
        <v>77</v>
      </c>
      <c r="Z38" s="13" t="s">
        <v>78</v>
      </c>
      <c r="AA38" s="13" t="s">
        <v>79</v>
      </c>
      <c r="AB38" s="11" t="n">
        <v>31.13</v>
      </c>
    </row>
    <row r="39" customFormat="false" ht="16.4" hidden="false" customHeight="false" outlineLevel="0" collapsed="false">
      <c r="A39" s="3" t="n">
        <v>38</v>
      </c>
      <c r="B39" s="3" t="n">
        <v>2</v>
      </c>
      <c r="C39" s="3" t="s">
        <v>110</v>
      </c>
      <c r="D39" s="10" t="n">
        <v>29776</v>
      </c>
      <c r="E39" s="10" t="n">
        <f aca="false">ROUND(D39*INDEX(مناطق!$AF$2:$AF$23,B39),0)</f>
        <v>27366</v>
      </c>
      <c r="F39" s="11" t="n">
        <f aca="false">ROUND(100*(راهنما!$B$4*(H39-MIN($H$2:$H$350))/(MAX($H$2:$H$350)-MIN($H$2:$H$350))+راهنما!$B$5*(N39-MIN($N$2:$N$350))/(MAX($N$2:$N$350)-MIN($N$2:$N$350))+راهنما!$B$6*(J39-MIN($J$2:$J$350))/(MAX($J$2:$J$350)-MIN($J$2:$J$350))+راهنما!$B$7*(MAX($I$2:$I$350)-I39)/(MAX($I$2:$I$350)-MIN($I$2:$I$350)))/راهنما!$B$8,1)</f>
        <v>54.3</v>
      </c>
      <c r="G39" s="3" t="str">
        <f aca="false">IF(V39&lt;=ROUND(349*0.2,0),"بسیار بالا",IF(V39&lt;=ROUND(349*0.4,0),"بالا",IF(V39&lt;=ROUND(349*0.6,0),"متوسط",IF(V39&lt;=ROUND(349*0.8,0),"پایین","بسیار پایین"))))</f>
        <v>بالا</v>
      </c>
      <c r="H39" s="11" t="n">
        <f aca="false">(100-I39)*(100-L39)/100</f>
        <v>70.986084</v>
      </c>
      <c r="I39" s="11" t="n">
        <v>13.81</v>
      </c>
      <c r="J39" s="11" t="n">
        <v>31.85</v>
      </c>
      <c r="K39" s="11" t="n">
        <f aca="false">J39/(1-I39/100)</f>
        <v>36.9532428355958</v>
      </c>
      <c r="L39" s="11" t="n">
        <v>17.64</v>
      </c>
      <c r="M39" s="11" t="n">
        <v>33.66</v>
      </c>
      <c r="N39" s="11" t="n">
        <v>56.87</v>
      </c>
      <c r="O39" s="11" t="n">
        <v>3.45</v>
      </c>
      <c r="P39" s="10" t="n">
        <f aca="false">ROUND(E39*J39/100,0)</f>
        <v>8716</v>
      </c>
      <c r="Q39" s="10" t="n">
        <f aca="false">ROUND(P39*I39/(100-I39),0)</f>
        <v>1397</v>
      </c>
      <c r="R39" s="10" t="n">
        <f aca="false">ROUND(P39*(100-L39)/100,0)</f>
        <v>7178</v>
      </c>
      <c r="S39" s="10" t="n">
        <f aca="false">ROUND(P39*M39/100,0)</f>
        <v>2934</v>
      </c>
      <c r="T39" s="11" t="n">
        <v>70.95</v>
      </c>
      <c r="U39" s="11" t="n">
        <v>71.04</v>
      </c>
      <c r="V39" s="3" t="n">
        <f aca="false">RANK(F39,$F$2:$F$350,0)</f>
        <v>135</v>
      </c>
      <c r="W39" s="12"/>
      <c r="X39" s="10" t="n">
        <v>0</v>
      </c>
      <c r="Y39" s="3" t="s">
        <v>77</v>
      </c>
      <c r="Z39" s="13" t="s">
        <v>78</v>
      </c>
      <c r="AA39" s="13" t="s">
        <v>79</v>
      </c>
      <c r="AB39" s="11" t="n">
        <v>31.13</v>
      </c>
    </row>
    <row r="40" customFormat="false" ht="16.4" hidden="false" customHeight="false" outlineLevel="0" collapsed="false">
      <c r="A40" s="3" t="n">
        <v>39</v>
      </c>
      <c r="B40" s="3" t="n">
        <v>2</v>
      </c>
      <c r="C40" s="3" t="s">
        <v>111</v>
      </c>
      <c r="D40" s="10" t="n">
        <v>17555</v>
      </c>
      <c r="E40" s="10" t="n">
        <f aca="false">ROUND(D40*INDEX(مناطق!$AF$2:$AF$23,B40),0)</f>
        <v>16134</v>
      </c>
      <c r="F40" s="11" t="n">
        <f aca="false">ROUND(100*(راهنما!$B$4*(H40-MIN($H$2:$H$350))/(MAX($H$2:$H$350)-MIN($H$2:$H$350))+راهنما!$B$5*(N40-MIN($N$2:$N$350))/(MAX($N$2:$N$350)-MIN($N$2:$N$350))+راهنما!$B$6*(J40-MIN($J$2:$J$350))/(MAX($J$2:$J$350)-MIN($J$2:$J$350))+راهنما!$B$7*(MAX($I$2:$I$350)-I40)/(MAX($I$2:$I$350)-MIN($I$2:$I$350)))/راهنما!$B$8,1)</f>
        <v>54.3</v>
      </c>
      <c r="G40" s="3" t="str">
        <f aca="false">IF(V40&lt;=ROUND(349*0.2,0),"بسیار بالا",IF(V40&lt;=ROUND(349*0.4,0),"بالا",IF(V40&lt;=ROUND(349*0.6,0),"متوسط",IF(V40&lt;=ROUND(349*0.8,0),"پایین","بسیار پایین"))))</f>
        <v>بالا</v>
      </c>
      <c r="H40" s="11" t="n">
        <f aca="false">(100-I40)*(100-L40)/100</f>
        <v>70.986084</v>
      </c>
      <c r="I40" s="11" t="n">
        <v>13.81</v>
      </c>
      <c r="J40" s="11" t="n">
        <v>31.85</v>
      </c>
      <c r="K40" s="11" t="n">
        <f aca="false">J40/(1-I40/100)</f>
        <v>36.9532428355958</v>
      </c>
      <c r="L40" s="11" t="n">
        <v>17.64</v>
      </c>
      <c r="M40" s="11" t="n">
        <v>33.66</v>
      </c>
      <c r="N40" s="11" t="n">
        <v>56.87</v>
      </c>
      <c r="O40" s="11" t="n">
        <v>3.45</v>
      </c>
      <c r="P40" s="10" t="n">
        <f aca="false">ROUND(E40*J40/100,0)</f>
        <v>5139</v>
      </c>
      <c r="Q40" s="10" t="n">
        <f aca="false">ROUND(P40*I40/(100-I40),0)</f>
        <v>823</v>
      </c>
      <c r="R40" s="10" t="n">
        <f aca="false">ROUND(P40*(100-L40)/100,0)</f>
        <v>4232</v>
      </c>
      <c r="S40" s="10" t="n">
        <f aca="false">ROUND(P40*M40/100,0)</f>
        <v>1730</v>
      </c>
      <c r="T40" s="11" t="n">
        <v>70.95</v>
      </c>
      <c r="U40" s="11" t="n">
        <v>71.04</v>
      </c>
      <c r="V40" s="3" t="n">
        <f aca="false">RANK(F40,$F$2:$F$350,0)</f>
        <v>135</v>
      </c>
      <c r="W40" s="12"/>
      <c r="X40" s="10" t="n">
        <v>0</v>
      </c>
      <c r="Y40" s="3" t="s">
        <v>77</v>
      </c>
      <c r="Z40" s="13" t="s">
        <v>78</v>
      </c>
      <c r="AA40" s="13" t="s">
        <v>79</v>
      </c>
      <c r="AB40" s="11" t="n">
        <v>31.13</v>
      </c>
    </row>
    <row r="41" customFormat="false" ht="16.4" hidden="false" customHeight="false" outlineLevel="0" collapsed="false">
      <c r="A41" s="3" t="n">
        <v>40</v>
      </c>
      <c r="B41" s="3" t="n">
        <v>2</v>
      </c>
      <c r="C41" s="3" t="s">
        <v>112</v>
      </c>
      <c r="D41" s="10" t="n">
        <v>25981</v>
      </c>
      <c r="E41" s="10" t="n">
        <f aca="false">ROUND(D41*INDEX(مناطق!$AF$2:$AF$23,B41),0)</f>
        <v>23878</v>
      </c>
      <c r="F41" s="11" t="n">
        <f aca="false">ROUND(100*(راهنما!$B$4*(H41-MIN($H$2:$H$350))/(MAX($H$2:$H$350)-MIN($H$2:$H$350))+راهنما!$B$5*(N41-MIN($N$2:$N$350))/(MAX($N$2:$N$350)-MIN($N$2:$N$350))+راهنما!$B$6*(J41-MIN($J$2:$J$350))/(MAX($J$2:$J$350)-MIN($J$2:$J$350))+راهنما!$B$7*(MAX($I$2:$I$350)-I41)/(MAX($I$2:$I$350)-MIN($I$2:$I$350)))/راهنما!$B$8,1)</f>
        <v>52.8</v>
      </c>
      <c r="G41" s="3" t="str">
        <f aca="false">IF(V41&lt;=ROUND(349*0.2,0),"بسیار بالا",IF(V41&lt;=ROUND(349*0.4,0),"بالا",IF(V41&lt;=ROUND(349*0.6,0),"متوسط",IF(V41&lt;=ROUND(349*0.8,0),"پایین","بسیار پایین"))))</f>
        <v>متوسط</v>
      </c>
      <c r="H41" s="11" t="n">
        <f aca="false">(100-I41)*(100-L41)/100</f>
        <v>70.649943</v>
      </c>
      <c r="I41" s="11" t="n">
        <v>13.81</v>
      </c>
      <c r="J41" s="11" t="n">
        <v>31.93</v>
      </c>
      <c r="K41" s="11" t="n">
        <f aca="false">J41/(1-I41/100)</f>
        <v>37.0460610279615</v>
      </c>
      <c r="L41" s="11" t="n">
        <v>18.03</v>
      </c>
      <c r="M41" s="11" t="n">
        <v>33.66</v>
      </c>
      <c r="N41" s="11" t="n">
        <v>54.51</v>
      </c>
      <c r="O41" s="11" t="n">
        <v>3.56</v>
      </c>
      <c r="P41" s="10" t="n">
        <f aca="false">ROUND(E41*J41/100,0)</f>
        <v>7624</v>
      </c>
      <c r="Q41" s="10" t="n">
        <f aca="false">ROUND(P41*I41/(100-I41),0)</f>
        <v>1222</v>
      </c>
      <c r="R41" s="10" t="n">
        <f aca="false">ROUND(P41*(100-L41)/100,0)</f>
        <v>6249</v>
      </c>
      <c r="S41" s="10" t="n">
        <f aca="false">ROUND(P41*M41/100,0)</f>
        <v>2566</v>
      </c>
      <c r="T41" s="11" t="n">
        <v>70.55</v>
      </c>
      <c r="U41" s="11" t="n">
        <v>70.75</v>
      </c>
      <c r="V41" s="3" t="n">
        <f aca="false">RANK(F41,$F$2:$F$350,0)</f>
        <v>147</v>
      </c>
      <c r="W41" s="12" t="n">
        <v>379.7</v>
      </c>
      <c r="X41" s="10" t="n">
        <v>90</v>
      </c>
      <c r="Y41" s="3" t="s">
        <v>58</v>
      </c>
      <c r="Z41" s="3" t="s">
        <v>112</v>
      </c>
      <c r="AA41" s="13" t="s">
        <v>59</v>
      </c>
      <c r="AB41" s="11" t="n">
        <v>29.23</v>
      </c>
    </row>
    <row r="42" customFormat="false" ht="16.4" hidden="false" customHeight="false" outlineLevel="0" collapsed="false">
      <c r="A42" s="3" t="n">
        <v>41</v>
      </c>
      <c r="B42" s="3" t="n">
        <v>2</v>
      </c>
      <c r="C42" s="3" t="s">
        <v>113</v>
      </c>
      <c r="D42" s="10" t="n">
        <v>13348</v>
      </c>
      <c r="E42" s="10" t="n">
        <f aca="false">ROUND(D42*INDEX(مناطق!$AF$2:$AF$23,B42),0)</f>
        <v>12268</v>
      </c>
      <c r="F42" s="11" t="n">
        <f aca="false">ROUND(100*(راهنما!$B$4*(H42-MIN($H$2:$H$350))/(MAX($H$2:$H$350)-MIN($H$2:$H$350))+راهنما!$B$5*(N42-MIN($N$2:$N$350))/(MAX($N$2:$N$350)-MIN($N$2:$N$350))+راهنما!$B$6*(J42-MIN($J$2:$J$350))/(MAX($J$2:$J$350)-MIN($J$2:$J$350))+راهنما!$B$7*(MAX($I$2:$I$350)-I42)/(MAX($I$2:$I$350)-MIN($I$2:$I$350)))/راهنما!$B$8,1)</f>
        <v>50.5</v>
      </c>
      <c r="G42" s="3" t="str">
        <f aca="false">IF(V42&lt;=ROUND(349*0.2,0),"بسیار بالا",IF(V42&lt;=ROUND(349*0.4,0),"بالا",IF(V42&lt;=ROUND(349*0.6,0),"متوسط",IF(V42&lt;=ROUND(349*0.8,0),"پایین","بسیار پایین"))))</f>
        <v>متوسط</v>
      </c>
      <c r="H42" s="11" t="n">
        <f aca="false">(100-I42)*(100-L42)/100</f>
        <v>70.132803</v>
      </c>
      <c r="I42" s="11" t="n">
        <v>13.81</v>
      </c>
      <c r="J42" s="11" t="n">
        <v>32.04</v>
      </c>
      <c r="K42" s="11" t="n">
        <f aca="false">J42/(1-I42/100)</f>
        <v>37.1736860424643</v>
      </c>
      <c r="L42" s="11" t="n">
        <v>18.63</v>
      </c>
      <c r="M42" s="11" t="n">
        <v>33.66</v>
      </c>
      <c r="N42" s="11" t="n">
        <v>51</v>
      </c>
      <c r="O42" s="11" t="n">
        <v>3.74</v>
      </c>
      <c r="P42" s="10" t="n">
        <f aca="false">ROUND(E42*J42/100,0)</f>
        <v>3931</v>
      </c>
      <c r="Q42" s="10" t="n">
        <f aca="false">ROUND(P42*I42/(100-I42),0)</f>
        <v>630</v>
      </c>
      <c r="R42" s="10" t="n">
        <f aca="false">ROUND(P42*(100-L42)/100,0)</f>
        <v>3199</v>
      </c>
      <c r="S42" s="10" t="n">
        <f aca="false">ROUND(P42*M42/100,0)</f>
        <v>1323</v>
      </c>
      <c r="T42" s="11" t="n">
        <v>69.82</v>
      </c>
      <c r="U42" s="11" t="n">
        <v>70.46</v>
      </c>
      <c r="V42" s="3" t="n">
        <f aca="false">RANK(F42,$F$2:$F$350,0)</f>
        <v>173</v>
      </c>
      <c r="W42" s="12" t="n">
        <v>339.3</v>
      </c>
      <c r="X42" s="10" t="n">
        <v>25</v>
      </c>
      <c r="Y42" s="3" t="s">
        <v>67</v>
      </c>
      <c r="Z42" s="3" t="s">
        <v>113</v>
      </c>
      <c r="AA42" s="13" t="s">
        <v>63</v>
      </c>
      <c r="AB42" s="11" t="n">
        <v>26.55</v>
      </c>
    </row>
    <row r="43" customFormat="false" ht="16.4" hidden="false" customHeight="false" outlineLevel="0" collapsed="false">
      <c r="A43" s="3" t="n">
        <v>42</v>
      </c>
      <c r="B43" s="3" t="n">
        <v>2</v>
      </c>
      <c r="C43" s="3" t="s">
        <v>114</v>
      </c>
      <c r="D43" s="10" t="n">
        <v>36305</v>
      </c>
      <c r="E43" s="10" t="n">
        <f aca="false">ROUND(D43*INDEX(مناطق!$AF$2:$AF$23,B43),0)</f>
        <v>33367</v>
      </c>
      <c r="F43" s="11" t="n">
        <f aca="false">ROUND(100*(راهنما!$B$4*(H43-MIN($H$2:$H$350))/(MAX($H$2:$H$350)-MIN($H$2:$H$350))+راهنما!$B$5*(N43-MIN($N$2:$N$350))/(MAX($N$2:$N$350)-MIN($N$2:$N$350))+راهنما!$B$6*(J43-MIN($J$2:$J$350))/(MAX($J$2:$J$350)-MIN($J$2:$J$350))+راهنما!$B$7*(MAX($I$2:$I$350)-I43)/(MAX($I$2:$I$350)-MIN($I$2:$I$350)))/راهنما!$B$8,1)</f>
        <v>50.2</v>
      </c>
      <c r="G43" s="3" t="str">
        <f aca="false">IF(V43&lt;=ROUND(349*0.2,0),"بسیار بالا",IF(V43&lt;=ROUND(349*0.4,0),"بالا",IF(V43&lt;=ROUND(349*0.6,0),"متوسط",IF(V43&lt;=ROUND(349*0.8,0),"پایین","بسیار پایین"))))</f>
        <v>متوسط</v>
      </c>
      <c r="H43" s="11" t="n">
        <f aca="false">(100-I43)*(100-L43)/100</f>
        <v>70.055232</v>
      </c>
      <c r="I43" s="11" t="n">
        <v>13.81</v>
      </c>
      <c r="J43" s="11" t="n">
        <v>32.06</v>
      </c>
      <c r="K43" s="11" t="n">
        <f aca="false">J43/(1-I43/100)</f>
        <v>37.1968905905558</v>
      </c>
      <c r="L43" s="11" t="n">
        <v>18.72</v>
      </c>
      <c r="M43" s="11" t="n">
        <v>33.66</v>
      </c>
      <c r="N43" s="11" t="n">
        <v>50.5</v>
      </c>
      <c r="O43" s="11" t="n">
        <v>3.76</v>
      </c>
      <c r="P43" s="10" t="n">
        <f aca="false">ROUND(E43*J43/100,0)</f>
        <v>10697</v>
      </c>
      <c r="Q43" s="10" t="n">
        <f aca="false">ROUND(P43*I43/(100-I43),0)</f>
        <v>1714</v>
      </c>
      <c r="R43" s="10" t="n">
        <f aca="false">ROUND(P43*(100-L43)/100,0)</f>
        <v>8695</v>
      </c>
      <c r="S43" s="10" t="n">
        <f aca="false">ROUND(P43*M43/100,0)</f>
        <v>3601</v>
      </c>
      <c r="T43" s="11" t="n">
        <v>69.71</v>
      </c>
      <c r="U43" s="11" t="n">
        <v>70.41</v>
      </c>
      <c r="V43" s="3" t="n">
        <f aca="false">RANK(F43,$F$2:$F$350,0)</f>
        <v>175</v>
      </c>
      <c r="W43" s="12" t="n">
        <v>360.5</v>
      </c>
      <c r="X43" s="10" t="n">
        <v>93</v>
      </c>
      <c r="Y43" s="3" t="s">
        <v>58</v>
      </c>
      <c r="Z43" s="3" t="s">
        <v>115</v>
      </c>
      <c r="AA43" s="13" t="s">
        <v>59</v>
      </c>
      <c r="AB43" s="11" t="n">
        <v>26.18</v>
      </c>
    </row>
    <row r="44" customFormat="false" ht="16.4" hidden="false" customHeight="false" outlineLevel="0" collapsed="false">
      <c r="A44" s="3" t="n">
        <v>43</v>
      </c>
      <c r="B44" s="3" t="n">
        <v>2</v>
      </c>
      <c r="C44" s="3" t="s">
        <v>116</v>
      </c>
      <c r="D44" s="10" t="n">
        <v>17173</v>
      </c>
      <c r="E44" s="10" t="n">
        <f aca="false">ROUND(D44*INDEX(مناطق!$AF$2:$AF$23,B44),0)</f>
        <v>15783</v>
      </c>
      <c r="F44" s="11" t="n">
        <f aca="false">ROUND(100*(راهنما!$B$4*(H44-MIN($H$2:$H$350))/(MAX($H$2:$H$350)-MIN($H$2:$H$350))+راهنما!$B$5*(N44-MIN($N$2:$N$350))/(MAX($N$2:$N$350)-MIN($N$2:$N$350))+راهنما!$B$6*(J44-MIN($J$2:$J$350))/(MAX($J$2:$J$350)-MIN($J$2:$J$350))+راهنما!$B$7*(MAX($I$2:$I$350)-I44)/(MAX($I$2:$I$350)-MIN($I$2:$I$350)))/راهنما!$B$8,1)</f>
        <v>48.6</v>
      </c>
      <c r="G44" s="3" t="str">
        <f aca="false">IF(V44&lt;=ROUND(349*0.2,0),"بسیار بالا",IF(V44&lt;=ROUND(349*0.4,0),"بالا",IF(V44&lt;=ROUND(349*0.6,0),"متوسط",IF(V44&lt;=ROUND(349*0.8,0),"پایین","بسیار پایین"))))</f>
        <v>متوسط</v>
      </c>
      <c r="H44" s="11" t="n">
        <f aca="false">(100-I44)*(100-L44)/100</f>
        <v>69.701853</v>
      </c>
      <c r="I44" s="11" t="n">
        <v>13.81</v>
      </c>
      <c r="J44" s="11" t="n">
        <v>32.14</v>
      </c>
      <c r="K44" s="11" t="n">
        <f aca="false">J44/(1-I44/100)</f>
        <v>37.2897087829215</v>
      </c>
      <c r="L44" s="11" t="n">
        <v>19.13</v>
      </c>
      <c r="M44" s="11" t="n">
        <v>33.66</v>
      </c>
      <c r="N44" s="11" t="n">
        <v>48.11</v>
      </c>
      <c r="O44" s="11" t="n">
        <v>3.89</v>
      </c>
      <c r="P44" s="10" t="n">
        <f aca="false">ROUND(E44*J44/100,0)</f>
        <v>5073</v>
      </c>
      <c r="Q44" s="10" t="n">
        <f aca="false">ROUND(P44*I44/(100-I44),0)</f>
        <v>813</v>
      </c>
      <c r="R44" s="10" t="n">
        <f aca="false">ROUND(P44*(100-L44)/100,0)</f>
        <v>4103</v>
      </c>
      <c r="S44" s="10" t="n">
        <f aca="false">ROUND(P44*M44/100,0)</f>
        <v>1708</v>
      </c>
      <c r="T44" s="11" t="n">
        <v>69.19</v>
      </c>
      <c r="U44" s="11" t="n">
        <v>70.21</v>
      </c>
      <c r="V44" s="3" t="n">
        <f aca="false">RANK(F44,$F$2:$F$350,0)</f>
        <v>184</v>
      </c>
      <c r="W44" s="12" t="n">
        <v>343.6</v>
      </c>
      <c r="X44" s="10" t="n">
        <v>93</v>
      </c>
      <c r="Y44" s="3" t="s">
        <v>58</v>
      </c>
      <c r="Z44" s="3" t="s">
        <v>117</v>
      </c>
      <c r="AA44" s="13" t="s">
        <v>59</v>
      </c>
      <c r="AB44" s="11" t="n">
        <v>24.47</v>
      </c>
    </row>
    <row r="45" customFormat="false" ht="16.4" hidden="false" customHeight="false" outlineLevel="0" collapsed="false">
      <c r="A45" s="3" t="n">
        <v>44</v>
      </c>
      <c r="B45" s="3" t="n">
        <v>2</v>
      </c>
      <c r="C45" s="3" t="s">
        <v>118</v>
      </c>
      <c r="D45" s="10" t="n">
        <v>26267</v>
      </c>
      <c r="E45" s="10" t="n">
        <f aca="false">ROUND(D45*INDEX(مناطق!$AF$2:$AF$23,B45),0)</f>
        <v>24141</v>
      </c>
      <c r="F45" s="11" t="n">
        <f aca="false">ROUND(100*(راهنما!$B$4*(H45-MIN($H$2:$H$350))/(MAX($H$2:$H$350)-MIN($H$2:$H$350))+راهنما!$B$5*(N45-MIN($N$2:$N$350))/(MAX($N$2:$N$350)-MIN($N$2:$N$350))+راهنما!$B$6*(J45-MIN($J$2:$J$350))/(MAX($J$2:$J$350)-MIN($J$2:$J$350))+راهنما!$B$7*(MAX($I$2:$I$350)-I45)/(MAX($I$2:$I$350)-MIN($I$2:$I$350)))/راهنما!$B$8,1)</f>
        <v>47.1</v>
      </c>
      <c r="G45" s="3" t="str">
        <f aca="false">IF(V45&lt;=ROUND(349*0.2,0),"بسیار بالا",IF(V45&lt;=ROUND(349*0.4,0),"بالا",IF(V45&lt;=ROUND(349*0.6,0),"متوسط",IF(V45&lt;=ROUND(349*0.8,0),"پایین","بسیار پایین"))))</f>
        <v>متوسط</v>
      </c>
      <c r="H45" s="11" t="n">
        <f aca="false">(100-I45)*(100-L45)/100</f>
        <v>69.348474</v>
      </c>
      <c r="I45" s="11" t="n">
        <v>13.81</v>
      </c>
      <c r="J45" s="11" t="n">
        <v>32.22</v>
      </c>
      <c r="K45" s="11" t="n">
        <f aca="false">J45/(1-I45/100)</f>
        <v>37.3825269752872</v>
      </c>
      <c r="L45" s="11" t="n">
        <v>19.54</v>
      </c>
      <c r="M45" s="11" t="n">
        <v>33.66</v>
      </c>
      <c r="N45" s="11" t="n">
        <v>45.81</v>
      </c>
      <c r="O45" s="11" t="n">
        <v>4.01</v>
      </c>
      <c r="P45" s="10" t="n">
        <f aca="false">ROUND(E45*J45/100,0)</f>
        <v>7778</v>
      </c>
      <c r="Q45" s="10" t="n">
        <f aca="false">ROUND(P45*I45/(100-I45),0)</f>
        <v>1246</v>
      </c>
      <c r="R45" s="10" t="n">
        <f aca="false">ROUND(P45*(100-L45)/100,0)</f>
        <v>6258</v>
      </c>
      <c r="S45" s="10" t="n">
        <f aca="false">ROUND(P45*M45/100,0)</f>
        <v>2618</v>
      </c>
      <c r="T45" s="11" t="n">
        <v>68.68</v>
      </c>
      <c r="U45" s="11" t="n">
        <v>70.01</v>
      </c>
      <c r="V45" s="3" t="n">
        <f aca="false">RANK(F45,$F$2:$F$350,0)</f>
        <v>199</v>
      </c>
      <c r="W45" s="12" t="n">
        <v>307.4</v>
      </c>
      <c r="X45" s="10" t="n">
        <v>95</v>
      </c>
      <c r="Y45" s="3" t="s">
        <v>119</v>
      </c>
      <c r="Z45" s="3" t="s">
        <v>120</v>
      </c>
      <c r="AA45" s="13" t="s">
        <v>63</v>
      </c>
      <c r="AB45" s="11" t="n">
        <v>22.89</v>
      </c>
    </row>
    <row r="46" customFormat="false" ht="16.4" hidden="false" customHeight="false" outlineLevel="0" collapsed="false">
      <c r="A46" s="3" t="n">
        <v>45</v>
      </c>
      <c r="B46" s="3" t="n">
        <v>2</v>
      </c>
      <c r="C46" s="3" t="s">
        <v>121</v>
      </c>
      <c r="D46" s="10" t="n">
        <v>42945</v>
      </c>
      <c r="E46" s="10" t="n">
        <f aca="false">ROUND(D46*INDEX(مناطق!$AF$2:$AF$23,B46),0)</f>
        <v>39469</v>
      </c>
      <c r="F46" s="11" t="n">
        <f aca="false">ROUND(100*(راهنما!$B$4*(H46-MIN($H$2:$H$350))/(MAX($H$2:$H$350)-MIN($H$2:$H$350))+راهنما!$B$5*(N46-MIN($N$2:$N$350))/(MAX($N$2:$N$350)-MIN($N$2:$N$350))+راهنما!$B$6*(J46-MIN($J$2:$J$350))/(MAX($J$2:$J$350)-MIN($J$2:$J$350))+راهنما!$B$7*(MAX($I$2:$I$350)-I46)/(MAX($I$2:$I$350)-MIN($I$2:$I$350)))/راهنما!$B$8,1)</f>
        <v>45.7</v>
      </c>
      <c r="G46" s="3" t="str">
        <f aca="false">IF(V46&lt;=ROUND(349*0.2,0),"بسیار بالا",IF(V46&lt;=ROUND(349*0.4,0),"بالا",IF(V46&lt;=ROUND(349*0.6,0),"متوسط",IF(V46&lt;=ROUND(349*0.8,0),"پایین","بسیار پایین"))))</f>
        <v>متوسط</v>
      </c>
      <c r="H46" s="11" t="n">
        <f aca="false">(100-I46)*(100-L46)/100</f>
        <v>69.020952</v>
      </c>
      <c r="I46" s="11" t="n">
        <v>13.81</v>
      </c>
      <c r="J46" s="11" t="n">
        <v>32.29</v>
      </c>
      <c r="K46" s="11" t="n">
        <f aca="false">J46/(1-I46/100)</f>
        <v>37.4637428936072</v>
      </c>
      <c r="L46" s="11" t="n">
        <v>19.92</v>
      </c>
      <c r="M46" s="11" t="n">
        <v>33.66</v>
      </c>
      <c r="N46" s="11" t="n">
        <v>43.68</v>
      </c>
      <c r="O46" s="11" t="n">
        <v>4.13</v>
      </c>
      <c r="P46" s="10" t="n">
        <f aca="false">ROUND(E46*J46/100,0)</f>
        <v>12745</v>
      </c>
      <c r="Q46" s="10" t="n">
        <f aca="false">ROUND(P46*I46/(100-I46),0)</f>
        <v>2042</v>
      </c>
      <c r="R46" s="10" t="n">
        <f aca="false">ROUND(P46*(100-L46)/100,0)</f>
        <v>10206</v>
      </c>
      <c r="S46" s="10" t="n">
        <f aca="false">ROUND(P46*M46/100,0)</f>
        <v>4290</v>
      </c>
      <c r="T46" s="11" t="n">
        <v>68.19</v>
      </c>
      <c r="U46" s="11" t="n">
        <v>69.82</v>
      </c>
      <c r="V46" s="3" t="n">
        <f aca="false">RANK(F46,$F$2:$F$350,0)</f>
        <v>208</v>
      </c>
      <c r="W46" s="12" t="n">
        <v>279.5</v>
      </c>
      <c r="X46" s="10" t="n">
        <v>92</v>
      </c>
      <c r="Y46" s="3" t="s">
        <v>67</v>
      </c>
      <c r="Z46" s="3" t="s">
        <v>121</v>
      </c>
      <c r="AA46" s="13" t="s">
        <v>59</v>
      </c>
      <c r="AB46" s="11" t="n">
        <v>21.49</v>
      </c>
    </row>
    <row r="47" customFormat="false" ht="16.4" hidden="false" customHeight="false" outlineLevel="0" collapsed="false">
      <c r="A47" s="3" t="n">
        <v>46</v>
      </c>
      <c r="B47" s="3" t="n">
        <v>2</v>
      </c>
      <c r="C47" s="3" t="s">
        <v>122</v>
      </c>
      <c r="D47" s="10" t="n">
        <v>34358</v>
      </c>
      <c r="E47" s="10" t="n">
        <f aca="false">ROUND(D47*INDEX(مناطق!$AF$2:$AF$23,B47),0)</f>
        <v>31577</v>
      </c>
      <c r="F47" s="11" t="n">
        <f aca="false">ROUND(100*(راهنما!$B$4*(H47-MIN($H$2:$H$350))/(MAX($H$2:$H$350)-MIN($H$2:$H$350))+راهنما!$B$5*(N47-MIN($N$2:$N$350))/(MAX($N$2:$N$350)-MIN($N$2:$N$350))+راهنما!$B$6*(J47-MIN($J$2:$J$350))/(MAX($J$2:$J$350)-MIN($J$2:$J$350))+راهنما!$B$7*(MAX($I$2:$I$350)-I47)/(MAX($I$2:$I$350)-MIN($I$2:$I$350)))/راهنما!$B$8,1)</f>
        <v>43.4</v>
      </c>
      <c r="G47" s="3" t="str">
        <f aca="false">IF(V47&lt;=ROUND(349*0.2,0),"بسیار بالا",IF(V47&lt;=ROUND(349*0.4,0),"بالا",IF(V47&lt;=ROUND(349*0.6,0),"متوسط",IF(V47&lt;=ROUND(349*0.8,0),"پایین","بسیار پایین"))))</f>
        <v>پایین</v>
      </c>
      <c r="H47" s="11" t="n">
        <f aca="false">(100-I47)*(100-L47)/100</f>
        <v>68.495193</v>
      </c>
      <c r="I47" s="11" t="n">
        <v>13.81</v>
      </c>
      <c r="J47" s="11" t="n">
        <v>32.4</v>
      </c>
      <c r="K47" s="11" t="n">
        <f aca="false">J47/(1-I47/100)</f>
        <v>37.59136790811</v>
      </c>
      <c r="L47" s="11" t="n">
        <v>20.53</v>
      </c>
      <c r="M47" s="11" t="n">
        <v>33.66</v>
      </c>
      <c r="N47" s="11" t="n">
        <v>40.44</v>
      </c>
      <c r="O47" s="11" t="n">
        <v>4.33</v>
      </c>
      <c r="P47" s="10" t="n">
        <f aca="false">ROUND(E47*J47/100,0)</f>
        <v>10231</v>
      </c>
      <c r="Q47" s="10" t="n">
        <f aca="false">ROUND(P47*I47/(100-I47),0)</f>
        <v>1639</v>
      </c>
      <c r="R47" s="10" t="n">
        <f aca="false">ROUND(P47*(100-L47)/100,0)</f>
        <v>8131</v>
      </c>
      <c r="S47" s="10" t="n">
        <f aca="false">ROUND(P47*M47/100,0)</f>
        <v>3444</v>
      </c>
      <c r="T47" s="11" t="n">
        <v>67.42</v>
      </c>
      <c r="U47" s="11" t="n">
        <v>69.53</v>
      </c>
      <c r="V47" s="3" t="n">
        <f aca="false">RANK(F47,$F$2:$F$350,0)</f>
        <v>231</v>
      </c>
      <c r="W47" s="12" t="n">
        <v>291.7</v>
      </c>
      <c r="X47" s="10" t="n">
        <v>88</v>
      </c>
      <c r="Y47" s="3" t="s">
        <v>58</v>
      </c>
      <c r="Z47" s="3" t="s">
        <v>122</v>
      </c>
      <c r="AA47" s="13" t="s">
        <v>59</v>
      </c>
      <c r="AB47" s="11" t="n">
        <v>19.44</v>
      </c>
    </row>
    <row r="48" customFormat="false" ht="16.4" hidden="false" customHeight="false" outlineLevel="0" collapsed="false">
      <c r="A48" s="3" t="n">
        <v>47</v>
      </c>
      <c r="B48" s="3" t="n">
        <v>2</v>
      </c>
      <c r="C48" s="3" t="s">
        <v>123</v>
      </c>
      <c r="D48" s="10" t="n">
        <v>25110</v>
      </c>
      <c r="E48" s="10" t="n">
        <f aca="false">ROUND(D48*INDEX(مناطق!$AF$2:$AF$23,B48),0)</f>
        <v>23078</v>
      </c>
      <c r="F48" s="11" t="n">
        <f aca="false">ROUND(100*(راهنما!$B$4*(H48-MIN($H$2:$H$350))/(MAX($H$2:$H$350)-MIN($H$2:$H$350))+راهنما!$B$5*(N48-MIN($N$2:$N$350))/(MAX($N$2:$N$350)-MIN($N$2:$N$350))+راهنما!$B$6*(J48-MIN($J$2:$J$350))/(MAX($J$2:$J$350)-MIN($J$2:$J$350))+راهنما!$B$7*(MAX($I$2:$I$350)-I48)/(MAX($I$2:$I$350)-MIN($I$2:$I$350)))/راهنما!$B$8,1)</f>
        <v>42.3</v>
      </c>
      <c r="G48" s="3" t="str">
        <f aca="false">IF(V48&lt;=ROUND(349*0.2,0),"بسیار بالا",IF(V48&lt;=ROUND(349*0.4,0),"بالا",IF(V48&lt;=ROUND(349*0.6,0),"متوسط",IF(V48&lt;=ROUND(349*0.8,0),"پایین","بسیار پایین"))))</f>
        <v>پایین</v>
      </c>
      <c r="H48" s="11" t="n">
        <f aca="false">(100-I48)*(100-L48)/100</f>
        <v>68.210766</v>
      </c>
      <c r="I48" s="11" t="n">
        <v>13.81</v>
      </c>
      <c r="J48" s="11" t="n">
        <v>32.46</v>
      </c>
      <c r="K48" s="11" t="n">
        <f aca="false">J48/(1-I48/100)</f>
        <v>37.6609815523843</v>
      </c>
      <c r="L48" s="11" t="n">
        <v>20.86</v>
      </c>
      <c r="M48" s="11" t="n">
        <v>33.66</v>
      </c>
      <c r="N48" s="11" t="n">
        <v>38.75</v>
      </c>
      <c r="O48" s="11" t="n">
        <v>4.43</v>
      </c>
      <c r="P48" s="10" t="n">
        <f aca="false">ROUND(E48*J48/100,0)</f>
        <v>7491</v>
      </c>
      <c r="Q48" s="10" t="n">
        <f aca="false">ROUND(P48*I48/(100-I48),0)</f>
        <v>1200</v>
      </c>
      <c r="R48" s="10" t="n">
        <f aca="false">ROUND(P48*(100-L48)/100,0)</f>
        <v>5928</v>
      </c>
      <c r="S48" s="10" t="n">
        <f aca="false">ROUND(P48*M48/100,0)</f>
        <v>2521</v>
      </c>
      <c r="T48" s="11" t="n">
        <v>67</v>
      </c>
      <c r="U48" s="11" t="n">
        <v>69.37</v>
      </c>
      <c r="V48" s="3" t="n">
        <f aca="false">RANK(F48,$F$2:$F$350,0)</f>
        <v>240</v>
      </c>
      <c r="W48" s="12" t="n">
        <v>252.9</v>
      </c>
      <c r="X48" s="10" t="n">
        <v>87</v>
      </c>
      <c r="Y48" s="3" t="s">
        <v>58</v>
      </c>
      <c r="Z48" s="3" t="s">
        <v>123</v>
      </c>
      <c r="AA48" s="13" t="s">
        <v>59</v>
      </c>
      <c r="AB48" s="11" t="n">
        <v>18.42</v>
      </c>
    </row>
    <row r="49" customFormat="false" ht="16.4" hidden="false" customHeight="false" outlineLevel="0" collapsed="false">
      <c r="A49" s="3" t="n">
        <v>48</v>
      </c>
      <c r="B49" s="3" t="n">
        <v>2</v>
      </c>
      <c r="C49" s="3" t="s">
        <v>124</v>
      </c>
      <c r="D49" s="10" t="n">
        <v>13807</v>
      </c>
      <c r="E49" s="10" t="n">
        <f aca="false">ROUND(D49*INDEX(مناطق!$AF$2:$AF$23,B49),0)</f>
        <v>12690</v>
      </c>
      <c r="F49" s="11" t="n">
        <f aca="false">ROUND(100*(راهنما!$B$4*(H49-MIN($H$2:$H$350))/(MAX($H$2:$H$350)-MIN($H$2:$H$350))+راهنما!$B$5*(N49-MIN($N$2:$N$350))/(MAX($N$2:$N$350)-MIN($N$2:$N$350))+راهنما!$B$6*(J49-MIN($J$2:$J$350))/(MAX($J$2:$J$350)-MIN($J$2:$J$350))+راهنما!$B$7*(MAX($I$2:$I$350)-I49)/(MAX($I$2:$I$350)-MIN($I$2:$I$350)))/راهنما!$B$8,1)</f>
        <v>41.5</v>
      </c>
      <c r="G49" s="3" t="str">
        <f aca="false">IF(V49&lt;=ROUND(349*0.2,0),"بسیار بالا",IF(V49&lt;=ROUND(349*0.4,0),"بالا",IF(V49&lt;=ROUND(349*0.6,0),"متوسط",IF(V49&lt;=ROUND(349*0.8,0),"پایین","بسیار پایین"))))</f>
        <v>پایین</v>
      </c>
      <c r="H49" s="11" t="n">
        <f aca="false">(100-I49)*(100-L49)/100</f>
        <v>68.012529</v>
      </c>
      <c r="I49" s="11" t="n">
        <v>13.81</v>
      </c>
      <c r="J49" s="11" t="n">
        <v>32.5</v>
      </c>
      <c r="K49" s="11" t="n">
        <f aca="false">J49/(1-I49/100)</f>
        <v>37.7073906485671</v>
      </c>
      <c r="L49" s="11" t="n">
        <v>21.09</v>
      </c>
      <c r="M49" s="11" t="n">
        <v>33.66</v>
      </c>
      <c r="N49" s="11" t="n">
        <v>37.6</v>
      </c>
      <c r="O49" s="11" t="n">
        <v>4.5</v>
      </c>
      <c r="P49" s="10" t="n">
        <f aca="false">ROUND(E49*J49/100,0)</f>
        <v>4124</v>
      </c>
      <c r="Q49" s="10" t="n">
        <f aca="false">ROUND(P49*I49/(100-I49),0)</f>
        <v>661</v>
      </c>
      <c r="R49" s="10" t="n">
        <f aca="false">ROUND(P49*(100-L49)/100,0)</f>
        <v>3254</v>
      </c>
      <c r="S49" s="10" t="n">
        <f aca="false">ROUND(P49*M49/100,0)</f>
        <v>1388</v>
      </c>
      <c r="T49" s="11" t="n">
        <v>66.71</v>
      </c>
      <c r="U49" s="11" t="n">
        <v>69.26</v>
      </c>
      <c r="V49" s="3" t="n">
        <f aca="false">RANK(F49,$F$2:$F$350,0)</f>
        <v>245</v>
      </c>
      <c r="W49" s="12" t="n">
        <v>283</v>
      </c>
      <c r="X49" s="10" t="n">
        <v>5</v>
      </c>
      <c r="Y49" s="3" t="s">
        <v>58</v>
      </c>
      <c r="Z49" s="3" t="s">
        <v>124</v>
      </c>
      <c r="AA49" s="13" t="s">
        <v>125</v>
      </c>
      <c r="AB49" s="11" t="n">
        <v>17.74</v>
      </c>
    </row>
    <row r="50" customFormat="false" ht="16.4" hidden="false" customHeight="false" outlineLevel="0" collapsed="false">
      <c r="A50" s="3" t="n">
        <v>49</v>
      </c>
      <c r="B50" s="3" t="n">
        <v>3</v>
      </c>
      <c r="C50" s="3" t="s">
        <v>126</v>
      </c>
      <c r="D50" s="10" t="n">
        <v>32355</v>
      </c>
      <c r="E50" s="10" t="n">
        <f aca="false">ROUND(D50*INDEX(مناطق!$AF$2:$AF$23,B50),0)</f>
        <v>29831</v>
      </c>
      <c r="F50" s="11" t="n">
        <f aca="false">ROUND(100*(راهنما!$B$4*(H50-MIN($H$2:$H$350))/(MAX($H$2:$H$350)-MIN($H$2:$H$350))+راهنما!$B$5*(N50-MIN($N$2:$N$350))/(MAX($N$2:$N$350)-MIN($N$2:$N$350))+راهنما!$B$6*(J50-MIN($J$2:$J$350))/(MAX($J$2:$J$350)-MIN($J$2:$J$350))+راهنما!$B$7*(MAX($I$2:$I$350)-I50)/(MAX($I$2:$I$350)-MIN($I$2:$I$350)))/راهنما!$B$8,1)</f>
        <v>78.2</v>
      </c>
      <c r="G50" s="3" t="str">
        <f aca="false">IF(V50&lt;=ROUND(349*0.2,0),"بسیار بالا",IF(V50&lt;=ROUND(349*0.4,0),"بالا",IF(V50&lt;=ROUND(349*0.6,0),"متوسط",IF(V50&lt;=ROUND(349*0.8,0),"پایین","بسیار پایین"))))</f>
        <v>بسیار بالا</v>
      </c>
      <c r="H50" s="11" t="n">
        <f aca="false">(100-I50)*(100-L50)/100</f>
        <v>75.887063</v>
      </c>
      <c r="I50" s="11" t="n">
        <v>11.79</v>
      </c>
      <c r="J50" s="11" t="n">
        <v>32.2</v>
      </c>
      <c r="K50" s="11" t="n">
        <f aca="false">J50/(1-I50/100)</f>
        <v>36.5037977553565</v>
      </c>
      <c r="L50" s="11" t="n">
        <v>13.97</v>
      </c>
      <c r="M50" s="11" t="n">
        <v>27.11</v>
      </c>
      <c r="N50" s="11" t="n">
        <v>71.6</v>
      </c>
      <c r="O50" s="11" t="n">
        <v>4.27</v>
      </c>
      <c r="P50" s="10" t="n">
        <f aca="false">ROUND(E50*J50/100,0)</f>
        <v>9606</v>
      </c>
      <c r="Q50" s="10" t="n">
        <f aca="false">ROUND(P50*I50/(100-I50),0)</f>
        <v>1284</v>
      </c>
      <c r="R50" s="10" t="n">
        <f aca="false">ROUND(P50*(100-L50)/100,0)</f>
        <v>8264</v>
      </c>
      <c r="S50" s="10" t="n">
        <f aca="false">ROUND(P50*M50/100,0)</f>
        <v>2604</v>
      </c>
      <c r="T50" s="11" t="n">
        <v>75.15</v>
      </c>
      <c r="U50" s="11" t="n">
        <v>76.58</v>
      </c>
      <c r="V50" s="3" t="n">
        <f aca="false">RANK(F50,$F$2:$F$350,0)</f>
        <v>2</v>
      </c>
      <c r="W50" s="12" t="n">
        <v>678.9</v>
      </c>
      <c r="X50" s="10" t="n">
        <v>92</v>
      </c>
      <c r="Y50" s="3" t="s">
        <v>58</v>
      </c>
      <c r="Z50" s="3" t="s">
        <v>126</v>
      </c>
      <c r="AA50" s="13" t="s">
        <v>59</v>
      </c>
      <c r="AB50" s="11" t="n">
        <v>46.45</v>
      </c>
    </row>
    <row r="51" customFormat="false" ht="16.4" hidden="false" customHeight="false" outlineLevel="0" collapsed="false">
      <c r="A51" s="3" t="n">
        <v>50</v>
      </c>
      <c r="B51" s="3" t="n">
        <v>3</v>
      </c>
      <c r="C51" s="3" t="s">
        <v>127</v>
      </c>
      <c r="D51" s="10" t="n">
        <v>17192</v>
      </c>
      <c r="E51" s="10" t="n">
        <f aca="false">ROUND(D51*INDEX(مناطق!$AF$2:$AF$23,B51),0)</f>
        <v>15851</v>
      </c>
      <c r="F51" s="11" t="n">
        <f aca="false">ROUND(100*(راهنما!$B$4*(H51-MIN($H$2:$H$350))/(MAX($H$2:$H$350)-MIN($H$2:$H$350))+راهنما!$B$5*(N51-MIN($N$2:$N$350))/(MAX($N$2:$N$350)-MIN($N$2:$N$350))+راهنما!$B$6*(J51-MIN($J$2:$J$350))/(MAX($J$2:$J$350)-MIN($J$2:$J$350))+راهنما!$B$7*(MAX($I$2:$I$350)-I51)/(MAX($I$2:$I$350)-MIN($I$2:$I$350)))/راهنما!$B$8,1)</f>
        <v>71.2</v>
      </c>
      <c r="G51" s="3" t="str">
        <f aca="false">IF(V51&lt;=ROUND(349*0.2,0),"بسیار بالا",IF(V51&lt;=ROUND(349*0.4,0),"بالا",IF(V51&lt;=ROUND(349*0.6,0),"متوسط",IF(V51&lt;=ROUND(349*0.8,0),"پایین","بسیار پایین"))))</f>
        <v>بسیار بالا</v>
      </c>
      <c r="H51" s="11" t="n">
        <f aca="false">(100-I51)*(100-L51)/100</f>
        <v>74.27282</v>
      </c>
      <c r="I51" s="11" t="n">
        <v>11.79</v>
      </c>
      <c r="J51" s="11" t="n">
        <v>32.63</v>
      </c>
      <c r="K51" s="11" t="n">
        <f aca="false">J51/(1-I51/100)</f>
        <v>36.9912708309716</v>
      </c>
      <c r="L51" s="11" t="n">
        <v>15.8</v>
      </c>
      <c r="M51" s="11" t="n">
        <v>27.11</v>
      </c>
      <c r="N51" s="11" t="n">
        <v>60.23</v>
      </c>
      <c r="O51" s="11" t="n">
        <v>5.07</v>
      </c>
      <c r="P51" s="10" t="n">
        <f aca="false">ROUND(E51*J51/100,0)</f>
        <v>5172</v>
      </c>
      <c r="Q51" s="10" t="n">
        <f aca="false">ROUND(P51*I51/(100-I51),0)</f>
        <v>691</v>
      </c>
      <c r="R51" s="10" t="n">
        <f aca="false">ROUND(P51*(100-L51)/100,0)</f>
        <v>4355</v>
      </c>
      <c r="S51" s="10" t="n">
        <f aca="false">ROUND(P51*M51/100,0)</f>
        <v>1402</v>
      </c>
      <c r="T51" s="11" t="n">
        <v>74.19</v>
      </c>
      <c r="U51" s="11" t="n">
        <v>74.36</v>
      </c>
      <c r="V51" s="3" t="n">
        <f aca="false">RANK(F51,$F$2:$F$350,0)</f>
        <v>6</v>
      </c>
      <c r="W51" s="12" t="n">
        <v>450</v>
      </c>
      <c r="X51" s="10" t="n">
        <v>92</v>
      </c>
      <c r="Y51" s="3" t="s">
        <v>58</v>
      </c>
      <c r="Z51" s="3" t="s">
        <v>127</v>
      </c>
      <c r="AA51" s="13" t="s">
        <v>59</v>
      </c>
      <c r="AB51" s="11" t="n">
        <v>34.9</v>
      </c>
    </row>
    <row r="52" customFormat="false" ht="16.4" hidden="false" customHeight="false" outlineLevel="0" collapsed="false">
      <c r="A52" s="3" t="n">
        <v>51</v>
      </c>
      <c r="B52" s="3" t="n">
        <v>3</v>
      </c>
      <c r="C52" s="3" t="s">
        <v>128</v>
      </c>
      <c r="D52" s="10" t="n">
        <v>26745</v>
      </c>
      <c r="E52" s="10" t="n">
        <f aca="false">ROUND(D52*INDEX(مناطق!$AF$2:$AF$23,B52),0)</f>
        <v>24659</v>
      </c>
      <c r="F52" s="11" t="n">
        <f aca="false">ROUND(100*(راهنما!$B$4*(H52-MIN($H$2:$H$350))/(MAX($H$2:$H$350)-MIN($H$2:$H$350))+راهنما!$B$5*(N52-MIN($N$2:$N$350))/(MAX($N$2:$N$350)-MIN($N$2:$N$350))+راهنما!$B$6*(J52-MIN($J$2:$J$350))/(MAX($J$2:$J$350)-MIN($J$2:$J$350))+راهنما!$B$7*(MAX($I$2:$I$350)-I52)/(MAX($I$2:$I$350)-MIN($I$2:$I$350)))/راهنما!$B$8,1)</f>
        <v>71.1</v>
      </c>
      <c r="G52" s="3" t="str">
        <f aca="false">IF(V52&lt;=ROUND(349*0.2,0),"بسیار بالا",IF(V52&lt;=ROUND(349*0.4,0),"بالا",IF(V52&lt;=ROUND(349*0.6,0),"متوسط",IF(V52&lt;=ROUND(349*0.8,0),"پایین","بسیار پایین"))))</f>
        <v>بسیار بالا</v>
      </c>
      <c r="H52" s="11" t="n">
        <f aca="false">(100-I52)*(100-L52)/100</f>
        <v>74.263999</v>
      </c>
      <c r="I52" s="11" t="n">
        <v>11.79</v>
      </c>
      <c r="J52" s="11" t="n">
        <v>32.63</v>
      </c>
      <c r="K52" s="11" t="n">
        <f aca="false">J52/(1-I52/100)</f>
        <v>36.9912708309716</v>
      </c>
      <c r="L52" s="11" t="n">
        <v>15.81</v>
      </c>
      <c r="M52" s="11" t="n">
        <v>27.11</v>
      </c>
      <c r="N52" s="11" t="n">
        <v>60.11</v>
      </c>
      <c r="O52" s="11" t="n">
        <v>5.08</v>
      </c>
      <c r="P52" s="10" t="n">
        <f aca="false">ROUND(E52*J52/100,0)</f>
        <v>8046</v>
      </c>
      <c r="Q52" s="10" t="n">
        <f aca="false">ROUND(P52*I52/(100-I52),0)</f>
        <v>1075</v>
      </c>
      <c r="R52" s="10" t="n">
        <f aca="false">ROUND(P52*(100-L52)/100,0)</f>
        <v>6774</v>
      </c>
      <c r="S52" s="10" t="n">
        <f aca="false">ROUND(P52*M52/100,0)</f>
        <v>2181</v>
      </c>
      <c r="T52" s="11" t="n">
        <v>74.18</v>
      </c>
      <c r="U52" s="11" t="n">
        <v>74.34</v>
      </c>
      <c r="V52" s="3" t="n">
        <f aca="false">RANK(F52,$F$2:$F$350,0)</f>
        <v>7</v>
      </c>
      <c r="W52" s="12" t="n">
        <v>464.3</v>
      </c>
      <c r="X52" s="10" t="n">
        <v>93</v>
      </c>
      <c r="Y52" s="3" t="s">
        <v>58</v>
      </c>
      <c r="Z52" s="3" t="s">
        <v>128</v>
      </c>
      <c r="AA52" s="13" t="s">
        <v>59</v>
      </c>
      <c r="AB52" s="11" t="n">
        <v>34.79</v>
      </c>
    </row>
    <row r="53" customFormat="false" ht="16.4" hidden="false" customHeight="false" outlineLevel="0" collapsed="false">
      <c r="A53" s="3" t="n">
        <v>52</v>
      </c>
      <c r="B53" s="3" t="n">
        <v>3</v>
      </c>
      <c r="C53" s="3" t="s">
        <v>129</v>
      </c>
      <c r="D53" s="10" t="n">
        <v>19143</v>
      </c>
      <c r="E53" s="10" t="n">
        <f aca="false">ROUND(D53*INDEX(مناطق!$AF$2:$AF$23,B53),0)</f>
        <v>17650</v>
      </c>
      <c r="F53" s="11" t="n">
        <f aca="false">ROUND(100*(راهنما!$B$4*(H53-MIN($H$2:$H$350))/(MAX($H$2:$H$350)-MIN($H$2:$H$350))+راهنما!$B$5*(N53-MIN($N$2:$N$350))/(MAX($N$2:$N$350)-MIN($N$2:$N$350))+راهنما!$B$6*(J53-MIN($J$2:$J$350))/(MAX($J$2:$J$350)-MIN($J$2:$J$350))+راهنما!$B$7*(MAX($I$2:$I$350)-I53)/(MAX($I$2:$I$350)-MIN($I$2:$I$350)))/راهنما!$B$8,1)</f>
        <v>71</v>
      </c>
      <c r="G53" s="3" t="str">
        <f aca="false">IF(V53&lt;=ROUND(349*0.2,0),"بسیار بالا",IF(V53&lt;=ROUND(349*0.4,0),"بالا",IF(V53&lt;=ROUND(349*0.6,0),"متوسط",IF(V53&lt;=ROUND(349*0.8,0),"پایین","بسیار پایین"))))</f>
        <v>بسیار بالا</v>
      </c>
      <c r="H53" s="11" t="n">
        <f aca="false">(100-I53)*(100-L53)/100</f>
        <v>74.228715</v>
      </c>
      <c r="I53" s="11" t="n">
        <v>11.79</v>
      </c>
      <c r="J53" s="11" t="n">
        <v>32.64</v>
      </c>
      <c r="K53" s="11" t="n">
        <f aca="false">J53/(1-I53/100)</f>
        <v>37.0026074141254</v>
      </c>
      <c r="L53" s="11" t="n">
        <v>15.85</v>
      </c>
      <c r="M53" s="11" t="n">
        <v>27.11</v>
      </c>
      <c r="N53" s="11" t="n">
        <v>59.86</v>
      </c>
      <c r="O53" s="11" t="n">
        <v>5.1</v>
      </c>
      <c r="P53" s="10" t="n">
        <f aca="false">ROUND(E53*J53/100,0)</f>
        <v>5761</v>
      </c>
      <c r="Q53" s="10" t="n">
        <f aca="false">ROUND(P53*I53/(100-I53),0)</f>
        <v>770</v>
      </c>
      <c r="R53" s="10" t="n">
        <f aca="false">ROUND(P53*(100-L53)/100,0)</f>
        <v>4848</v>
      </c>
      <c r="S53" s="10" t="n">
        <f aca="false">ROUND(P53*M53/100,0)</f>
        <v>1562</v>
      </c>
      <c r="T53" s="11" t="n">
        <v>74.16</v>
      </c>
      <c r="U53" s="11" t="n">
        <v>74.29</v>
      </c>
      <c r="V53" s="3" t="n">
        <f aca="false">RANK(F53,$F$2:$F$350,0)</f>
        <v>8</v>
      </c>
      <c r="W53" s="12" t="n">
        <v>479.5</v>
      </c>
      <c r="X53" s="10" t="n">
        <v>86</v>
      </c>
      <c r="Y53" s="3" t="s">
        <v>58</v>
      </c>
      <c r="Z53" s="3" t="s">
        <v>129</v>
      </c>
      <c r="AA53" s="13" t="s">
        <v>59</v>
      </c>
      <c r="AB53" s="11" t="n">
        <v>34.56</v>
      </c>
    </row>
    <row r="54" customFormat="false" ht="16.4" hidden="false" customHeight="false" outlineLevel="0" collapsed="false">
      <c r="A54" s="3" t="n">
        <v>53</v>
      </c>
      <c r="B54" s="3" t="n">
        <v>3</v>
      </c>
      <c r="C54" s="3" t="s">
        <v>130</v>
      </c>
      <c r="D54" s="10" t="n">
        <v>56697</v>
      </c>
      <c r="E54" s="10" t="n">
        <f aca="false">ROUND(D54*INDEX(مناطق!$AF$2:$AF$23,B54),0)</f>
        <v>52274</v>
      </c>
      <c r="F54" s="11" t="n">
        <f aca="false">ROUND(100*(راهنما!$B$4*(H54-MIN($H$2:$H$350))/(MAX($H$2:$H$350)-MIN($H$2:$H$350))+راهنما!$B$5*(N54-MIN($N$2:$N$350))/(MAX($N$2:$N$350)-MIN($N$2:$N$350))+راهنما!$B$6*(J54-MIN($J$2:$J$350))/(MAX($J$2:$J$350)-MIN($J$2:$J$350))+راهنما!$B$7*(MAX($I$2:$I$350)-I54)/(MAX($I$2:$I$350)-MIN($I$2:$I$350)))/راهنما!$B$8,1)</f>
        <v>70.7</v>
      </c>
      <c r="G54" s="3" t="str">
        <f aca="false">IF(V54&lt;=ROUND(349*0.2,0),"بسیار بالا",IF(V54&lt;=ROUND(349*0.4,0),"بالا",IF(V54&lt;=ROUND(349*0.6,0),"متوسط",IF(V54&lt;=ROUND(349*0.8,0),"پایین","بسیار پایین"))))</f>
        <v>بسیار بالا</v>
      </c>
      <c r="H54" s="11" t="n">
        <f aca="false">(100-I54)*(100-L54)/100</f>
        <v>74.175789</v>
      </c>
      <c r="I54" s="11" t="n">
        <v>11.79</v>
      </c>
      <c r="J54" s="11" t="n">
        <v>32.65</v>
      </c>
      <c r="K54" s="11" t="n">
        <f aca="false">J54/(1-I54/100)</f>
        <v>37.0139439972792</v>
      </c>
      <c r="L54" s="11" t="n">
        <v>15.91</v>
      </c>
      <c r="M54" s="11" t="n">
        <v>27.11</v>
      </c>
      <c r="N54" s="11" t="n">
        <v>59.53</v>
      </c>
      <c r="O54" s="11" t="n">
        <v>5.12</v>
      </c>
      <c r="P54" s="10" t="n">
        <f aca="false">ROUND(E54*J54/100,0)</f>
        <v>17067</v>
      </c>
      <c r="Q54" s="10" t="n">
        <f aca="false">ROUND(P54*I54/(100-I54),0)</f>
        <v>2281</v>
      </c>
      <c r="R54" s="10" t="n">
        <f aca="false">ROUND(P54*(100-L54)/100,0)</f>
        <v>14352</v>
      </c>
      <c r="S54" s="10" t="n">
        <f aca="false">ROUND(P54*M54/100,0)</f>
        <v>4627</v>
      </c>
      <c r="T54" s="11" t="n">
        <v>74.13</v>
      </c>
      <c r="U54" s="11" t="n">
        <v>74.23</v>
      </c>
      <c r="V54" s="3" t="n">
        <f aca="false">RANK(F54,$F$2:$F$350,0)</f>
        <v>9</v>
      </c>
      <c r="W54" s="12" t="n">
        <v>450</v>
      </c>
      <c r="X54" s="10" t="n">
        <v>91</v>
      </c>
      <c r="Y54" s="3" t="s">
        <v>58</v>
      </c>
      <c r="Z54" s="3" t="s">
        <v>130</v>
      </c>
      <c r="AA54" s="13" t="s">
        <v>59</v>
      </c>
      <c r="AB54" s="11" t="n">
        <v>34.27</v>
      </c>
    </row>
    <row r="55" customFormat="false" ht="16.4" hidden="false" customHeight="false" outlineLevel="0" collapsed="false">
      <c r="A55" s="3" t="n">
        <v>54</v>
      </c>
      <c r="B55" s="3" t="n">
        <v>3</v>
      </c>
      <c r="C55" s="3" t="s">
        <v>131</v>
      </c>
      <c r="D55" s="10" t="n">
        <v>18277</v>
      </c>
      <c r="E55" s="10" t="n">
        <f aca="false">ROUND(D55*INDEX(مناطق!$AF$2:$AF$23,B55),0)</f>
        <v>16851</v>
      </c>
      <c r="F55" s="11" t="n">
        <f aca="false">ROUND(100*(راهنما!$B$4*(H55-MIN($H$2:$H$350))/(MAX($H$2:$H$350)-MIN($H$2:$H$350))+راهنما!$B$5*(N55-MIN($N$2:$N$350))/(MAX($N$2:$N$350)-MIN($N$2:$N$350))+راهنما!$B$6*(J55-MIN($J$2:$J$350))/(MAX($J$2:$J$350)-MIN($J$2:$J$350))+راهنما!$B$7*(MAX($I$2:$I$350)-I55)/(MAX($I$2:$I$350)-MIN($I$2:$I$350)))/راهنما!$B$8,1)</f>
        <v>70.5</v>
      </c>
      <c r="G55" s="3" t="str">
        <f aca="false">IF(V55&lt;=ROUND(349*0.2,0),"بسیار بالا",IF(V55&lt;=ROUND(349*0.4,0),"بالا",IF(V55&lt;=ROUND(349*0.6,0),"متوسط",IF(V55&lt;=ROUND(349*0.8,0),"پایین","بسیار پایین"))))</f>
        <v>بسیار بالا</v>
      </c>
      <c r="H55" s="11" t="n">
        <f aca="false">(100-I55)*(100-L55)/100</f>
        <v>74.122863</v>
      </c>
      <c r="I55" s="11" t="n">
        <v>11.79</v>
      </c>
      <c r="J55" s="11" t="n">
        <v>32.67</v>
      </c>
      <c r="K55" s="11" t="n">
        <f aca="false">J55/(1-I55/100)</f>
        <v>37.0366171635869</v>
      </c>
      <c r="L55" s="11" t="n">
        <v>15.97</v>
      </c>
      <c r="M55" s="11" t="n">
        <v>27.11</v>
      </c>
      <c r="N55" s="11" t="n">
        <v>59.15</v>
      </c>
      <c r="O55" s="11" t="n">
        <v>5.15</v>
      </c>
      <c r="P55" s="10" t="n">
        <f aca="false">ROUND(E55*J55/100,0)</f>
        <v>5505</v>
      </c>
      <c r="Q55" s="10" t="n">
        <f aca="false">ROUND(P55*I55/(100-I55),0)</f>
        <v>736</v>
      </c>
      <c r="R55" s="10" t="n">
        <f aca="false">ROUND(P55*(100-L55)/100,0)</f>
        <v>4626</v>
      </c>
      <c r="S55" s="10" t="n">
        <f aca="false">ROUND(P55*M55/100,0)</f>
        <v>1492</v>
      </c>
      <c r="T55" s="11" t="n">
        <v>74.1</v>
      </c>
      <c r="U55" s="11" t="n">
        <v>74.15</v>
      </c>
      <c r="V55" s="3" t="n">
        <f aca="false">RANK(F55,$F$2:$F$350,0)</f>
        <v>10</v>
      </c>
      <c r="W55" s="12" t="n">
        <v>443</v>
      </c>
      <c r="X55" s="10" t="n">
        <v>93</v>
      </c>
      <c r="Y55" s="3" t="s">
        <v>58</v>
      </c>
      <c r="Z55" s="3" t="s">
        <v>131</v>
      </c>
      <c r="AA55" s="13" t="s">
        <v>59</v>
      </c>
      <c r="AB55" s="11" t="n">
        <v>33.93</v>
      </c>
    </row>
    <row r="56" customFormat="false" ht="16.4" hidden="false" customHeight="false" outlineLevel="0" collapsed="false">
      <c r="A56" s="3" t="n">
        <v>55</v>
      </c>
      <c r="B56" s="3" t="n">
        <v>3</v>
      </c>
      <c r="C56" s="3" t="s">
        <v>132</v>
      </c>
      <c r="D56" s="10" t="n">
        <v>24511</v>
      </c>
      <c r="E56" s="10" t="n">
        <f aca="false">ROUND(D56*INDEX(مناطق!$AF$2:$AF$23,B56),0)</f>
        <v>22599</v>
      </c>
      <c r="F56" s="11" t="n">
        <f aca="false">ROUND(100*(راهنما!$B$4*(H56-MIN($H$2:$H$350))/(MAX($H$2:$H$350)-MIN($H$2:$H$350))+راهنما!$B$5*(N56-MIN($N$2:$N$350))/(MAX($N$2:$N$350)-MIN($N$2:$N$350))+راهنما!$B$6*(J56-MIN($J$2:$J$350))/(MAX($J$2:$J$350)-MIN($J$2:$J$350))+راهنما!$B$7*(MAX($I$2:$I$350)-I56)/(MAX($I$2:$I$350)-MIN($I$2:$I$350)))/راهنما!$B$8,1)</f>
        <v>70.4</v>
      </c>
      <c r="G56" s="3" t="str">
        <f aca="false">IF(V56&lt;=ROUND(349*0.2,0),"بسیار بالا",IF(V56&lt;=ROUND(349*0.4,0),"بالا",IF(V56&lt;=ROUND(349*0.6,0),"متوسط",IF(V56&lt;=ROUND(349*0.8,0),"پایین","بسیار پایین"))))</f>
        <v>بسیار بالا</v>
      </c>
      <c r="H56" s="11" t="n">
        <f aca="false">(100-I56)*(100-L56)/100</f>
        <v>74.0964</v>
      </c>
      <c r="I56" s="11" t="n">
        <v>11.79</v>
      </c>
      <c r="J56" s="11" t="n">
        <v>32.67</v>
      </c>
      <c r="K56" s="11" t="n">
        <f aca="false">J56/(1-I56/100)</f>
        <v>37.0366171635869</v>
      </c>
      <c r="L56" s="11" t="n">
        <v>16</v>
      </c>
      <c r="M56" s="11" t="n">
        <v>27.11</v>
      </c>
      <c r="N56" s="11" t="n">
        <v>58.95</v>
      </c>
      <c r="O56" s="11" t="n">
        <v>5.17</v>
      </c>
      <c r="P56" s="10" t="n">
        <f aca="false">ROUND(E56*J56/100,0)</f>
        <v>7383</v>
      </c>
      <c r="Q56" s="10" t="n">
        <f aca="false">ROUND(P56*I56/(100-I56),0)</f>
        <v>987</v>
      </c>
      <c r="R56" s="10" t="n">
        <f aca="false">ROUND(P56*(100-L56)/100,0)</f>
        <v>6202</v>
      </c>
      <c r="S56" s="10" t="n">
        <f aca="false">ROUND(P56*M56/100,0)</f>
        <v>2002</v>
      </c>
      <c r="T56" s="11" t="n">
        <v>74.08</v>
      </c>
      <c r="U56" s="11" t="n">
        <v>74.11</v>
      </c>
      <c r="V56" s="3" t="n">
        <f aca="false">RANK(F56,$F$2:$F$350,0)</f>
        <v>11</v>
      </c>
      <c r="W56" s="12"/>
      <c r="X56" s="10" t="n">
        <v>0</v>
      </c>
      <c r="Y56" s="3" t="s">
        <v>77</v>
      </c>
      <c r="Z56" s="13" t="s">
        <v>78</v>
      </c>
      <c r="AA56" s="13" t="s">
        <v>79</v>
      </c>
      <c r="AB56" s="11" t="n">
        <v>33.76</v>
      </c>
    </row>
    <row r="57" customFormat="false" ht="16.4" hidden="false" customHeight="false" outlineLevel="0" collapsed="false">
      <c r="A57" s="3" t="n">
        <v>56</v>
      </c>
      <c r="B57" s="3" t="n">
        <v>3</v>
      </c>
      <c r="C57" s="3" t="s">
        <v>133</v>
      </c>
      <c r="D57" s="10" t="n">
        <v>20626</v>
      </c>
      <c r="E57" s="10" t="n">
        <f aca="false">ROUND(D57*INDEX(مناطق!$AF$2:$AF$23,B57),0)</f>
        <v>19017</v>
      </c>
      <c r="F57" s="11" t="n">
        <f aca="false">ROUND(100*(راهنما!$B$4*(H57-MIN($H$2:$H$350))/(MAX($H$2:$H$350)-MIN($H$2:$H$350))+راهنما!$B$5*(N57-MIN($N$2:$N$350))/(MAX($N$2:$N$350)-MIN($N$2:$N$350))+راهنما!$B$6*(J57-MIN($J$2:$J$350))/(MAX($J$2:$J$350)-MIN($J$2:$J$350))+راهنما!$B$7*(MAX($I$2:$I$350)-I57)/(MAX($I$2:$I$350)-MIN($I$2:$I$350)))/راهنما!$B$8,1)</f>
        <v>70.4</v>
      </c>
      <c r="G57" s="3" t="str">
        <f aca="false">IF(V57&lt;=ROUND(349*0.2,0),"بسیار بالا",IF(V57&lt;=ROUND(349*0.4,0),"بالا",IF(V57&lt;=ROUND(349*0.6,0),"متوسط",IF(V57&lt;=ROUND(349*0.8,0),"پایین","بسیار پایین"))))</f>
        <v>بسیار بالا</v>
      </c>
      <c r="H57" s="11" t="n">
        <f aca="false">(100-I57)*(100-L57)/100</f>
        <v>74.0964</v>
      </c>
      <c r="I57" s="11" t="n">
        <v>11.79</v>
      </c>
      <c r="J57" s="11" t="n">
        <v>32.67</v>
      </c>
      <c r="K57" s="11" t="n">
        <f aca="false">J57/(1-I57/100)</f>
        <v>37.0366171635869</v>
      </c>
      <c r="L57" s="11" t="n">
        <v>16</v>
      </c>
      <c r="M57" s="11" t="n">
        <v>27.11</v>
      </c>
      <c r="N57" s="11" t="n">
        <v>58.95</v>
      </c>
      <c r="O57" s="11" t="n">
        <v>5.17</v>
      </c>
      <c r="P57" s="10" t="n">
        <f aca="false">ROUND(E57*J57/100,0)</f>
        <v>6213</v>
      </c>
      <c r="Q57" s="10" t="n">
        <f aca="false">ROUND(P57*I57/(100-I57),0)</f>
        <v>830</v>
      </c>
      <c r="R57" s="10" t="n">
        <f aca="false">ROUND(P57*(100-L57)/100,0)</f>
        <v>5219</v>
      </c>
      <c r="S57" s="10" t="n">
        <f aca="false">ROUND(P57*M57/100,0)</f>
        <v>1684</v>
      </c>
      <c r="T57" s="11" t="n">
        <v>74.08</v>
      </c>
      <c r="U57" s="11" t="n">
        <v>74.11</v>
      </c>
      <c r="V57" s="3" t="n">
        <f aca="false">RANK(F57,$F$2:$F$350,0)</f>
        <v>11</v>
      </c>
      <c r="W57" s="12"/>
      <c r="X57" s="10" t="n">
        <v>0</v>
      </c>
      <c r="Y57" s="3" t="s">
        <v>77</v>
      </c>
      <c r="Z57" s="13" t="s">
        <v>78</v>
      </c>
      <c r="AA57" s="13" t="s">
        <v>79</v>
      </c>
      <c r="AB57" s="11" t="n">
        <v>33.76</v>
      </c>
    </row>
    <row r="58" customFormat="false" ht="16.4" hidden="false" customHeight="false" outlineLevel="0" collapsed="false">
      <c r="A58" s="3" t="n">
        <v>57</v>
      </c>
      <c r="B58" s="3" t="n">
        <v>3</v>
      </c>
      <c r="C58" s="3" t="s">
        <v>134</v>
      </c>
      <c r="D58" s="10" t="n">
        <v>22963</v>
      </c>
      <c r="E58" s="10" t="n">
        <f aca="false">ROUND(D58*INDEX(مناطق!$AF$2:$AF$23,B58),0)</f>
        <v>21172</v>
      </c>
      <c r="F58" s="11" t="n">
        <f aca="false">ROUND(100*(راهنما!$B$4*(H58-MIN($H$2:$H$350))/(MAX($H$2:$H$350)-MIN($H$2:$H$350))+راهنما!$B$5*(N58-MIN($N$2:$N$350))/(MAX($N$2:$N$350)-MIN($N$2:$N$350))+راهنما!$B$6*(J58-MIN($J$2:$J$350))/(MAX($J$2:$J$350)-MIN($J$2:$J$350))+راهنما!$B$7*(MAX($I$2:$I$350)-I58)/(MAX($I$2:$I$350)-MIN($I$2:$I$350)))/راهنما!$B$8,1)</f>
        <v>69.8</v>
      </c>
      <c r="G58" s="3" t="str">
        <f aca="false">IF(V58&lt;=ROUND(349*0.2,0),"بسیار بالا",IF(V58&lt;=ROUND(349*0.4,0),"بالا",IF(V58&lt;=ROUND(349*0.6,0),"متوسط",IF(V58&lt;=ROUND(349*0.8,0),"پایین","بسیار پایین"))))</f>
        <v>بسیار بالا</v>
      </c>
      <c r="H58" s="11" t="n">
        <f aca="false">(100-I58)*(100-L58)/100</f>
        <v>73.964085</v>
      </c>
      <c r="I58" s="11" t="n">
        <v>11.79</v>
      </c>
      <c r="J58" s="11" t="n">
        <v>32.71</v>
      </c>
      <c r="K58" s="11" t="n">
        <f aca="false">J58/(1-I58/100)</f>
        <v>37.0819634962023</v>
      </c>
      <c r="L58" s="11" t="n">
        <v>16.15</v>
      </c>
      <c r="M58" s="11" t="n">
        <v>27.11</v>
      </c>
      <c r="N58" s="11" t="n">
        <v>57.96</v>
      </c>
      <c r="O58" s="11" t="n">
        <v>5.24</v>
      </c>
      <c r="P58" s="10" t="n">
        <f aca="false">ROUND(E58*J58/100,0)</f>
        <v>6925</v>
      </c>
      <c r="Q58" s="10" t="n">
        <f aca="false">ROUND(P58*I58/(100-I58),0)</f>
        <v>926</v>
      </c>
      <c r="R58" s="10" t="n">
        <f aca="false">ROUND(P58*(100-L58)/100,0)</f>
        <v>5807</v>
      </c>
      <c r="S58" s="10" t="n">
        <f aca="false">ROUND(P58*M58/100,0)</f>
        <v>1877</v>
      </c>
      <c r="T58" s="11" t="n">
        <v>73.92</v>
      </c>
      <c r="U58" s="11" t="n">
        <v>74</v>
      </c>
      <c r="V58" s="3" t="n">
        <f aca="false">RANK(F58,$F$2:$F$350,0)</f>
        <v>13</v>
      </c>
      <c r="W58" s="12" t="n">
        <v>422.2</v>
      </c>
      <c r="X58" s="10" t="n">
        <v>91</v>
      </c>
      <c r="Y58" s="3" t="s">
        <v>58</v>
      </c>
      <c r="Z58" s="3" t="s">
        <v>134</v>
      </c>
      <c r="AA58" s="13" t="s">
        <v>59</v>
      </c>
      <c r="AB58" s="11" t="n">
        <v>32.9</v>
      </c>
    </row>
    <row r="59" customFormat="false" ht="16.4" hidden="false" customHeight="false" outlineLevel="0" collapsed="false">
      <c r="A59" s="3" t="n">
        <v>58</v>
      </c>
      <c r="B59" s="3" t="n">
        <v>3</v>
      </c>
      <c r="C59" s="3" t="s">
        <v>135</v>
      </c>
      <c r="D59" s="10" t="n">
        <v>21009</v>
      </c>
      <c r="E59" s="10" t="n">
        <f aca="false">ROUND(D59*INDEX(مناطق!$AF$2:$AF$23,B59),0)</f>
        <v>19370</v>
      </c>
      <c r="F59" s="11" t="n">
        <f aca="false">ROUND(100*(راهنما!$B$4*(H59-MIN($H$2:$H$350))/(MAX($H$2:$H$350)-MIN($H$2:$H$350))+راهنما!$B$5*(N59-MIN($N$2:$N$350))/(MAX($N$2:$N$350)-MIN($N$2:$N$350))+راهنما!$B$6*(J59-MIN($J$2:$J$350))/(MAX($J$2:$J$350)-MIN($J$2:$J$350))+راهنما!$B$7*(MAX($I$2:$I$350)-I59)/(MAX($I$2:$I$350)-MIN($I$2:$I$350)))/راهنما!$B$8,1)</f>
        <v>68.6</v>
      </c>
      <c r="G59" s="3" t="str">
        <f aca="false">IF(V59&lt;=ROUND(349*0.2,0),"بسیار بالا",IF(V59&lt;=ROUND(349*0.4,0),"بالا",IF(V59&lt;=ROUND(349*0.6,0),"متوسط",IF(V59&lt;=ROUND(349*0.8,0),"پایین","بسیار پایین"))))</f>
        <v>بسیار بالا</v>
      </c>
      <c r="H59" s="11" t="n">
        <f aca="false">(100-I59)*(100-L59)/100</f>
        <v>73.699455</v>
      </c>
      <c r="I59" s="11" t="n">
        <v>11.79</v>
      </c>
      <c r="J59" s="11" t="n">
        <v>32.77</v>
      </c>
      <c r="K59" s="11" t="n">
        <f aca="false">J59/(1-I59/100)</f>
        <v>37.1499829951253</v>
      </c>
      <c r="L59" s="11" t="n">
        <v>16.45</v>
      </c>
      <c r="M59" s="11" t="n">
        <v>27.11</v>
      </c>
      <c r="N59" s="11" t="n">
        <v>56.07</v>
      </c>
      <c r="O59" s="11" t="n">
        <v>5.37</v>
      </c>
      <c r="P59" s="10" t="n">
        <f aca="false">ROUND(E59*J59/100,0)</f>
        <v>6348</v>
      </c>
      <c r="Q59" s="10" t="n">
        <f aca="false">ROUND(P59*I59/(100-I59),0)</f>
        <v>848</v>
      </c>
      <c r="R59" s="10" t="n">
        <f aca="false">ROUND(P59*(100-L59)/100,0)</f>
        <v>5304</v>
      </c>
      <c r="S59" s="10" t="n">
        <f aca="false">ROUND(P59*M59/100,0)</f>
        <v>1721</v>
      </c>
      <c r="T59" s="11" t="n">
        <v>73.54</v>
      </c>
      <c r="U59" s="11" t="n">
        <v>73.85</v>
      </c>
      <c r="V59" s="3" t="n">
        <f aca="false">RANK(F59,$F$2:$F$350,0)</f>
        <v>19</v>
      </c>
      <c r="W59" s="12" t="n">
        <v>500</v>
      </c>
      <c r="X59" s="10" t="n">
        <v>5</v>
      </c>
      <c r="Y59" s="3" t="s">
        <v>58</v>
      </c>
      <c r="Z59" s="3" t="s">
        <v>135</v>
      </c>
      <c r="AA59" s="13" t="s">
        <v>125</v>
      </c>
      <c r="AB59" s="11" t="n">
        <v>31.31</v>
      </c>
    </row>
    <row r="60" customFormat="false" ht="16.4" hidden="false" customHeight="false" outlineLevel="0" collapsed="false">
      <c r="A60" s="3" t="n">
        <v>59</v>
      </c>
      <c r="B60" s="3" t="n">
        <v>3</v>
      </c>
      <c r="C60" s="3" t="s">
        <v>136</v>
      </c>
      <c r="D60" s="10" t="n">
        <v>39828</v>
      </c>
      <c r="E60" s="10" t="n">
        <f aca="false">ROUND(D60*INDEX(مناطق!$AF$2:$AF$23,B60),0)</f>
        <v>36721</v>
      </c>
      <c r="F60" s="11" t="n">
        <f aca="false">ROUND(100*(راهنما!$B$4*(H60-MIN($H$2:$H$350))/(MAX($H$2:$H$350)-MIN($H$2:$H$350))+راهنما!$B$5*(N60-MIN($N$2:$N$350))/(MAX($N$2:$N$350)-MIN($N$2:$N$350))+راهنما!$B$6*(J60-MIN($J$2:$J$350))/(MAX($J$2:$J$350)-MIN($J$2:$J$350))+راهنما!$B$7*(MAX($I$2:$I$350)-I60)/(MAX($I$2:$I$350)-MIN($I$2:$I$350)))/راهنما!$B$8,1)</f>
        <v>67.2</v>
      </c>
      <c r="G60" s="3" t="str">
        <f aca="false">IF(V60&lt;=ROUND(349*0.2,0),"بسیار بالا",IF(V60&lt;=ROUND(349*0.4,0),"بالا",IF(V60&lt;=ROUND(349*0.6,0),"متوسط",IF(V60&lt;=ROUND(349*0.8,0),"پایین","بسیار پایین"))))</f>
        <v>بسیار بالا</v>
      </c>
      <c r="H60" s="11" t="n">
        <f aca="false">(100-I60)*(100-L60)/100</f>
        <v>73.399541</v>
      </c>
      <c r="I60" s="11" t="n">
        <v>11.79</v>
      </c>
      <c r="J60" s="11" t="n">
        <v>32.84</v>
      </c>
      <c r="K60" s="11" t="n">
        <f aca="false">J60/(1-I60/100)</f>
        <v>37.2293390772021</v>
      </c>
      <c r="L60" s="11" t="n">
        <v>16.79</v>
      </c>
      <c r="M60" s="11" t="n">
        <v>27.11</v>
      </c>
      <c r="N60" s="11" t="n">
        <v>53.95</v>
      </c>
      <c r="O60" s="11" t="n">
        <v>5.53</v>
      </c>
      <c r="P60" s="10" t="n">
        <f aca="false">ROUND(E60*J60/100,0)</f>
        <v>12059</v>
      </c>
      <c r="Q60" s="10" t="n">
        <f aca="false">ROUND(P60*I60/(100-I60),0)</f>
        <v>1612</v>
      </c>
      <c r="R60" s="10" t="n">
        <f aca="false">ROUND(P60*(100-L60)/100,0)</f>
        <v>10034</v>
      </c>
      <c r="S60" s="10" t="n">
        <f aca="false">ROUND(P60*M60/100,0)</f>
        <v>3269</v>
      </c>
      <c r="T60" s="11" t="n">
        <v>73.12</v>
      </c>
      <c r="U60" s="11" t="n">
        <v>73.68</v>
      </c>
      <c r="V60" s="3" t="n">
        <f aca="false">RANK(F60,$F$2:$F$350,0)</f>
        <v>25</v>
      </c>
      <c r="W60" s="12" t="n">
        <v>400</v>
      </c>
      <c r="X60" s="10" t="n">
        <v>90</v>
      </c>
      <c r="Y60" s="3" t="s">
        <v>67</v>
      </c>
      <c r="Z60" s="3" t="s">
        <v>137</v>
      </c>
      <c r="AA60" s="13" t="s">
        <v>59</v>
      </c>
      <c r="AB60" s="11" t="n">
        <v>29.59</v>
      </c>
    </row>
    <row r="61" customFormat="false" ht="16.4" hidden="false" customHeight="false" outlineLevel="0" collapsed="false">
      <c r="A61" s="3" t="n">
        <v>60</v>
      </c>
      <c r="B61" s="3" t="n">
        <v>3</v>
      </c>
      <c r="C61" s="3" t="s">
        <v>138</v>
      </c>
      <c r="D61" s="10" t="n">
        <v>30658</v>
      </c>
      <c r="E61" s="10" t="n">
        <f aca="false">ROUND(D61*INDEX(مناطق!$AF$2:$AF$23,B61),0)</f>
        <v>28266</v>
      </c>
      <c r="F61" s="11" t="n">
        <f aca="false">ROUND(100*(راهنما!$B$4*(H61-MIN($H$2:$H$350))/(MAX($H$2:$H$350)-MIN($H$2:$H$350))+راهنما!$B$5*(N61-MIN($N$2:$N$350))/(MAX($N$2:$N$350)-MIN($N$2:$N$350))+راهنما!$B$6*(J61-MIN($J$2:$J$350))/(MAX($J$2:$J$350)-MIN($J$2:$J$350))+راهنما!$B$7*(MAX($I$2:$I$350)-I61)/(MAX($I$2:$I$350)-MIN($I$2:$I$350)))/راهنما!$B$8,1)</f>
        <v>64.7</v>
      </c>
      <c r="G61" s="3" t="str">
        <f aca="false">IF(V61&lt;=ROUND(349*0.2,0),"بسیار بالا",IF(V61&lt;=ROUND(349*0.4,0),"بالا",IF(V61&lt;=ROUND(349*0.6,0),"متوسط",IF(V61&lt;=ROUND(349*0.8,0),"پایین","بسیار پایین"))))</f>
        <v>بسیار بالا</v>
      </c>
      <c r="H61" s="11" t="n">
        <f aca="false">(100-I61)*(100-L61)/100</f>
        <v>72.834997</v>
      </c>
      <c r="I61" s="11" t="n">
        <v>11.79</v>
      </c>
      <c r="J61" s="11" t="n">
        <v>32.98</v>
      </c>
      <c r="K61" s="11" t="n">
        <f aca="false">J61/(1-I61/100)</f>
        <v>37.3880512413559</v>
      </c>
      <c r="L61" s="11" t="n">
        <v>17.43</v>
      </c>
      <c r="M61" s="11" t="n">
        <v>27.11</v>
      </c>
      <c r="N61" s="11" t="n">
        <v>49.94</v>
      </c>
      <c r="O61" s="11" t="n">
        <v>5.84</v>
      </c>
      <c r="P61" s="10" t="n">
        <f aca="false">ROUND(E61*J61/100,0)</f>
        <v>9322</v>
      </c>
      <c r="Q61" s="10" t="n">
        <f aca="false">ROUND(P61*I61/(100-I61),0)</f>
        <v>1246</v>
      </c>
      <c r="R61" s="10" t="n">
        <f aca="false">ROUND(P61*(100-L61)/100,0)</f>
        <v>7697</v>
      </c>
      <c r="S61" s="10" t="n">
        <f aca="false">ROUND(P61*M61/100,0)</f>
        <v>2527</v>
      </c>
      <c r="T61" s="11" t="n">
        <v>72.29</v>
      </c>
      <c r="U61" s="11" t="n">
        <v>73.36</v>
      </c>
      <c r="V61" s="3" t="n">
        <f aca="false">RANK(F61,$F$2:$F$350,0)</f>
        <v>40</v>
      </c>
      <c r="W61" s="12" t="n">
        <v>365.4</v>
      </c>
      <c r="X61" s="10" t="n">
        <v>172</v>
      </c>
      <c r="Y61" s="3" t="s">
        <v>58</v>
      </c>
      <c r="Z61" s="3" t="s">
        <v>139</v>
      </c>
      <c r="AA61" s="13" t="s">
        <v>59</v>
      </c>
      <c r="AB61" s="11" t="n">
        <v>26.53</v>
      </c>
    </row>
    <row r="62" customFormat="false" ht="16.4" hidden="false" customHeight="false" outlineLevel="0" collapsed="false">
      <c r="A62" s="3" t="n">
        <v>61</v>
      </c>
      <c r="B62" s="3" t="n">
        <v>4</v>
      </c>
      <c r="C62" s="3" t="s">
        <v>140</v>
      </c>
      <c r="D62" s="10" t="n">
        <v>19326</v>
      </c>
      <c r="E62" s="10" t="n">
        <f aca="false">ROUND(D62*INDEX(مناطق!$AF$2:$AF$23,B62),0)</f>
        <v>17099</v>
      </c>
      <c r="F62" s="11" t="n">
        <f aca="false">ROUND(100*(راهنما!$B$4*(H62-MIN($H$2:$H$350))/(MAX($H$2:$H$350)-MIN($H$2:$H$350))+راهنما!$B$5*(N62-MIN($N$2:$N$350))/(MAX($N$2:$N$350)-MIN($N$2:$N$350))+راهنما!$B$6*(J62-MIN($J$2:$J$350))/(MAX($J$2:$J$350)-MIN($J$2:$J$350))+راهنما!$B$7*(MAX($I$2:$I$350)-I62)/(MAX($I$2:$I$350)-MIN($I$2:$I$350)))/راهنما!$B$8,1)</f>
        <v>65.5</v>
      </c>
      <c r="G62" s="3" t="str">
        <f aca="false">IF(V62&lt;=ROUND(349*0.2,0),"بسیار بالا",IF(V62&lt;=ROUND(349*0.4,0),"بالا",IF(V62&lt;=ROUND(349*0.6,0),"متوسط",IF(V62&lt;=ROUND(349*0.8,0),"پایین","بسیار پایین"))))</f>
        <v>بسیار بالا</v>
      </c>
      <c r="H62" s="11" t="n">
        <f aca="false">(100-I62)*(100-L62)/100</f>
        <v>72.926112</v>
      </c>
      <c r="I62" s="11" t="n">
        <v>12.01</v>
      </c>
      <c r="J62" s="11" t="n">
        <v>32.11</v>
      </c>
      <c r="K62" s="11" t="n">
        <f aca="false">J62/(1-I62/100)</f>
        <v>36.4927832708262</v>
      </c>
      <c r="L62" s="11" t="n">
        <v>17.12</v>
      </c>
      <c r="M62" s="11" t="n">
        <v>31.59</v>
      </c>
      <c r="N62" s="11" t="n">
        <v>61.34</v>
      </c>
      <c r="O62" s="11" t="n">
        <v>2.86</v>
      </c>
      <c r="P62" s="10" t="n">
        <f aca="false">ROUND(E62*J62/100,0)</f>
        <v>5490</v>
      </c>
      <c r="Q62" s="10" t="n">
        <f aca="false">ROUND(P62*I62/(100-I62),0)</f>
        <v>749</v>
      </c>
      <c r="R62" s="10" t="n">
        <f aca="false">ROUND(P62*(100-L62)/100,0)</f>
        <v>4550</v>
      </c>
      <c r="S62" s="10" t="n">
        <f aca="false">ROUND(P62*M62/100,0)</f>
        <v>1734</v>
      </c>
      <c r="T62" s="11" t="n">
        <v>71.06</v>
      </c>
      <c r="U62" s="11" t="n">
        <v>74.64</v>
      </c>
      <c r="V62" s="3" t="n">
        <f aca="false">RANK(F62,$F$2:$F$350,0)</f>
        <v>31</v>
      </c>
      <c r="W62" s="12" t="n">
        <v>548.1</v>
      </c>
      <c r="X62" s="10" t="n">
        <v>93</v>
      </c>
      <c r="Y62" s="3" t="s">
        <v>119</v>
      </c>
      <c r="Z62" s="3" t="s">
        <v>141</v>
      </c>
      <c r="AA62" s="13" t="s">
        <v>63</v>
      </c>
      <c r="AB62" s="11" t="n">
        <v>38.6</v>
      </c>
    </row>
    <row r="63" customFormat="false" ht="16.4" hidden="false" customHeight="false" outlineLevel="0" collapsed="false">
      <c r="A63" s="3" t="n">
        <v>62</v>
      </c>
      <c r="B63" s="3" t="n">
        <v>4</v>
      </c>
      <c r="C63" s="3" t="s">
        <v>142</v>
      </c>
      <c r="D63" s="10" t="n">
        <v>62773</v>
      </c>
      <c r="E63" s="10" t="n">
        <f aca="false">ROUND(D63*INDEX(مناطق!$AF$2:$AF$23,B63),0)</f>
        <v>55539</v>
      </c>
      <c r="F63" s="11" t="n">
        <f aca="false">ROUND(100*(راهنما!$B$4*(H63-MIN($H$2:$H$350))/(MAX($H$2:$H$350)-MIN($H$2:$H$350))+راهنما!$B$5*(N63-MIN($N$2:$N$350))/(MAX($N$2:$N$350)-MIN($N$2:$N$350))+راهنما!$B$6*(J63-MIN($J$2:$J$350))/(MAX($J$2:$J$350)-MIN($J$2:$J$350))+راهنما!$B$7*(MAX($I$2:$I$350)-I63)/(MAX($I$2:$I$350)-MIN($I$2:$I$350)))/راهنما!$B$8,1)</f>
        <v>56.2</v>
      </c>
      <c r="G63" s="3" t="str">
        <f aca="false">IF(V63&lt;=ROUND(349*0.2,0),"بسیار بالا",IF(V63&lt;=ROUND(349*0.4,0),"بالا",IF(V63&lt;=ROUND(349*0.6,0),"متوسط",IF(V63&lt;=ROUND(349*0.8,0),"پایین","بسیار پایین"))))</f>
        <v>بالا</v>
      </c>
      <c r="H63" s="11" t="n">
        <f aca="false">(100-I63)*(100-L63)/100</f>
        <v>70.805553</v>
      </c>
      <c r="I63" s="11" t="n">
        <v>12.01</v>
      </c>
      <c r="J63" s="11" t="n">
        <v>32.58</v>
      </c>
      <c r="K63" s="11" t="n">
        <f aca="false">J63/(1-I63/100)</f>
        <v>37.0269348789635</v>
      </c>
      <c r="L63" s="11" t="n">
        <v>19.53</v>
      </c>
      <c r="M63" s="11" t="n">
        <v>31.59</v>
      </c>
      <c r="N63" s="11" t="n">
        <v>47.34</v>
      </c>
      <c r="O63" s="11" t="n">
        <v>3.48</v>
      </c>
      <c r="P63" s="10" t="n">
        <f aca="false">ROUND(E63*J63/100,0)</f>
        <v>18095</v>
      </c>
      <c r="Q63" s="10" t="n">
        <f aca="false">ROUND(P63*I63/(100-I63),0)</f>
        <v>2470</v>
      </c>
      <c r="R63" s="10" t="n">
        <f aca="false">ROUND(P63*(100-L63)/100,0)</f>
        <v>14561</v>
      </c>
      <c r="S63" s="10" t="n">
        <f aca="false">ROUND(P63*M63/100,0)</f>
        <v>5716</v>
      </c>
      <c r="T63" s="11" t="n">
        <v>69.74</v>
      </c>
      <c r="U63" s="11" t="n">
        <v>71.85</v>
      </c>
      <c r="V63" s="3" t="n">
        <f aca="false">RANK(F63,$F$2:$F$350,0)</f>
        <v>117</v>
      </c>
      <c r="W63" s="12" t="n">
        <v>372.9</v>
      </c>
      <c r="X63" s="10" t="n">
        <v>86</v>
      </c>
      <c r="Y63" s="3" t="s">
        <v>67</v>
      </c>
      <c r="Z63" s="3" t="s">
        <v>143</v>
      </c>
      <c r="AA63" s="13" t="s">
        <v>59</v>
      </c>
      <c r="AB63" s="11" t="n">
        <v>26.86</v>
      </c>
    </row>
    <row r="64" customFormat="false" ht="16.4" hidden="false" customHeight="false" outlineLevel="0" collapsed="false">
      <c r="A64" s="3" t="n">
        <v>63</v>
      </c>
      <c r="B64" s="3" t="n">
        <v>4</v>
      </c>
      <c r="C64" s="3" t="s">
        <v>144</v>
      </c>
      <c r="D64" s="10" t="n">
        <v>29497</v>
      </c>
      <c r="E64" s="10" t="n">
        <f aca="false">ROUND(D64*INDEX(مناطق!$AF$2:$AF$23,B64),0)</f>
        <v>26098</v>
      </c>
      <c r="F64" s="11" t="n">
        <f aca="false">ROUND(100*(راهنما!$B$4*(H64-MIN($H$2:$H$350))/(MAX($H$2:$H$350)-MIN($H$2:$H$350))+راهنما!$B$5*(N64-MIN($N$2:$N$350))/(MAX($N$2:$N$350)-MIN($N$2:$N$350))+راهنما!$B$6*(J64-MIN($J$2:$J$350))/(MAX($J$2:$J$350)-MIN($J$2:$J$350))+راهنما!$B$7*(MAX($I$2:$I$350)-I64)/(MAX($I$2:$I$350)-MIN($I$2:$I$350)))/راهنما!$B$8,1)</f>
        <v>55.7</v>
      </c>
      <c r="G64" s="3" t="str">
        <f aca="false">IF(V64&lt;=ROUND(349*0.2,0),"بسیار بالا",IF(V64&lt;=ROUND(349*0.4,0),"بالا",IF(V64&lt;=ROUND(349*0.6,0),"متوسط",IF(V64&lt;=ROUND(349*0.8,0),"پایین","بسیار پایین"))))</f>
        <v>بالا</v>
      </c>
      <c r="H64" s="11" t="n">
        <f aca="false">(100-I64)*(100-L64)/100</f>
        <v>70.673568</v>
      </c>
      <c r="I64" s="11" t="n">
        <v>12.01</v>
      </c>
      <c r="J64" s="11" t="n">
        <v>32.61</v>
      </c>
      <c r="K64" s="11" t="n">
        <f aca="false">J64/(1-I64/100)</f>
        <v>37.0610296624616</v>
      </c>
      <c r="L64" s="11" t="n">
        <v>19.68</v>
      </c>
      <c r="M64" s="11" t="n">
        <v>31.59</v>
      </c>
      <c r="N64" s="11" t="n">
        <v>46.5</v>
      </c>
      <c r="O64" s="11" t="n">
        <v>3.52</v>
      </c>
      <c r="P64" s="10" t="n">
        <f aca="false">ROUND(E64*J64/100,0)</f>
        <v>8511</v>
      </c>
      <c r="Q64" s="10" t="n">
        <f aca="false">ROUND(P64*I64/(100-I64),0)</f>
        <v>1162</v>
      </c>
      <c r="R64" s="10" t="n">
        <f aca="false">ROUND(P64*(100-L64)/100,0)</f>
        <v>6836</v>
      </c>
      <c r="S64" s="10" t="n">
        <f aca="false">ROUND(P64*M64/100,0)</f>
        <v>2689</v>
      </c>
      <c r="T64" s="11" t="n">
        <v>69.66</v>
      </c>
      <c r="U64" s="11" t="n">
        <v>71.67</v>
      </c>
      <c r="V64" s="3" t="n">
        <f aca="false">RANK(F64,$F$2:$F$350,0)</f>
        <v>122</v>
      </c>
      <c r="W64" s="12" t="n">
        <v>352.2</v>
      </c>
      <c r="X64" s="10" t="n">
        <v>89</v>
      </c>
      <c r="Y64" s="3" t="s">
        <v>67</v>
      </c>
      <c r="Z64" s="3" t="s">
        <v>145</v>
      </c>
      <c r="AA64" s="13" t="s">
        <v>59</v>
      </c>
      <c r="AB64" s="11" t="n">
        <v>26.24</v>
      </c>
    </row>
    <row r="65" customFormat="false" ht="16.4" hidden="false" customHeight="false" outlineLevel="0" collapsed="false">
      <c r="A65" s="3" t="n">
        <v>64</v>
      </c>
      <c r="B65" s="3" t="n">
        <v>4</v>
      </c>
      <c r="C65" s="3" t="s">
        <v>146</v>
      </c>
      <c r="D65" s="10" t="n">
        <v>25723</v>
      </c>
      <c r="E65" s="10" t="n">
        <f aca="false">ROUND(D65*INDEX(مناطق!$AF$2:$AF$23,B65),0)</f>
        <v>22759</v>
      </c>
      <c r="F65" s="11" t="n">
        <f aca="false">ROUND(100*(راهنما!$B$4*(H65-MIN($H$2:$H$350))/(MAX($H$2:$H$350)-MIN($H$2:$H$350))+راهنما!$B$5*(N65-MIN($N$2:$N$350))/(MAX($N$2:$N$350)-MIN($N$2:$N$350))+راهنما!$B$6*(J65-MIN($J$2:$J$350))/(MAX($J$2:$J$350)-MIN($J$2:$J$350))+راهنما!$B$7*(MAX($I$2:$I$350)-I65)/(MAX($I$2:$I$350)-MIN($I$2:$I$350)))/راهنما!$B$8,1)</f>
        <v>52.6</v>
      </c>
      <c r="G65" s="3" t="str">
        <f aca="false">IF(V65&lt;=ROUND(349*0.2,0),"بسیار بالا",IF(V65&lt;=ROUND(349*0.4,0),"بالا",IF(V65&lt;=ROUND(349*0.6,0),"متوسط",IF(V65&lt;=ROUND(349*0.8,0),"پایین","بسیار پایین"))))</f>
        <v>متوسط</v>
      </c>
      <c r="H65" s="11" t="n">
        <f aca="false">(100-I65)*(100-L65)/100</f>
        <v>69.943251</v>
      </c>
      <c r="I65" s="11" t="n">
        <v>12.01</v>
      </c>
      <c r="J65" s="11" t="n">
        <v>32.76</v>
      </c>
      <c r="K65" s="11" t="n">
        <f aca="false">J65/(1-I65/100)</f>
        <v>37.2315035799523</v>
      </c>
      <c r="L65" s="11" t="n">
        <v>20.51</v>
      </c>
      <c r="M65" s="11" t="n">
        <v>31.59</v>
      </c>
      <c r="N65" s="11" t="n">
        <v>42</v>
      </c>
      <c r="O65" s="11" t="n">
        <v>3.74</v>
      </c>
      <c r="P65" s="10" t="n">
        <f aca="false">ROUND(E65*J65/100,0)</f>
        <v>7456</v>
      </c>
      <c r="Q65" s="10" t="n">
        <f aca="false">ROUND(P65*I65/(100-I65),0)</f>
        <v>1018</v>
      </c>
      <c r="R65" s="10" t="n">
        <f aca="false">ROUND(P65*(100-L65)/100,0)</f>
        <v>5927</v>
      </c>
      <c r="S65" s="10" t="n">
        <f aca="false">ROUND(P65*M65/100,0)</f>
        <v>2355</v>
      </c>
      <c r="T65" s="11" t="n">
        <v>69.22</v>
      </c>
      <c r="U65" s="11" t="n">
        <v>70.68</v>
      </c>
      <c r="V65" s="3" t="n">
        <f aca="false">RANK(F65,$F$2:$F$350,0)</f>
        <v>148</v>
      </c>
      <c r="W65" s="12" t="n">
        <v>354.1</v>
      </c>
      <c r="X65" s="10" t="n">
        <v>118</v>
      </c>
      <c r="Y65" s="3" t="s">
        <v>67</v>
      </c>
      <c r="Z65" s="3" t="s">
        <v>147</v>
      </c>
      <c r="AA65" s="13" t="s">
        <v>59</v>
      </c>
      <c r="AB65" s="11" t="n">
        <v>23.04</v>
      </c>
    </row>
    <row r="66" customFormat="false" ht="16.4" hidden="false" customHeight="false" outlineLevel="0" collapsed="false">
      <c r="A66" s="3" t="n">
        <v>65</v>
      </c>
      <c r="B66" s="3" t="n">
        <v>4</v>
      </c>
      <c r="C66" s="3" t="s">
        <v>148</v>
      </c>
      <c r="D66" s="10" t="n">
        <v>124634</v>
      </c>
      <c r="E66" s="10" t="n">
        <f aca="false">ROUND(D66*INDEX(مناطق!$AF$2:$AF$23,B66),0)</f>
        <v>110271</v>
      </c>
      <c r="F66" s="11" t="n">
        <f aca="false">ROUND(100*(راهنما!$B$4*(H66-MIN($H$2:$H$350))/(MAX($H$2:$H$350)-MIN($H$2:$H$350))+راهنما!$B$5*(N66-MIN($N$2:$N$350))/(MAX($N$2:$N$350)-MIN($N$2:$N$350))+راهنما!$B$6*(J66-MIN($J$2:$J$350))/(MAX($J$2:$J$350)-MIN($J$2:$J$350))+راهنما!$B$7*(MAX($I$2:$I$350)-I66)/(MAX($I$2:$I$350)-MIN($I$2:$I$350)))/راهنما!$B$8,1)</f>
        <v>49.8</v>
      </c>
      <c r="G66" s="3" t="str">
        <f aca="false">IF(V66&lt;=ROUND(349*0.2,0),"بسیار بالا",IF(V66&lt;=ROUND(349*0.4,0),"بالا",IF(V66&lt;=ROUND(349*0.6,0),"متوسط",IF(V66&lt;=ROUND(349*0.8,0),"پایین","بسیار پایین"))))</f>
        <v>متوسط</v>
      </c>
      <c r="H66" s="11" t="n">
        <f aca="false">(100-I66)*(100-L66)/100</f>
        <v>69.256929</v>
      </c>
      <c r="I66" s="11" t="n">
        <v>12.01</v>
      </c>
      <c r="J66" s="11" t="n">
        <v>32.9</v>
      </c>
      <c r="K66" s="11" t="n">
        <f aca="false">J66/(1-I66/100)</f>
        <v>37.3906125696102</v>
      </c>
      <c r="L66" s="11" t="n">
        <v>21.29</v>
      </c>
      <c r="M66" s="11" t="n">
        <v>31.59</v>
      </c>
      <c r="N66" s="11" t="n">
        <v>37.98</v>
      </c>
      <c r="O66" s="11" t="n">
        <v>3.96</v>
      </c>
      <c r="P66" s="10" t="n">
        <f aca="false">ROUND(E66*J66/100,0)</f>
        <v>36279</v>
      </c>
      <c r="Q66" s="10" t="n">
        <f aca="false">ROUND(P66*I66/(100-I66),0)</f>
        <v>4952</v>
      </c>
      <c r="R66" s="10" t="n">
        <f aca="false">ROUND(P66*(100-L66)/100,0)</f>
        <v>28555</v>
      </c>
      <c r="S66" s="10" t="n">
        <f aca="false">ROUND(P66*M66/100,0)</f>
        <v>11461</v>
      </c>
      <c r="T66" s="11" t="n">
        <v>68.81</v>
      </c>
      <c r="U66" s="11" t="n">
        <v>69.72</v>
      </c>
      <c r="V66" s="3" t="n">
        <f aca="false">RANK(F66,$F$2:$F$350,0)</f>
        <v>179</v>
      </c>
      <c r="W66" s="12" t="n">
        <v>292.9</v>
      </c>
      <c r="X66" s="10" t="n">
        <v>89</v>
      </c>
      <c r="Y66" s="3" t="s">
        <v>58</v>
      </c>
      <c r="Z66" s="3" t="s">
        <v>148</v>
      </c>
      <c r="AA66" s="13" t="s">
        <v>59</v>
      </c>
      <c r="AB66" s="11" t="n">
        <v>20.35</v>
      </c>
    </row>
    <row r="67" customFormat="false" ht="16.4" hidden="false" customHeight="false" outlineLevel="0" collapsed="false">
      <c r="A67" s="3" t="n">
        <v>66</v>
      </c>
      <c r="B67" s="3" t="n">
        <v>4</v>
      </c>
      <c r="C67" s="3" t="s">
        <v>149</v>
      </c>
      <c r="D67" s="10" t="n">
        <v>24138</v>
      </c>
      <c r="E67" s="10" t="n">
        <f aca="false">ROUND(D67*INDEX(مناطق!$AF$2:$AF$23,B67),0)</f>
        <v>21356</v>
      </c>
      <c r="F67" s="11" t="n">
        <f aca="false">ROUND(100*(راهنما!$B$4*(H67-MIN($H$2:$H$350))/(MAX($H$2:$H$350)-MIN($H$2:$H$350))+راهنما!$B$5*(N67-MIN($N$2:$N$350))/(MAX($N$2:$N$350)-MIN($N$2:$N$350))+راهنما!$B$6*(J67-MIN($J$2:$J$350))/(MAX($J$2:$J$350)-MIN($J$2:$J$350))+راهنما!$B$7*(MAX($I$2:$I$350)-I67)/(MAX($I$2:$I$350)-MIN($I$2:$I$350)))/راهنما!$B$8,1)</f>
        <v>49.7</v>
      </c>
      <c r="G67" s="3" t="str">
        <f aca="false">IF(V67&lt;=ROUND(349*0.2,0),"بسیار بالا",IF(V67&lt;=ROUND(349*0.4,0),"بالا",IF(V67&lt;=ROUND(349*0.6,0),"متوسط",IF(V67&lt;=ROUND(349*0.8,0),"پایین","بسیار پایین"))))</f>
        <v>متوسط</v>
      </c>
      <c r="H67" s="11" t="n">
        <f aca="false">(100-I67)*(100-L67)/100</f>
        <v>69.239331</v>
      </c>
      <c r="I67" s="11" t="n">
        <v>12.01</v>
      </c>
      <c r="J67" s="11" t="n">
        <v>32.9</v>
      </c>
      <c r="K67" s="11" t="n">
        <f aca="false">J67/(1-I67/100)</f>
        <v>37.3906125696102</v>
      </c>
      <c r="L67" s="11" t="n">
        <v>21.31</v>
      </c>
      <c r="M67" s="11" t="n">
        <v>31.59</v>
      </c>
      <c r="N67" s="11" t="n">
        <v>37.91</v>
      </c>
      <c r="O67" s="11" t="n">
        <v>3.97</v>
      </c>
      <c r="P67" s="10" t="n">
        <f aca="false">ROUND(E67*J67/100,0)</f>
        <v>7026</v>
      </c>
      <c r="Q67" s="10" t="n">
        <f aca="false">ROUND(P67*I67/(100-I67),0)</f>
        <v>959</v>
      </c>
      <c r="R67" s="10" t="n">
        <f aca="false">ROUND(P67*(100-L67)/100,0)</f>
        <v>5529</v>
      </c>
      <c r="S67" s="10" t="n">
        <f aca="false">ROUND(P67*M67/100,0)</f>
        <v>2220</v>
      </c>
      <c r="T67" s="11" t="n">
        <v>68.8</v>
      </c>
      <c r="U67" s="11" t="n">
        <v>69.71</v>
      </c>
      <c r="V67" s="3" t="n">
        <f aca="false">RANK(F67,$F$2:$F$350,0)</f>
        <v>180</v>
      </c>
      <c r="W67" s="12" t="n">
        <v>280</v>
      </c>
      <c r="X67" s="10" t="n">
        <v>77</v>
      </c>
      <c r="Y67" s="3" t="s">
        <v>58</v>
      </c>
      <c r="Z67" s="3" t="s">
        <v>150</v>
      </c>
      <c r="AA67" s="13" t="s">
        <v>59</v>
      </c>
      <c r="AB67" s="11" t="n">
        <v>20.31</v>
      </c>
    </row>
    <row r="68" customFormat="false" ht="16.4" hidden="false" customHeight="false" outlineLevel="0" collapsed="false">
      <c r="A68" s="3" t="n">
        <v>67</v>
      </c>
      <c r="B68" s="3" t="n">
        <v>4</v>
      </c>
      <c r="C68" s="3" t="s">
        <v>151</v>
      </c>
      <c r="D68" s="10" t="n">
        <v>29784</v>
      </c>
      <c r="E68" s="10" t="n">
        <f aca="false">ROUND(D68*INDEX(مناطق!$AF$2:$AF$23,B68),0)</f>
        <v>26352</v>
      </c>
      <c r="F68" s="11" t="n">
        <f aca="false">ROUND(100*(راهنما!$B$4*(H68-MIN($H$2:$H$350))/(MAX($H$2:$H$350)-MIN($H$2:$H$350))+راهنما!$B$5*(N68-MIN($N$2:$N$350))/(MAX($N$2:$N$350)-MIN($N$2:$N$350))+راهنما!$B$6*(J68-MIN($J$2:$J$350))/(MAX($J$2:$J$350)-MIN($J$2:$J$350))+راهنما!$B$7*(MAX($I$2:$I$350)-I68)/(MAX($I$2:$I$350)-MIN($I$2:$I$350)))/راهنما!$B$8,1)</f>
        <v>48.3</v>
      </c>
      <c r="G68" s="3" t="str">
        <f aca="false">IF(V68&lt;=ROUND(349*0.2,0),"بسیار بالا",IF(V68&lt;=ROUND(349*0.4,0),"بالا",IF(V68&lt;=ROUND(349*0.6,0),"متوسط",IF(V68&lt;=ROUND(349*0.8,0),"پایین","بسیار پایین"))))</f>
        <v>متوسط</v>
      </c>
      <c r="H68" s="11" t="n">
        <f aca="false">(100-I68)*(100-L68)/100</f>
        <v>68.878572</v>
      </c>
      <c r="I68" s="11" t="n">
        <v>12.01</v>
      </c>
      <c r="J68" s="11" t="n">
        <v>32.98</v>
      </c>
      <c r="K68" s="11" t="n">
        <f aca="false">J68/(1-I68/100)</f>
        <v>37.4815319922719</v>
      </c>
      <c r="L68" s="11" t="n">
        <v>21.72</v>
      </c>
      <c r="M68" s="11" t="n">
        <v>31.59</v>
      </c>
      <c r="N68" s="11" t="n">
        <v>35.91</v>
      </c>
      <c r="O68" s="11" t="n">
        <v>4.08</v>
      </c>
      <c r="P68" s="10" t="n">
        <f aca="false">ROUND(E68*J68/100,0)</f>
        <v>8691</v>
      </c>
      <c r="Q68" s="10" t="n">
        <f aca="false">ROUND(P68*I68/(100-I68),0)</f>
        <v>1186</v>
      </c>
      <c r="R68" s="10" t="n">
        <f aca="false">ROUND(P68*(100-L68)/100,0)</f>
        <v>6803</v>
      </c>
      <c r="S68" s="10" t="n">
        <f aca="false">ROUND(P68*M68/100,0)</f>
        <v>2745</v>
      </c>
      <c r="T68" s="11" t="n">
        <v>68.59</v>
      </c>
      <c r="U68" s="11" t="n">
        <v>69.2</v>
      </c>
      <c r="V68" s="3" t="n">
        <f aca="false">RANK(F68,$F$2:$F$350,0)</f>
        <v>188</v>
      </c>
      <c r="W68" s="12" t="n">
        <v>273.8</v>
      </c>
      <c r="X68" s="10" t="n">
        <v>92</v>
      </c>
      <c r="Y68" s="3" t="s">
        <v>67</v>
      </c>
      <c r="Z68" s="3" t="s">
        <v>152</v>
      </c>
      <c r="AA68" s="13" t="s">
        <v>59</v>
      </c>
      <c r="AB68" s="11" t="n">
        <v>19.02</v>
      </c>
    </row>
    <row r="69" customFormat="false" ht="16.4" hidden="false" customHeight="false" outlineLevel="0" collapsed="false">
      <c r="A69" s="3" t="n">
        <v>68</v>
      </c>
      <c r="B69" s="3" t="n">
        <v>4</v>
      </c>
      <c r="C69" s="3" t="s">
        <v>153</v>
      </c>
      <c r="D69" s="10" t="n">
        <v>68003</v>
      </c>
      <c r="E69" s="10" t="n">
        <f aca="false">ROUND(D69*INDEX(مناطق!$AF$2:$AF$23,B69),0)</f>
        <v>60166</v>
      </c>
      <c r="F69" s="11" t="n">
        <f aca="false">ROUND(100*(راهنما!$B$4*(H69-MIN($H$2:$H$350))/(MAX($H$2:$H$350)-MIN($H$2:$H$350))+راهنما!$B$5*(N69-MIN($N$2:$N$350))/(MAX($N$2:$N$350)-MIN($N$2:$N$350))+راهنما!$B$6*(J69-MIN($J$2:$J$350))/(MAX($J$2:$J$350)-MIN($J$2:$J$350))+راهنما!$B$7*(MAX($I$2:$I$350)-I69)/(MAX($I$2:$I$350)-MIN($I$2:$I$350)))/راهنما!$B$8,1)</f>
        <v>47.7</v>
      </c>
      <c r="G69" s="3" t="str">
        <f aca="false">IF(V69&lt;=ROUND(349*0.2,0),"بسیار بالا",IF(V69&lt;=ROUND(349*0.4,0),"بالا",IF(V69&lt;=ROUND(349*0.6,0),"متوسط",IF(V69&lt;=ROUND(349*0.8,0),"پایین","بسیار پایین"))))</f>
        <v>متوسط</v>
      </c>
      <c r="H69" s="11" t="n">
        <f aca="false">(100-I69)*(100-L69)/100</f>
        <v>68.72019</v>
      </c>
      <c r="I69" s="11" t="n">
        <v>12.01</v>
      </c>
      <c r="J69" s="11" t="n">
        <v>33.01</v>
      </c>
      <c r="K69" s="11" t="n">
        <f aca="false">J69/(1-I69/100)</f>
        <v>37.51562677577</v>
      </c>
      <c r="L69" s="11" t="n">
        <v>21.9</v>
      </c>
      <c r="M69" s="11" t="n">
        <v>31.59</v>
      </c>
      <c r="N69" s="11" t="n">
        <v>35.03</v>
      </c>
      <c r="O69" s="11" t="n">
        <v>4.14</v>
      </c>
      <c r="P69" s="10" t="n">
        <f aca="false">ROUND(E69*J69/100,0)</f>
        <v>19861</v>
      </c>
      <c r="Q69" s="10" t="n">
        <f aca="false">ROUND(P69*I69/(100-I69),0)</f>
        <v>2711</v>
      </c>
      <c r="R69" s="10" t="n">
        <f aca="false">ROUND(P69*(100-L69)/100,0)</f>
        <v>15511</v>
      </c>
      <c r="S69" s="10" t="n">
        <f aca="false">ROUND(P69*M69/100,0)</f>
        <v>6274</v>
      </c>
      <c r="T69" s="11" t="n">
        <v>68.49</v>
      </c>
      <c r="U69" s="11" t="n">
        <v>68.97</v>
      </c>
      <c r="V69" s="3" t="n">
        <f aca="false">RANK(F69,$F$2:$F$350,0)</f>
        <v>195</v>
      </c>
      <c r="W69" s="12" t="n">
        <v>306.5</v>
      </c>
      <c r="X69" s="10" t="n">
        <v>176</v>
      </c>
      <c r="Y69" s="3" t="s">
        <v>67</v>
      </c>
      <c r="Z69" s="3" t="s">
        <v>154</v>
      </c>
      <c r="AA69" s="13" t="s">
        <v>59</v>
      </c>
      <c r="AB69" s="11" t="n">
        <v>18.47</v>
      </c>
    </row>
    <row r="70" customFormat="false" ht="16.4" hidden="false" customHeight="false" outlineLevel="0" collapsed="false">
      <c r="A70" s="3" t="n">
        <v>69</v>
      </c>
      <c r="B70" s="3" t="n">
        <v>4</v>
      </c>
      <c r="C70" s="3" t="s">
        <v>155</v>
      </c>
      <c r="D70" s="10" t="n">
        <v>51698</v>
      </c>
      <c r="E70" s="10" t="n">
        <f aca="false">ROUND(D70*INDEX(مناطق!$AF$2:$AF$23,B70),0)</f>
        <v>45740</v>
      </c>
      <c r="F70" s="11" t="n">
        <f aca="false">ROUND(100*(راهنما!$B$4*(H70-MIN($H$2:$H$350))/(MAX($H$2:$H$350)-MIN($H$2:$H$350))+راهنما!$B$5*(N70-MIN($N$2:$N$350))/(MAX($N$2:$N$350)-MIN($N$2:$N$350))+راهنما!$B$6*(J70-MIN($J$2:$J$350))/(MAX($J$2:$J$350)-MIN($J$2:$J$350))+راهنما!$B$7*(MAX($I$2:$I$350)-I70)/(MAX($I$2:$I$350)-MIN($I$2:$I$350)))/راهنما!$B$8,1)</f>
        <v>47.3</v>
      </c>
      <c r="G70" s="3" t="str">
        <f aca="false">IF(V70&lt;=ROUND(349*0.2,0),"بسیار بالا",IF(V70&lt;=ROUND(349*0.4,0),"بالا",IF(V70&lt;=ROUND(349*0.6,0),"متوسط",IF(V70&lt;=ROUND(349*0.8,0),"پایین","بسیار پایین"))))</f>
        <v>متوسط</v>
      </c>
      <c r="H70" s="11" t="n">
        <f aca="false">(100-I70)*(100-L70)/100</f>
        <v>68.6322</v>
      </c>
      <c r="I70" s="11" t="n">
        <v>12.01</v>
      </c>
      <c r="J70" s="11" t="n">
        <v>33.03</v>
      </c>
      <c r="K70" s="11" t="n">
        <f aca="false">J70/(1-I70/100)</f>
        <v>37.5383566314354</v>
      </c>
      <c r="L70" s="11" t="n">
        <v>22</v>
      </c>
      <c r="M70" s="11" t="n">
        <v>31.59</v>
      </c>
      <c r="N70" s="11" t="n">
        <v>34.55</v>
      </c>
      <c r="O70" s="11" t="n">
        <v>4.17</v>
      </c>
      <c r="P70" s="10" t="n">
        <f aca="false">ROUND(E70*J70/100,0)</f>
        <v>15108</v>
      </c>
      <c r="Q70" s="10" t="n">
        <f aca="false">ROUND(P70*I70/(100-I70),0)</f>
        <v>2062</v>
      </c>
      <c r="R70" s="10" t="n">
        <f aca="false">ROUND(P70*(100-L70)/100,0)</f>
        <v>11784</v>
      </c>
      <c r="S70" s="10" t="n">
        <f aca="false">ROUND(P70*M70/100,0)</f>
        <v>4773</v>
      </c>
      <c r="T70" s="11" t="n">
        <v>68.44</v>
      </c>
      <c r="U70" s="11" t="n">
        <v>68.84</v>
      </c>
      <c r="V70" s="3" t="n">
        <f aca="false">RANK(F70,$F$2:$F$350,0)</f>
        <v>198</v>
      </c>
      <c r="W70" s="12" t="n">
        <v>255</v>
      </c>
      <c r="X70" s="10" t="n">
        <v>81</v>
      </c>
      <c r="Y70" s="3" t="s">
        <v>58</v>
      </c>
      <c r="Z70" s="3" t="s">
        <v>155</v>
      </c>
      <c r="AA70" s="13" t="s">
        <v>59</v>
      </c>
      <c r="AB70" s="11" t="n">
        <v>18.17</v>
      </c>
    </row>
    <row r="71" customFormat="false" ht="16.4" hidden="false" customHeight="false" outlineLevel="0" collapsed="false">
      <c r="A71" s="3" t="n">
        <v>70</v>
      </c>
      <c r="B71" s="3" t="n">
        <v>4</v>
      </c>
      <c r="C71" s="3" t="s">
        <v>156</v>
      </c>
      <c r="D71" s="10" t="n">
        <v>57312</v>
      </c>
      <c r="E71" s="10" t="n">
        <f aca="false">ROUND(D71*INDEX(مناطق!$AF$2:$AF$23,B71),0)</f>
        <v>50707</v>
      </c>
      <c r="F71" s="11" t="n">
        <f aca="false">ROUND(100*(راهنما!$B$4*(H71-MIN($H$2:$H$350))/(MAX($H$2:$H$350)-MIN($H$2:$H$350))+راهنما!$B$5*(N71-MIN($N$2:$N$350))/(MAX($N$2:$N$350)-MIN($N$2:$N$350))+راهنما!$B$6*(J71-MIN($J$2:$J$350))/(MAX($J$2:$J$350)-MIN($J$2:$J$350))+راهنما!$B$7*(MAX($I$2:$I$350)-I71)/(MAX($I$2:$I$350)-MIN($I$2:$I$350)))/راهنما!$B$8,1)</f>
        <v>45.9</v>
      </c>
      <c r="G71" s="3" t="str">
        <f aca="false">IF(V71&lt;=ROUND(349*0.2,0),"بسیار بالا",IF(V71&lt;=ROUND(349*0.4,0),"بالا",IF(V71&lt;=ROUND(349*0.6,0),"متوسط",IF(V71&lt;=ROUND(349*0.8,0),"پایین","بسیار پایین"))))</f>
        <v>متوسط</v>
      </c>
      <c r="H71" s="11" t="n">
        <f aca="false">(100-I71)*(100-L71)/100</f>
        <v>68.28024</v>
      </c>
      <c r="I71" s="11" t="n">
        <v>12.01</v>
      </c>
      <c r="J71" s="11" t="n">
        <v>33.09</v>
      </c>
      <c r="K71" s="11" t="n">
        <f aca="false">J71/(1-I71/100)</f>
        <v>37.6065461984316</v>
      </c>
      <c r="L71" s="11" t="n">
        <v>22.4</v>
      </c>
      <c r="M71" s="11" t="n">
        <v>31.59</v>
      </c>
      <c r="N71" s="11" t="n">
        <v>32.76</v>
      </c>
      <c r="O71" s="11" t="n">
        <v>4.28</v>
      </c>
      <c r="P71" s="10" t="n">
        <f aca="false">ROUND(E71*J71/100,0)</f>
        <v>16779</v>
      </c>
      <c r="Q71" s="10" t="n">
        <f aca="false">ROUND(P71*I71/(100-I71),0)</f>
        <v>2290</v>
      </c>
      <c r="R71" s="10" t="n">
        <f aca="false">ROUND(P71*(100-L71)/100,0)</f>
        <v>13021</v>
      </c>
      <c r="S71" s="10" t="n">
        <f aca="false">ROUND(P71*M71/100,0)</f>
        <v>5300</v>
      </c>
      <c r="T71" s="11" t="n">
        <v>68.24</v>
      </c>
      <c r="U71" s="11" t="n">
        <v>68.36</v>
      </c>
      <c r="V71" s="3" t="n">
        <f aca="false">RANK(F71,$F$2:$F$350,0)</f>
        <v>204</v>
      </c>
      <c r="W71" s="12"/>
      <c r="X71" s="10" t="n">
        <v>0</v>
      </c>
      <c r="Y71" s="3" t="s">
        <v>77</v>
      </c>
      <c r="Z71" s="13" t="s">
        <v>78</v>
      </c>
      <c r="AA71" s="13" t="s">
        <v>79</v>
      </c>
      <c r="AB71" s="11" t="n">
        <v>17.07</v>
      </c>
    </row>
    <row r="72" customFormat="false" ht="16.4" hidden="false" customHeight="false" outlineLevel="0" collapsed="false">
      <c r="A72" s="3" t="n">
        <v>71</v>
      </c>
      <c r="B72" s="3" t="n">
        <v>4</v>
      </c>
      <c r="C72" s="3" t="s">
        <v>80</v>
      </c>
      <c r="D72" s="10" t="n">
        <v>40336</v>
      </c>
      <c r="E72" s="10" t="n">
        <f aca="false">ROUND(D72*INDEX(مناطق!$AF$2:$AF$23,B72),0)</f>
        <v>35688</v>
      </c>
      <c r="F72" s="11" t="n">
        <f aca="false">ROUND(100*(راهنما!$B$4*(H72-MIN($H$2:$H$350))/(MAX($H$2:$H$350)-MIN($H$2:$H$350))+راهنما!$B$5*(N72-MIN($N$2:$N$350))/(MAX($N$2:$N$350)-MIN($N$2:$N$350))+راهنما!$B$6*(J72-MIN($J$2:$J$350))/(MAX($J$2:$J$350)-MIN($J$2:$J$350))+راهنما!$B$7*(MAX($I$2:$I$350)-I72)/(MAX($I$2:$I$350)-MIN($I$2:$I$350)))/راهنما!$B$8,1)</f>
        <v>45.9</v>
      </c>
      <c r="G72" s="3" t="str">
        <f aca="false">IF(V72&lt;=ROUND(349*0.2,0),"بسیار بالا",IF(V72&lt;=ROUND(349*0.4,0),"بالا",IF(V72&lt;=ROUND(349*0.6,0),"متوسط",IF(V72&lt;=ROUND(349*0.8,0),"پایین","بسیار پایین"))))</f>
        <v>متوسط</v>
      </c>
      <c r="H72" s="11" t="n">
        <f aca="false">(100-I72)*(100-L72)/100</f>
        <v>68.28024</v>
      </c>
      <c r="I72" s="11" t="n">
        <v>12.01</v>
      </c>
      <c r="J72" s="11" t="n">
        <v>33.09</v>
      </c>
      <c r="K72" s="11" t="n">
        <f aca="false">J72/(1-I72/100)</f>
        <v>37.6065461984316</v>
      </c>
      <c r="L72" s="11" t="n">
        <v>22.4</v>
      </c>
      <c r="M72" s="11" t="n">
        <v>31.59</v>
      </c>
      <c r="N72" s="11" t="n">
        <v>32.76</v>
      </c>
      <c r="O72" s="11" t="n">
        <v>4.28</v>
      </c>
      <c r="P72" s="10" t="n">
        <f aca="false">ROUND(E72*J72/100,0)</f>
        <v>11809</v>
      </c>
      <c r="Q72" s="10" t="n">
        <f aca="false">ROUND(P72*I72/(100-I72),0)</f>
        <v>1612</v>
      </c>
      <c r="R72" s="10" t="n">
        <f aca="false">ROUND(P72*(100-L72)/100,0)</f>
        <v>9164</v>
      </c>
      <c r="S72" s="10" t="n">
        <f aca="false">ROUND(P72*M72/100,0)</f>
        <v>3730</v>
      </c>
      <c r="T72" s="11" t="n">
        <v>68.24</v>
      </c>
      <c r="U72" s="11" t="n">
        <v>68.36</v>
      </c>
      <c r="V72" s="3" t="n">
        <f aca="false">RANK(F72,$F$2:$F$350,0)</f>
        <v>204</v>
      </c>
      <c r="W72" s="12"/>
      <c r="X72" s="10" t="n">
        <v>0</v>
      </c>
      <c r="Y72" s="3" t="s">
        <v>77</v>
      </c>
      <c r="Z72" s="13" t="s">
        <v>78</v>
      </c>
      <c r="AA72" s="13" t="s">
        <v>79</v>
      </c>
      <c r="AB72" s="11" t="n">
        <v>17.07</v>
      </c>
    </row>
    <row r="73" customFormat="false" ht="16.4" hidden="false" customHeight="false" outlineLevel="0" collapsed="false">
      <c r="A73" s="3" t="n">
        <v>72</v>
      </c>
      <c r="B73" s="3" t="n">
        <v>4</v>
      </c>
      <c r="C73" s="3" t="s">
        <v>157</v>
      </c>
      <c r="D73" s="10" t="n">
        <v>30228</v>
      </c>
      <c r="E73" s="10" t="n">
        <f aca="false">ROUND(D73*INDEX(مناطق!$AF$2:$AF$23,B73),0)</f>
        <v>26745</v>
      </c>
      <c r="F73" s="11" t="n">
        <f aca="false">ROUND(100*(راهنما!$B$4*(H73-MIN($H$2:$H$350))/(MAX($H$2:$H$350)-MIN($H$2:$H$350))+راهنما!$B$5*(N73-MIN($N$2:$N$350))/(MAX($N$2:$N$350)-MIN($N$2:$N$350))+راهنما!$B$6*(J73-MIN($J$2:$J$350))/(MAX($J$2:$J$350)-MIN($J$2:$J$350))+راهنما!$B$7*(MAX($I$2:$I$350)-I73)/(MAX($I$2:$I$350)-MIN($I$2:$I$350)))/راهنما!$B$8,1)</f>
        <v>45.9</v>
      </c>
      <c r="G73" s="3" t="str">
        <f aca="false">IF(V73&lt;=ROUND(349*0.2,0),"بسیار بالا",IF(V73&lt;=ROUND(349*0.4,0),"بالا",IF(V73&lt;=ROUND(349*0.6,0),"متوسط",IF(V73&lt;=ROUND(349*0.8,0),"پایین","بسیار پایین"))))</f>
        <v>متوسط</v>
      </c>
      <c r="H73" s="11" t="n">
        <f aca="false">(100-I73)*(100-L73)/100</f>
        <v>68.28024</v>
      </c>
      <c r="I73" s="11" t="n">
        <v>12.01</v>
      </c>
      <c r="J73" s="11" t="n">
        <v>33.09</v>
      </c>
      <c r="K73" s="11" t="n">
        <f aca="false">J73/(1-I73/100)</f>
        <v>37.6065461984316</v>
      </c>
      <c r="L73" s="11" t="n">
        <v>22.4</v>
      </c>
      <c r="M73" s="11" t="n">
        <v>31.59</v>
      </c>
      <c r="N73" s="11" t="n">
        <v>32.76</v>
      </c>
      <c r="O73" s="11" t="n">
        <v>4.28</v>
      </c>
      <c r="P73" s="10" t="n">
        <f aca="false">ROUND(E73*J73/100,0)</f>
        <v>8850</v>
      </c>
      <c r="Q73" s="10" t="n">
        <f aca="false">ROUND(P73*I73/(100-I73),0)</f>
        <v>1208</v>
      </c>
      <c r="R73" s="10" t="n">
        <f aca="false">ROUND(P73*(100-L73)/100,0)</f>
        <v>6868</v>
      </c>
      <c r="S73" s="10" t="n">
        <f aca="false">ROUND(P73*M73/100,0)</f>
        <v>2796</v>
      </c>
      <c r="T73" s="11" t="n">
        <v>68.24</v>
      </c>
      <c r="U73" s="11" t="n">
        <v>68.36</v>
      </c>
      <c r="V73" s="3" t="n">
        <f aca="false">RANK(F73,$F$2:$F$350,0)</f>
        <v>204</v>
      </c>
      <c r="W73" s="12"/>
      <c r="X73" s="10" t="n">
        <v>0</v>
      </c>
      <c r="Y73" s="3" t="s">
        <v>77</v>
      </c>
      <c r="Z73" s="13" t="s">
        <v>78</v>
      </c>
      <c r="AA73" s="13" t="s">
        <v>79</v>
      </c>
      <c r="AB73" s="11" t="n">
        <v>17.07</v>
      </c>
    </row>
    <row r="74" customFormat="false" ht="16.4" hidden="false" customHeight="false" outlineLevel="0" collapsed="false">
      <c r="A74" s="3" t="n">
        <v>73</v>
      </c>
      <c r="B74" s="3" t="n">
        <v>4</v>
      </c>
      <c r="C74" s="3" t="s">
        <v>158</v>
      </c>
      <c r="D74" s="10" t="n">
        <v>21603</v>
      </c>
      <c r="E74" s="10" t="n">
        <f aca="false">ROUND(D74*INDEX(مناطق!$AF$2:$AF$23,B74),0)</f>
        <v>19113</v>
      </c>
      <c r="F74" s="11" t="n">
        <f aca="false">ROUND(100*(راهنما!$B$4*(H74-MIN($H$2:$H$350))/(MAX($H$2:$H$350)-MIN($H$2:$H$350))+راهنما!$B$5*(N74-MIN($N$2:$N$350))/(MAX($N$2:$N$350)-MIN($N$2:$N$350))+راهنما!$B$6*(J74-MIN($J$2:$J$350))/(MAX($J$2:$J$350)-MIN($J$2:$J$350))+راهنما!$B$7*(MAX($I$2:$I$350)-I74)/(MAX($I$2:$I$350)-MIN($I$2:$I$350)))/راهنما!$B$8,1)</f>
        <v>45.9</v>
      </c>
      <c r="G74" s="3" t="str">
        <f aca="false">IF(V74&lt;=ROUND(349*0.2,0),"بسیار بالا",IF(V74&lt;=ROUND(349*0.4,0),"بالا",IF(V74&lt;=ROUND(349*0.6,0),"متوسط",IF(V74&lt;=ROUND(349*0.8,0),"پایین","بسیار پایین"))))</f>
        <v>متوسط</v>
      </c>
      <c r="H74" s="11" t="n">
        <f aca="false">(100-I74)*(100-L74)/100</f>
        <v>68.28024</v>
      </c>
      <c r="I74" s="11" t="n">
        <v>12.01</v>
      </c>
      <c r="J74" s="11" t="n">
        <v>33.09</v>
      </c>
      <c r="K74" s="11" t="n">
        <f aca="false">J74/(1-I74/100)</f>
        <v>37.6065461984316</v>
      </c>
      <c r="L74" s="11" t="n">
        <v>22.4</v>
      </c>
      <c r="M74" s="11" t="n">
        <v>31.59</v>
      </c>
      <c r="N74" s="11" t="n">
        <v>32.76</v>
      </c>
      <c r="O74" s="11" t="n">
        <v>4.28</v>
      </c>
      <c r="P74" s="10" t="n">
        <f aca="false">ROUND(E74*J74/100,0)</f>
        <v>6324</v>
      </c>
      <c r="Q74" s="10" t="n">
        <f aca="false">ROUND(P74*I74/(100-I74),0)</f>
        <v>863</v>
      </c>
      <c r="R74" s="10" t="n">
        <f aca="false">ROUND(P74*(100-L74)/100,0)</f>
        <v>4907</v>
      </c>
      <c r="S74" s="10" t="n">
        <f aca="false">ROUND(P74*M74/100,0)</f>
        <v>1998</v>
      </c>
      <c r="T74" s="11" t="n">
        <v>68.24</v>
      </c>
      <c r="U74" s="11" t="n">
        <v>68.36</v>
      </c>
      <c r="V74" s="3" t="n">
        <f aca="false">RANK(F74,$F$2:$F$350,0)</f>
        <v>204</v>
      </c>
      <c r="W74" s="12"/>
      <c r="X74" s="10" t="n">
        <v>0</v>
      </c>
      <c r="Y74" s="3" t="s">
        <v>77</v>
      </c>
      <c r="Z74" s="13" t="s">
        <v>78</v>
      </c>
      <c r="AA74" s="13" t="s">
        <v>79</v>
      </c>
      <c r="AB74" s="11" t="n">
        <v>17.07</v>
      </c>
    </row>
    <row r="75" customFormat="false" ht="16.4" hidden="false" customHeight="false" outlineLevel="0" collapsed="false">
      <c r="A75" s="3" t="n">
        <v>74</v>
      </c>
      <c r="B75" s="3" t="n">
        <v>4</v>
      </c>
      <c r="C75" s="3" t="s">
        <v>159</v>
      </c>
      <c r="D75" s="10" t="n">
        <v>46880</v>
      </c>
      <c r="E75" s="10" t="n">
        <f aca="false">ROUND(D75*INDEX(مناطق!$AF$2:$AF$23,B75),0)</f>
        <v>41478</v>
      </c>
      <c r="F75" s="11" t="n">
        <f aca="false">ROUND(100*(راهنما!$B$4*(H75-MIN($H$2:$H$350))/(MAX($H$2:$H$350)-MIN($H$2:$H$350))+راهنما!$B$5*(N75-MIN($N$2:$N$350))/(MAX($N$2:$N$350)-MIN($N$2:$N$350))+راهنما!$B$6*(J75-MIN($J$2:$J$350))/(MAX($J$2:$J$350)-MIN($J$2:$J$350))+راهنما!$B$7*(MAX($I$2:$I$350)-I75)/(MAX($I$2:$I$350)-MIN($I$2:$I$350)))/راهنما!$B$8,1)</f>
        <v>45.5</v>
      </c>
      <c r="G75" s="3" t="str">
        <f aca="false">IF(V75&lt;=ROUND(349*0.2,0),"بسیار بالا",IF(V75&lt;=ROUND(349*0.4,0),"بالا",IF(V75&lt;=ROUND(349*0.6,0),"متوسط",IF(V75&lt;=ROUND(349*0.8,0),"پایین","بسیار پایین"))))</f>
        <v>متوسط</v>
      </c>
      <c r="H75" s="11" t="n">
        <f aca="false">(100-I75)*(100-L75)/100</f>
        <v>68.148255</v>
      </c>
      <c r="I75" s="11" t="n">
        <v>12.01</v>
      </c>
      <c r="J75" s="11" t="n">
        <v>33.12</v>
      </c>
      <c r="K75" s="11" t="n">
        <f aca="false">J75/(1-I75/100)</f>
        <v>37.6406409819298</v>
      </c>
      <c r="L75" s="11" t="n">
        <v>22.55</v>
      </c>
      <c r="M75" s="11" t="n">
        <v>31.59</v>
      </c>
      <c r="N75" s="11" t="n">
        <v>32.07</v>
      </c>
      <c r="O75" s="11" t="n">
        <v>4.33</v>
      </c>
      <c r="P75" s="10" t="n">
        <f aca="false">ROUND(E75*J75/100,0)</f>
        <v>13738</v>
      </c>
      <c r="Q75" s="10" t="n">
        <f aca="false">ROUND(P75*I75/(100-I75),0)</f>
        <v>1875</v>
      </c>
      <c r="R75" s="10" t="n">
        <f aca="false">ROUND(P75*(100-L75)/100,0)</f>
        <v>10640</v>
      </c>
      <c r="S75" s="10" t="n">
        <f aca="false">ROUND(P75*M75/100,0)</f>
        <v>4340</v>
      </c>
      <c r="T75" s="11" t="n">
        <v>68.16</v>
      </c>
      <c r="U75" s="11" t="n">
        <v>68.17</v>
      </c>
      <c r="V75" s="3" t="n">
        <f aca="false">RANK(F75,$F$2:$F$350,0)</f>
        <v>209</v>
      </c>
      <c r="W75" s="12" t="n">
        <v>233.8</v>
      </c>
      <c r="X75" s="10" t="n">
        <v>87</v>
      </c>
      <c r="Y75" s="3" t="s">
        <v>58</v>
      </c>
      <c r="Z75" s="3" t="s">
        <v>159</v>
      </c>
      <c r="AA75" s="13" t="s">
        <v>59</v>
      </c>
      <c r="AB75" s="11" t="n">
        <v>16.65</v>
      </c>
    </row>
    <row r="76" customFormat="false" ht="16.4" hidden="false" customHeight="false" outlineLevel="0" collapsed="false">
      <c r="A76" s="3" t="n">
        <v>75</v>
      </c>
      <c r="B76" s="3" t="n">
        <v>4</v>
      </c>
      <c r="C76" s="3" t="s">
        <v>160</v>
      </c>
      <c r="D76" s="10" t="n">
        <v>32569</v>
      </c>
      <c r="E76" s="10" t="n">
        <f aca="false">ROUND(D76*INDEX(مناطق!$AF$2:$AF$23,B76),0)</f>
        <v>28816</v>
      </c>
      <c r="F76" s="11" t="n">
        <f aca="false">ROUND(100*(راهنما!$B$4*(H76-MIN($H$2:$H$350))/(MAX($H$2:$H$350)-MIN($H$2:$H$350))+راهنما!$B$5*(N76-MIN($N$2:$N$350))/(MAX($N$2:$N$350)-MIN($N$2:$N$350))+راهنما!$B$6*(J76-MIN($J$2:$J$350))/(MAX($J$2:$J$350)-MIN($J$2:$J$350))+راهنما!$B$7*(MAX($I$2:$I$350)-I76)/(MAX($I$2:$I$350)-MIN($I$2:$I$350)))/راهنما!$B$8,1)</f>
        <v>44.8</v>
      </c>
      <c r="G76" s="3" t="str">
        <f aca="false">IF(V76&lt;=ROUND(349*0.2,0),"بسیار بالا",IF(V76&lt;=ROUND(349*0.4,0),"بالا",IF(V76&lt;=ROUND(349*0.6,0),"متوسط",IF(V76&lt;=ROUND(349*0.8,0),"پایین","بسیار پایین"))))</f>
        <v>پایین</v>
      </c>
      <c r="H76" s="11" t="n">
        <f aca="false">(100-I76)*(100-L76)/100</f>
        <v>67.981074</v>
      </c>
      <c r="I76" s="11" t="n">
        <v>12.01</v>
      </c>
      <c r="J76" s="11" t="n">
        <v>33.15</v>
      </c>
      <c r="K76" s="11" t="n">
        <f aca="false">J76/(1-I76/100)</f>
        <v>37.6747357654279</v>
      </c>
      <c r="L76" s="11" t="n">
        <v>22.74</v>
      </c>
      <c r="M76" s="11" t="n">
        <v>31.59</v>
      </c>
      <c r="N76" s="11" t="n">
        <v>31.23</v>
      </c>
      <c r="O76" s="11" t="n">
        <v>4.39</v>
      </c>
      <c r="P76" s="10" t="n">
        <f aca="false">ROUND(E76*J76/100,0)</f>
        <v>9553</v>
      </c>
      <c r="Q76" s="10" t="n">
        <f aca="false">ROUND(P76*I76/(100-I76),0)</f>
        <v>1304</v>
      </c>
      <c r="R76" s="10" t="n">
        <f aca="false">ROUND(P76*(100-L76)/100,0)</f>
        <v>7381</v>
      </c>
      <c r="S76" s="10" t="n">
        <f aca="false">ROUND(P76*M76/100,0)</f>
        <v>3018</v>
      </c>
      <c r="T76" s="11" t="n">
        <v>67.92</v>
      </c>
      <c r="U76" s="11" t="n">
        <v>68.06</v>
      </c>
      <c r="V76" s="3" t="n">
        <f aca="false">RANK(F76,$F$2:$F$350,0)</f>
        <v>212</v>
      </c>
      <c r="W76" s="12" t="n">
        <v>230</v>
      </c>
      <c r="X76" s="10" t="n">
        <v>85</v>
      </c>
      <c r="Y76" s="3" t="s">
        <v>58</v>
      </c>
      <c r="Z76" s="3" t="s">
        <v>161</v>
      </c>
      <c r="AA76" s="13" t="s">
        <v>59</v>
      </c>
      <c r="AB76" s="11" t="n">
        <v>16.15</v>
      </c>
    </row>
    <row r="77" customFormat="false" ht="16.4" hidden="false" customHeight="false" outlineLevel="0" collapsed="false">
      <c r="A77" s="3" t="n">
        <v>76</v>
      </c>
      <c r="B77" s="3" t="n">
        <v>4</v>
      </c>
      <c r="C77" s="3" t="s">
        <v>162</v>
      </c>
      <c r="D77" s="10" t="n">
        <v>49864</v>
      </c>
      <c r="E77" s="10" t="n">
        <f aca="false">ROUND(D77*INDEX(مناطق!$AF$2:$AF$23,B77),0)</f>
        <v>44118</v>
      </c>
      <c r="F77" s="11" t="n">
        <f aca="false">ROUND(100*(راهنما!$B$4*(H77-MIN($H$2:$H$350))/(MAX($H$2:$H$350)-MIN($H$2:$H$350))+راهنما!$B$5*(N77-MIN($N$2:$N$350))/(MAX($N$2:$N$350)-MIN($N$2:$N$350))+راهنما!$B$6*(J77-MIN($J$2:$J$350))/(MAX($J$2:$J$350)-MIN($J$2:$J$350))+راهنما!$B$7*(MAX($I$2:$I$350)-I77)/(MAX($I$2:$I$350)-MIN($I$2:$I$350)))/راهنما!$B$8,1)</f>
        <v>42.9</v>
      </c>
      <c r="G77" s="3" t="str">
        <f aca="false">IF(V77&lt;=ROUND(349*0.2,0),"بسیار بالا",IF(V77&lt;=ROUND(349*0.4,0),"بالا",IF(V77&lt;=ROUND(349*0.6,0),"متوسط",IF(V77&lt;=ROUND(349*0.8,0),"پایین","بسیار پایین"))))</f>
        <v>پایین</v>
      </c>
      <c r="H77" s="11" t="n">
        <f aca="false">(100-I77)*(100-L77)/100</f>
        <v>67.470732</v>
      </c>
      <c r="I77" s="11" t="n">
        <v>12.01</v>
      </c>
      <c r="J77" s="11" t="n">
        <v>33.25</v>
      </c>
      <c r="K77" s="11" t="n">
        <f aca="false">J77/(1-I77/100)</f>
        <v>37.788385043755</v>
      </c>
      <c r="L77" s="11" t="n">
        <v>23.32</v>
      </c>
      <c r="M77" s="11" t="n">
        <v>31.59</v>
      </c>
      <c r="N77" s="11" t="n">
        <v>28.8</v>
      </c>
      <c r="O77" s="11" t="n">
        <v>4.56</v>
      </c>
      <c r="P77" s="10" t="n">
        <f aca="false">ROUND(E77*J77/100,0)</f>
        <v>14669</v>
      </c>
      <c r="Q77" s="10" t="n">
        <f aca="false">ROUND(P77*I77/(100-I77),0)</f>
        <v>2002</v>
      </c>
      <c r="R77" s="10" t="n">
        <f aca="false">ROUND(P77*(100-L77)/100,0)</f>
        <v>11248</v>
      </c>
      <c r="S77" s="10" t="n">
        <f aca="false">ROUND(P77*M77/100,0)</f>
        <v>4634</v>
      </c>
      <c r="T77" s="11" t="n">
        <v>67.2</v>
      </c>
      <c r="U77" s="11" t="n">
        <v>67.77</v>
      </c>
      <c r="V77" s="3" t="n">
        <f aca="false">RANK(F77,$F$2:$F$350,0)</f>
        <v>233</v>
      </c>
      <c r="W77" s="12" t="n">
        <v>213.3</v>
      </c>
      <c r="X77" s="10" t="n">
        <v>86</v>
      </c>
      <c r="Y77" s="3" t="s">
        <v>58</v>
      </c>
      <c r="Z77" s="3" t="s">
        <v>162</v>
      </c>
      <c r="AA77" s="13" t="s">
        <v>59</v>
      </c>
      <c r="AB77" s="11" t="n">
        <v>14.72</v>
      </c>
    </row>
    <row r="78" customFormat="false" ht="16.4" hidden="false" customHeight="false" outlineLevel="0" collapsed="false">
      <c r="A78" s="3" t="n">
        <v>77</v>
      </c>
      <c r="B78" s="3" t="n">
        <v>4</v>
      </c>
      <c r="C78" s="3" t="s">
        <v>163</v>
      </c>
      <c r="D78" s="10" t="n">
        <v>21787</v>
      </c>
      <c r="E78" s="10" t="n">
        <f aca="false">ROUND(D78*INDEX(مناطق!$AF$2:$AF$23,B78),0)</f>
        <v>19276</v>
      </c>
      <c r="F78" s="11" t="n">
        <f aca="false">ROUND(100*(راهنما!$B$4*(H78-MIN($H$2:$H$350))/(MAX($H$2:$H$350)-MIN($H$2:$H$350))+راهنما!$B$5*(N78-MIN($N$2:$N$350))/(MAX($N$2:$N$350)-MIN($N$2:$N$350))+راهنما!$B$6*(J78-MIN($J$2:$J$350))/(MAX($J$2:$J$350)-MIN($J$2:$J$350))+راهنما!$B$7*(MAX($I$2:$I$350)-I78)/(MAX($I$2:$I$350)-MIN($I$2:$I$350)))/راهنما!$B$8,1)</f>
        <v>42.8</v>
      </c>
      <c r="G78" s="3" t="str">
        <f aca="false">IF(V78&lt;=ROUND(349*0.2,0),"بسیار بالا",IF(V78&lt;=ROUND(349*0.4,0),"بالا",IF(V78&lt;=ROUND(349*0.6,0),"متوسط",IF(V78&lt;=ROUND(349*0.8,0),"پایین","بسیار پایین"))))</f>
        <v>پایین</v>
      </c>
      <c r="H78" s="11" t="n">
        <f aca="false">(100-I78)*(100-L78)/100</f>
        <v>67.444335</v>
      </c>
      <c r="I78" s="11" t="n">
        <v>12.01</v>
      </c>
      <c r="J78" s="11" t="n">
        <v>33.25</v>
      </c>
      <c r="K78" s="11" t="n">
        <f aca="false">J78/(1-I78/100)</f>
        <v>37.788385043755</v>
      </c>
      <c r="L78" s="11" t="n">
        <v>23.35</v>
      </c>
      <c r="M78" s="11" t="n">
        <v>31.59</v>
      </c>
      <c r="N78" s="11" t="n">
        <v>28.71</v>
      </c>
      <c r="O78" s="11" t="n">
        <v>4.57</v>
      </c>
      <c r="P78" s="10" t="n">
        <f aca="false">ROUND(E78*J78/100,0)</f>
        <v>6409</v>
      </c>
      <c r="Q78" s="10" t="n">
        <f aca="false">ROUND(P78*I78/(100-I78),0)</f>
        <v>875</v>
      </c>
      <c r="R78" s="10" t="n">
        <f aca="false">ROUND(P78*(100-L78)/100,0)</f>
        <v>4912</v>
      </c>
      <c r="S78" s="10" t="n">
        <f aca="false">ROUND(P78*M78/100,0)</f>
        <v>2025</v>
      </c>
      <c r="T78" s="11" t="n">
        <v>67.17</v>
      </c>
      <c r="U78" s="11" t="n">
        <v>67.76</v>
      </c>
      <c r="V78" s="3" t="n">
        <f aca="false">RANK(F78,$F$2:$F$350,0)</f>
        <v>235</v>
      </c>
      <c r="W78" s="12" t="n">
        <v>219.7</v>
      </c>
      <c r="X78" s="10" t="n">
        <v>90</v>
      </c>
      <c r="Y78" s="3" t="s">
        <v>67</v>
      </c>
      <c r="Z78" s="3" t="s">
        <v>164</v>
      </c>
      <c r="AA78" s="13" t="s">
        <v>59</v>
      </c>
      <c r="AB78" s="11" t="n">
        <v>14.67</v>
      </c>
    </row>
    <row r="79" customFormat="false" ht="16.4" hidden="false" customHeight="false" outlineLevel="0" collapsed="false">
      <c r="A79" s="3" t="n">
        <v>78</v>
      </c>
      <c r="B79" s="3" t="n">
        <v>4</v>
      </c>
      <c r="C79" s="3" t="s">
        <v>165</v>
      </c>
      <c r="D79" s="10" t="n">
        <v>66818</v>
      </c>
      <c r="E79" s="10" t="n">
        <f aca="false">ROUND(D79*INDEX(مناطق!$AF$2:$AF$23,B79),0)</f>
        <v>59118</v>
      </c>
      <c r="F79" s="11" t="n">
        <f aca="false">ROUND(100*(راهنما!$B$4*(H79-MIN($H$2:$H$350))/(MAX($H$2:$H$350)-MIN($H$2:$H$350))+راهنما!$B$5*(N79-MIN($N$2:$N$350))/(MAX($N$2:$N$350)-MIN($N$2:$N$350))+راهنما!$B$6*(J79-MIN($J$2:$J$350))/(MAX($J$2:$J$350)-MIN($J$2:$J$350))+راهنما!$B$7*(MAX($I$2:$I$350)-I79)/(MAX($I$2:$I$350)-MIN($I$2:$I$350)))/راهنما!$B$8,1)</f>
        <v>41.6</v>
      </c>
      <c r="G79" s="3" t="str">
        <f aca="false">IF(V79&lt;=ROUND(349*0.2,0),"بسیار بالا",IF(V79&lt;=ROUND(349*0.4,0),"بالا",IF(V79&lt;=ROUND(349*0.6,0),"متوسط",IF(V79&lt;=ROUND(349*0.8,0),"پایین","بسیار پایین"))))</f>
        <v>پایین</v>
      </c>
      <c r="H79" s="11" t="n">
        <f aca="false">(100-I79)*(100-L79)/100</f>
        <v>67.083576</v>
      </c>
      <c r="I79" s="11" t="n">
        <v>12.01</v>
      </c>
      <c r="J79" s="11" t="n">
        <v>33.32</v>
      </c>
      <c r="K79" s="11" t="n">
        <f aca="false">J79/(1-I79/100)</f>
        <v>37.8679395385839</v>
      </c>
      <c r="L79" s="11" t="n">
        <v>23.76</v>
      </c>
      <c r="M79" s="11" t="n">
        <v>31.59</v>
      </c>
      <c r="N79" s="11" t="n">
        <v>27.08</v>
      </c>
      <c r="O79" s="11" t="n">
        <v>4.7</v>
      </c>
      <c r="P79" s="10" t="n">
        <f aca="false">ROUND(E79*J79/100,0)</f>
        <v>19698</v>
      </c>
      <c r="Q79" s="10" t="n">
        <f aca="false">ROUND(P79*I79/(100-I79),0)</f>
        <v>2689</v>
      </c>
      <c r="R79" s="10" t="n">
        <f aca="false">ROUND(P79*(100-L79)/100,0)</f>
        <v>15018</v>
      </c>
      <c r="S79" s="10" t="n">
        <f aca="false">ROUND(P79*M79/100,0)</f>
        <v>6223</v>
      </c>
      <c r="T79" s="11" t="n">
        <v>66.65</v>
      </c>
      <c r="U79" s="11" t="n">
        <v>67.55</v>
      </c>
      <c r="V79" s="3" t="n">
        <f aca="false">RANK(F79,$F$2:$F$350,0)</f>
        <v>244</v>
      </c>
      <c r="W79" s="12" t="n">
        <v>211.1</v>
      </c>
      <c r="X79" s="10" t="n">
        <v>85</v>
      </c>
      <c r="Y79" s="3" t="s">
        <v>58</v>
      </c>
      <c r="Z79" s="3" t="s">
        <v>165</v>
      </c>
      <c r="AA79" s="13" t="s">
        <v>59</v>
      </c>
      <c r="AB79" s="11" t="n">
        <v>13.74</v>
      </c>
    </row>
    <row r="80" customFormat="false" ht="16.4" hidden="false" customHeight="false" outlineLevel="0" collapsed="false">
      <c r="A80" s="3" t="n">
        <v>79</v>
      </c>
      <c r="B80" s="3" t="n">
        <v>4</v>
      </c>
      <c r="C80" s="3" t="s">
        <v>166</v>
      </c>
      <c r="D80" s="10" t="n">
        <v>58768</v>
      </c>
      <c r="E80" s="10" t="n">
        <f aca="false">ROUND(D80*INDEX(مناطق!$AF$2:$AF$23,B80),0)</f>
        <v>51996</v>
      </c>
      <c r="F80" s="11" t="n">
        <f aca="false">ROUND(100*(راهنما!$B$4*(H80-MIN($H$2:$H$350))/(MAX($H$2:$H$350)-MIN($H$2:$H$350))+راهنما!$B$5*(N80-MIN($N$2:$N$350))/(MAX($N$2:$N$350)-MIN($N$2:$N$350))+راهنما!$B$6*(J80-MIN($J$2:$J$350))/(MAX($J$2:$J$350)-MIN($J$2:$J$350))+راهنما!$B$7*(MAX($I$2:$I$350)-I80)/(MAX($I$2:$I$350)-MIN($I$2:$I$350)))/راهنما!$B$8,1)</f>
        <v>35.3</v>
      </c>
      <c r="G80" s="3" t="str">
        <f aca="false">IF(V80&lt;=ROUND(349*0.2,0),"بسیار بالا",IF(V80&lt;=ROUND(349*0.4,0),"بالا",IF(V80&lt;=ROUND(349*0.6,0),"متوسط",IF(V80&lt;=ROUND(349*0.8,0),"پایین","بسیار پایین"))))</f>
        <v>بسیار پایین</v>
      </c>
      <c r="H80" s="11" t="n">
        <f aca="false">(100-I80)*(100-L80)/100</f>
        <v>65.191791</v>
      </c>
      <c r="I80" s="11" t="n">
        <v>12.01</v>
      </c>
      <c r="J80" s="11" t="n">
        <v>33.67</v>
      </c>
      <c r="K80" s="11" t="n">
        <f aca="false">J80/(1-I80/100)</f>
        <v>38.2657120127287</v>
      </c>
      <c r="L80" s="11" t="n">
        <v>25.91</v>
      </c>
      <c r="M80" s="11" t="n">
        <v>31.59</v>
      </c>
      <c r="N80" s="11" t="n">
        <v>19.82</v>
      </c>
      <c r="O80" s="11" t="n">
        <v>5.39</v>
      </c>
      <c r="P80" s="10" t="n">
        <f aca="false">ROUND(E80*J80/100,0)</f>
        <v>17507</v>
      </c>
      <c r="Q80" s="10" t="n">
        <f aca="false">ROUND(P80*I80/(100-I80),0)</f>
        <v>2390</v>
      </c>
      <c r="R80" s="10" t="n">
        <f aca="false">ROUND(P80*(100-L80)/100,0)</f>
        <v>12971</v>
      </c>
      <c r="S80" s="10" t="n">
        <f aca="false">ROUND(P80*M80/100,0)</f>
        <v>5530</v>
      </c>
      <c r="T80" s="11" t="n">
        <v>63.9</v>
      </c>
      <c r="U80" s="11" t="n">
        <v>66.48</v>
      </c>
      <c r="V80" s="3" t="n">
        <f aca="false">RANK(F80,$F$2:$F$350,0)</f>
        <v>314</v>
      </c>
      <c r="W80" s="12" t="n">
        <v>170</v>
      </c>
      <c r="X80" s="10" t="n">
        <v>79</v>
      </c>
      <c r="Y80" s="3" t="s">
        <v>67</v>
      </c>
      <c r="Z80" s="3" t="s">
        <v>167</v>
      </c>
      <c r="AA80" s="13" t="s">
        <v>59</v>
      </c>
      <c r="AB80" s="11" t="n">
        <v>9.78</v>
      </c>
    </row>
    <row r="81" customFormat="false" ht="16.4" hidden="false" customHeight="false" outlineLevel="0" collapsed="false">
      <c r="A81" s="3" t="n">
        <v>80</v>
      </c>
      <c r="B81" s="3" t="n">
        <v>4</v>
      </c>
      <c r="C81" s="3" t="s">
        <v>168</v>
      </c>
      <c r="D81" s="10" t="n">
        <v>44857</v>
      </c>
      <c r="E81" s="10" t="n">
        <f aca="false">ROUND(D81*INDEX(مناطق!$AF$2:$AF$23,B81),0)</f>
        <v>39688</v>
      </c>
      <c r="F81" s="11" t="n">
        <f aca="false">ROUND(100*(راهنما!$B$4*(H81-MIN($H$2:$H$350))/(MAX($H$2:$H$350)-MIN($H$2:$H$350))+راهنما!$B$5*(N81-MIN($N$2:$N$350))/(MAX($N$2:$N$350)-MIN($N$2:$N$350))+راهنما!$B$6*(J81-MIN($J$2:$J$350))/(MAX($J$2:$J$350)-MIN($J$2:$J$350))+راهنما!$B$7*(MAX($I$2:$I$350)-I81)/(MAX($I$2:$I$350)-MIN($I$2:$I$350)))/راهنما!$B$8,1)</f>
        <v>25.5</v>
      </c>
      <c r="G81" s="3" t="str">
        <f aca="false">IF(V81&lt;=ROUND(349*0.2,0),"بسیار بالا",IF(V81&lt;=ROUND(349*0.4,0),"بالا",IF(V81&lt;=ROUND(349*0.6,0),"متوسط",IF(V81&lt;=ROUND(349*0.8,0),"پایین","بسیار پایین"))))</f>
        <v>بسیار پایین</v>
      </c>
      <c r="H81" s="11" t="n">
        <f aca="false">(100-I81)*(100-L81)/100</f>
        <v>61.619397</v>
      </c>
      <c r="I81" s="11" t="n">
        <v>12.01</v>
      </c>
      <c r="J81" s="11" t="n">
        <v>34.28</v>
      </c>
      <c r="K81" s="11" t="n">
        <f aca="false">J81/(1-I81/100)</f>
        <v>38.9589726105239</v>
      </c>
      <c r="L81" s="11" t="n">
        <v>29.97</v>
      </c>
      <c r="M81" s="11" t="n">
        <v>31.59</v>
      </c>
      <c r="N81" s="11" t="n">
        <v>10.8</v>
      </c>
      <c r="O81" s="11" t="n">
        <v>6.84</v>
      </c>
      <c r="P81" s="10" t="n">
        <f aca="false">ROUND(E81*J81/100,0)</f>
        <v>13605</v>
      </c>
      <c r="Q81" s="10" t="n">
        <f aca="false">ROUND(P81*I81/(100-I81),0)</f>
        <v>1857</v>
      </c>
      <c r="R81" s="10" t="n">
        <f aca="false">ROUND(P81*(100-L81)/100,0)</f>
        <v>9528</v>
      </c>
      <c r="S81" s="10" t="n">
        <f aca="false">ROUND(P81*M81/100,0)</f>
        <v>4298</v>
      </c>
      <c r="T81" s="11" t="n">
        <v>58.58</v>
      </c>
      <c r="U81" s="11" t="n">
        <v>64.51</v>
      </c>
      <c r="V81" s="3" t="n">
        <f aca="false">RANK(F81,$F$2:$F$350,0)</f>
        <v>345</v>
      </c>
      <c r="W81" s="12" t="n">
        <v>95.2</v>
      </c>
      <c r="X81" s="10" t="n">
        <v>65</v>
      </c>
      <c r="Y81" s="3" t="s">
        <v>58</v>
      </c>
      <c r="Z81" s="3" t="s">
        <v>169</v>
      </c>
      <c r="AA81" s="13" t="s">
        <v>59</v>
      </c>
      <c r="AB81" s="11" t="n">
        <v>5.23</v>
      </c>
    </row>
    <row r="82" customFormat="false" ht="16.4" hidden="false" customHeight="false" outlineLevel="0" collapsed="false">
      <c r="A82" s="3" t="n">
        <v>81</v>
      </c>
      <c r="B82" s="3" t="n">
        <v>5</v>
      </c>
      <c r="C82" s="3" t="s">
        <v>170</v>
      </c>
      <c r="D82" s="10" t="n">
        <v>35408</v>
      </c>
      <c r="E82" s="10" t="n">
        <f aca="false">ROUND(D82*INDEX(مناطق!$AF$2:$AF$23,B82),0)</f>
        <v>31837</v>
      </c>
      <c r="F82" s="11" t="n">
        <f aca="false">ROUND(100*(راهنما!$B$4*(H82-MIN($H$2:$H$350))/(MAX($H$2:$H$350)-MIN($H$2:$H$350))+راهنما!$B$5*(N82-MIN($N$2:$N$350))/(MAX($N$2:$N$350)-MIN($N$2:$N$350))+راهنما!$B$6*(J82-MIN($J$2:$J$350))/(MAX($J$2:$J$350)-MIN($J$2:$J$350))+راهنما!$B$7*(MAX($I$2:$I$350)-I82)/(MAX($I$2:$I$350)-MIN($I$2:$I$350)))/راهنما!$B$8,1)</f>
        <v>65.4</v>
      </c>
      <c r="G82" s="3" t="str">
        <f aca="false">IF(V82&lt;=ROUND(349*0.2,0),"بسیار بالا",IF(V82&lt;=ROUND(349*0.4,0),"بالا",IF(V82&lt;=ROUND(349*0.6,0),"متوسط",IF(V82&lt;=ROUND(349*0.8,0),"پایین","بسیار پایین"))))</f>
        <v>بسیار بالا</v>
      </c>
      <c r="H82" s="11" t="n">
        <f aca="false">(100-I82)*(100-L82)/100</f>
        <v>72.640694</v>
      </c>
      <c r="I82" s="11" t="n">
        <v>13.13</v>
      </c>
      <c r="J82" s="11" t="n">
        <v>33</v>
      </c>
      <c r="K82" s="11" t="n">
        <f aca="false">J82/(1-I82/100)</f>
        <v>37.9877978588696</v>
      </c>
      <c r="L82" s="11" t="n">
        <v>16.38</v>
      </c>
      <c r="M82" s="11" t="n">
        <v>36.64</v>
      </c>
      <c r="N82" s="11" t="n">
        <v>57.47</v>
      </c>
      <c r="O82" s="11" t="n">
        <v>2.89</v>
      </c>
      <c r="P82" s="10" t="n">
        <f aca="false">ROUND(E82*J82/100,0)</f>
        <v>10506</v>
      </c>
      <c r="Q82" s="10" t="n">
        <f aca="false">ROUND(P82*I82/(100-I82),0)</f>
        <v>1588</v>
      </c>
      <c r="R82" s="10" t="n">
        <f aca="false">ROUND(P82*(100-L82)/100,0)</f>
        <v>8785</v>
      </c>
      <c r="S82" s="10" t="n">
        <f aca="false">ROUND(P82*M82/100,0)</f>
        <v>3849</v>
      </c>
      <c r="T82" s="11" t="n">
        <v>72.21</v>
      </c>
      <c r="U82" s="11" t="n">
        <v>73.07</v>
      </c>
      <c r="V82" s="3" t="n">
        <f aca="false">RANK(F82,$F$2:$F$350,0)</f>
        <v>34</v>
      </c>
      <c r="W82" s="12" t="n">
        <v>379.7</v>
      </c>
      <c r="X82" s="10" t="n">
        <v>90</v>
      </c>
      <c r="Y82" s="3" t="s">
        <v>67</v>
      </c>
      <c r="Z82" s="3" t="s">
        <v>112</v>
      </c>
      <c r="AA82" s="13" t="s">
        <v>59</v>
      </c>
      <c r="AB82" s="11" t="n">
        <v>31.6</v>
      </c>
    </row>
    <row r="83" customFormat="false" ht="16.4" hidden="false" customHeight="false" outlineLevel="0" collapsed="false">
      <c r="A83" s="3" t="n">
        <v>82</v>
      </c>
      <c r="B83" s="3" t="n">
        <v>5</v>
      </c>
      <c r="C83" s="3" t="s">
        <v>171</v>
      </c>
      <c r="D83" s="10" t="n">
        <v>29387</v>
      </c>
      <c r="E83" s="10" t="n">
        <f aca="false">ROUND(D83*INDEX(مناطق!$AF$2:$AF$23,B83),0)</f>
        <v>26423</v>
      </c>
      <c r="F83" s="11" t="n">
        <f aca="false">ROUND(100*(راهنما!$B$4*(H83-MIN($H$2:$H$350))/(MAX($H$2:$H$350)-MIN($H$2:$H$350))+راهنما!$B$5*(N83-MIN($N$2:$N$350))/(MAX($N$2:$N$350)-MIN($N$2:$N$350))+راهنما!$B$6*(J83-MIN($J$2:$J$350))/(MAX($J$2:$J$350)-MIN($J$2:$J$350))+راهنما!$B$7*(MAX($I$2:$I$350)-I83)/(MAX($I$2:$I$350)-MIN($I$2:$I$350)))/راهنما!$B$8,1)</f>
        <v>65.4</v>
      </c>
      <c r="G83" s="3" t="str">
        <f aca="false">IF(V83&lt;=ROUND(349*0.2,0),"بسیار بالا",IF(V83&lt;=ROUND(349*0.4,0),"بالا",IF(V83&lt;=ROUND(349*0.6,0),"متوسط",IF(V83&lt;=ROUND(349*0.8,0),"پایین","بسیار پایین"))))</f>
        <v>بسیار بالا</v>
      </c>
      <c r="H83" s="11" t="n">
        <f aca="false">(100-I83)*(100-L83)/100</f>
        <v>72.640694</v>
      </c>
      <c r="I83" s="11" t="n">
        <v>13.13</v>
      </c>
      <c r="J83" s="11" t="n">
        <v>33</v>
      </c>
      <c r="K83" s="11" t="n">
        <f aca="false">J83/(1-I83/100)</f>
        <v>37.9877978588696</v>
      </c>
      <c r="L83" s="11" t="n">
        <v>16.38</v>
      </c>
      <c r="M83" s="11" t="n">
        <v>36.64</v>
      </c>
      <c r="N83" s="11" t="n">
        <v>57.47</v>
      </c>
      <c r="O83" s="11" t="n">
        <v>2.89</v>
      </c>
      <c r="P83" s="10" t="n">
        <f aca="false">ROUND(E83*J83/100,0)</f>
        <v>8720</v>
      </c>
      <c r="Q83" s="10" t="n">
        <f aca="false">ROUND(P83*I83/(100-I83),0)</f>
        <v>1318</v>
      </c>
      <c r="R83" s="10" t="n">
        <f aca="false">ROUND(P83*(100-L83)/100,0)</f>
        <v>7292</v>
      </c>
      <c r="S83" s="10" t="n">
        <f aca="false">ROUND(P83*M83/100,0)</f>
        <v>3195</v>
      </c>
      <c r="T83" s="11" t="n">
        <v>72.21</v>
      </c>
      <c r="U83" s="11" t="n">
        <v>73.07</v>
      </c>
      <c r="V83" s="3" t="n">
        <f aca="false">RANK(F83,$F$2:$F$350,0)</f>
        <v>34</v>
      </c>
      <c r="W83" s="12" t="n">
        <v>379.7</v>
      </c>
      <c r="X83" s="10" t="n">
        <v>90</v>
      </c>
      <c r="Y83" s="3" t="s">
        <v>67</v>
      </c>
      <c r="Z83" s="3" t="s">
        <v>112</v>
      </c>
      <c r="AA83" s="13" t="s">
        <v>59</v>
      </c>
      <c r="AB83" s="11" t="n">
        <v>31.6</v>
      </c>
    </row>
    <row r="84" customFormat="false" ht="16.4" hidden="false" customHeight="false" outlineLevel="0" collapsed="false">
      <c r="A84" s="3" t="n">
        <v>83</v>
      </c>
      <c r="B84" s="3" t="n">
        <v>5</v>
      </c>
      <c r="C84" s="3" t="s">
        <v>172</v>
      </c>
      <c r="D84" s="10" t="n">
        <v>28191</v>
      </c>
      <c r="E84" s="10" t="n">
        <f aca="false">ROUND(D84*INDEX(مناطق!$AF$2:$AF$23,B84),0)</f>
        <v>25348</v>
      </c>
      <c r="F84" s="11" t="n">
        <f aca="false">ROUND(100*(راهنما!$B$4*(H84-MIN($H$2:$H$350))/(MAX($H$2:$H$350)-MIN($H$2:$H$350))+راهنما!$B$5*(N84-MIN($N$2:$N$350))/(MAX($N$2:$N$350)-MIN($N$2:$N$350))+راهنما!$B$6*(J84-MIN($J$2:$J$350))/(MAX($J$2:$J$350)-MIN($J$2:$J$350))+راهنما!$B$7*(MAX($I$2:$I$350)-I84)/(MAX($I$2:$I$350)-MIN($I$2:$I$350)))/راهنما!$B$8,1)</f>
        <v>64.9</v>
      </c>
      <c r="G84" s="3" t="str">
        <f aca="false">IF(V84&lt;=ROUND(349*0.2,0),"بسیار بالا",IF(V84&lt;=ROUND(349*0.4,0),"بالا",IF(V84&lt;=ROUND(349*0.6,0),"متوسط",IF(V84&lt;=ROUND(349*0.8,0),"پایین","بسیار پایین"))))</f>
        <v>بسیار بالا</v>
      </c>
      <c r="H84" s="11" t="n">
        <f aca="false">(100-I84)*(100-L84)/100</f>
        <v>72.53645</v>
      </c>
      <c r="I84" s="11" t="n">
        <v>13.13</v>
      </c>
      <c r="J84" s="11" t="n">
        <v>33.03</v>
      </c>
      <c r="K84" s="11" t="n">
        <f aca="false">J84/(1-I84/100)</f>
        <v>38.0223322205595</v>
      </c>
      <c r="L84" s="11" t="n">
        <v>16.5</v>
      </c>
      <c r="M84" s="11" t="n">
        <v>36.64</v>
      </c>
      <c r="N84" s="11" t="n">
        <v>56.72</v>
      </c>
      <c r="O84" s="11" t="n">
        <v>2.92</v>
      </c>
      <c r="P84" s="10" t="n">
        <f aca="false">ROUND(E84*J84/100,0)</f>
        <v>8372</v>
      </c>
      <c r="Q84" s="10" t="n">
        <f aca="false">ROUND(P84*I84/(100-I84),0)</f>
        <v>1265</v>
      </c>
      <c r="R84" s="10" t="n">
        <f aca="false">ROUND(P84*(100-L84)/100,0)</f>
        <v>6991</v>
      </c>
      <c r="S84" s="10" t="n">
        <f aca="false">ROUND(P84*M84/100,0)</f>
        <v>3068</v>
      </c>
      <c r="T84" s="11" t="n">
        <v>72.15</v>
      </c>
      <c r="U84" s="11" t="n">
        <v>72.93</v>
      </c>
      <c r="V84" s="3" t="n">
        <f aca="false">RANK(F84,$F$2:$F$350,0)</f>
        <v>39</v>
      </c>
      <c r="W84" s="12" t="n">
        <v>363</v>
      </c>
      <c r="X84" s="10" t="n">
        <v>91</v>
      </c>
      <c r="Y84" s="3" t="s">
        <v>58</v>
      </c>
      <c r="Z84" s="3" t="s">
        <v>172</v>
      </c>
      <c r="AA84" s="13" t="s">
        <v>59</v>
      </c>
      <c r="AB84" s="11" t="n">
        <v>30.98</v>
      </c>
    </row>
    <row r="85" customFormat="false" ht="16.4" hidden="false" customHeight="false" outlineLevel="0" collapsed="false">
      <c r="A85" s="3" t="n">
        <v>84</v>
      </c>
      <c r="B85" s="3" t="n">
        <v>5</v>
      </c>
      <c r="C85" s="3" t="s">
        <v>144</v>
      </c>
      <c r="D85" s="10" t="n">
        <v>34036</v>
      </c>
      <c r="E85" s="10" t="n">
        <f aca="false">ROUND(D85*INDEX(مناطق!$AF$2:$AF$23,B85),0)</f>
        <v>30604</v>
      </c>
      <c r="F85" s="11" t="n">
        <f aca="false">ROUND(100*(راهنما!$B$4*(H85-MIN($H$2:$H$350))/(MAX($H$2:$H$350)-MIN($H$2:$H$350))+راهنما!$B$5*(N85-MIN($N$2:$N$350))/(MAX($N$2:$N$350)-MIN($N$2:$N$350))+راهنما!$B$6*(J85-MIN($J$2:$J$350))/(MAX($J$2:$J$350)-MIN($J$2:$J$350))+راهنما!$B$7*(MAX($I$2:$I$350)-I85)/(MAX($I$2:$I$350)-MIN($I$2:$I$350)))/راهنما!$B$8,1)</f>
        <v>64.5</v>
      </c>
      <c r="G85" s="3" t="str">
        <f aca="false">IF(V85&lt;=ROUND(349*0.2,0),"بسیار بالا",IF(V85&lt;=ROUND(349*0.4,0),"بالا",IF(V85&lt;=ROUND(349*0.6,0),"متوسط",IF(V85&lt;=ROUND(349*0.8,0),"پایین","بسیار پایین"))))</f>
        <v>بسیار بالا</v>
      </c>
      <c r="H85" s="11" t="n">
        <f aca="false">(100-I85)*(100-L85)/100</f>
        <v>72.44958</v>
      </c>
      <c r="I85" s="11" t="n">
        <v>13.13</v>
      </c>
      <c r="J85" s="11" t="n">
        <v>33.05</v>
      </c>
      <c r="K85" s="11" t="n">
        <f aca="false">J85/(1-I85/100)</f>
        <v>38.0453551283527</v>
      </c>
      <c r="L85" s="11" t="n">
        <v>16.6</v>
      </c>
      <c r="M85" s="11" t="n">
        <v>36.64</v>
      </c>
      <c r="N85" s="11" t="n">
        <v>56.06</v>
      </c>
      <c r="O85" s="11" t="n">
        <v>2.94</v>
      </c>
      <c r="P85" s="10" t="n">
        <f aca="false">ROUND(E85*J85/100,0)</f>
        <v>10115</v>
      </c>
      <c r="Q85" s="10" t="n">
        <f aca="false">ROUND(P85*I85/(100-I85),0)</f>
        <v>1529</v>
      </c>
      <c r="R85" s="10" t="n">
        <f aca="false">ROUND(P85*(100-L85)/100,0)</f>
        <v>8436</v>
      </c>
      <c r="S85" s="10" t="n">
        <f aca="false">ROUND(P85*M85/100,0)</f>
        <v>3706</v>
      </c>
      <c r="T85" s="11" t="n">
        <v>72.09</v>
      </c>
      <c r="U85" s="11" t="n">
        <v>72.8</v>
      </c>
      <c r="V85" s="3" t="n">
        <f aca="false">RANK(F85,$F$2:$F$350,0)</f>
        <v>41</v>
      </c>
      <c r="W85" s="12" t="n">
        <v>370.3</v>
      </c>
      <c r="X85" s="10" t="n">
        <v>90</v>
      </c>
      <c r="Y85" s="3" t="s">
        <v>67</v>
      </c>
      <c r="Z85" s="3" t="s">
        <v>144</v>
      </c>
      <c r="AA85" s="13" t="s">
        <v>59</v>
      </c>
      <c r="AB85" s="11" t="n">
        <v>30.44</v>
      </c>
    </row>
    <row r="86" customFormat="false" ht="16.4" hidden="false" customHeight="false" outlineLevel="0" collapsed="false">
      <c r="A86" s="3" t="n">
        <v>85</v>
      </c>
      <c r="B86" s="3" t="n">
        <v>5</v>
      </c>
      <c r="C86" s="3" t="s">
        <v>89</v>
      </c>
      <c r="D86" s="10" t="n">
        <v>14997</v>
      </c>
      <c r="E86" s="10" t="n">
        <f aca="false">ROUND(D86*INDEX(مناطق!$AF$2:$AF$23,B86),0)</f>
        <v>13485</v>
      </c>
      <c r="F86" s="11" t="n">
        <f aca="false">ROUND(100*(راهنما!$B$4*(H86-MIN($H$2:$H$350))/(MAX($H$2:$H$350)-MIN($H$2:$H$350))+راهنما!$B$5*(N86-MIN($N$2:$N$350))/(MAX($N$2:$N$350)-MIN($N$2:$N$350))+راهنما!$B$6*(J86-MIN($J$2:$J$350))/(MAX($J$2:$J$350)-MIN($J$2:$J$350))+راهنما!$B$7*(MAX($I$2:$I$350)-I86)/(MAX($I$2:$I$350)-MIN($I$2:$I$350)))/راهنما!$B$8,1)</f>
        <v>63.7</v>
      </c>
      <c r="G86" s="3" t="str">
        <f aca="false">IF(V86&lt;=ROUND(349*0.2,0),"بسیار بالا",IF(V86&lt;=ROUND(349*0.4,0),"بالا",IF(V86&lt;=ROUND(349*0.6,0),"متوسط",IF(V86&lt;=ROUND(349*0.8,0),"پایین","بسیار پایین"))))</f>
        <v>بسیار بالا</v>
      </c>
      <c r="H86" s="11" t="n">
        <f aca="false">(100-I86)*(100-L86)/100</f>
        <v>72.267153</v>
      </c>
      <c r="I86" s="11" t="n">
        <v>13.13</v>
      </c>
      <c r="J86" s="11" t="n">
        <v>33.09</v>
      </c>
      <c r="K86" s="11" t="n">
        <f aca="false">J86/(1-I86/100)</f>
        <v>38.0914009439392</v>
      </c>
      <c r="L86" s="11" t="n">
        <v>16.81</v>
      </c>
      <c r="M86" s="11" t="n">
        <v>36.64</v>
      </c>
      <c r="N86" s="11" t="n">
        <v>54.75</v>
      </c>
      <c r="O86" s="11" t="n">
        <v>3</v>
      </c>
      <c r="P86" s="10" t="n">
        <f aca="false">ROUND(E86*J86/100,0)</f>
        <v>4462</v>
      </c>
      <c r="Q86" s="10" t="n">
        <f aca="false">ROUND(P86*I86/(100-I86),0)</f>
        <v>674</v>
      </c>
      <c r="R86" s="10" t="n">
        <f aca="false">ROUND(P86*(100-L86)/100,0)</f>
        <v>3712</v>
      </c>
      <c r="S86" s="10" t="n">
        <f aca="false">ROUND(P86*M86/100,0)</f>
        <v>1635</v>
      </c>
      <c r="T86" s="11" t="n">
        <v>71.99</v>
      </c>
      <c r="U86" s="11" t="n">
        <v>72.55</v>
      </c>
      <c r="V86" s="3" t="n">
        <f aca="false">RANK(F86,$F$2:$F$350,0)</f>
        <v>50</v>
      </c>
      <c r="W86" s="12" t="n">
        <v>356.8</v>
      </c>
      <c r="X86" s="10" t="n">
        <v>89</v>
      </c>
      <c r="Y86" s="3" t="s">
        <v>67</v>
      </c>
      <c r="Z86" s="3" t="s">
        <v>89</v>
      </c>
      <c r="AA86" s="13" t="s">
        <v>59</v>
      </c>
      <c r="AB86" s="11" t="n">
        <v>29.39</v>
      </c>
    </row>
    <row r="87" customFormat="false" ht="16.4" hidden="false" customHeight="false" outlineLevel="0" collapsed="false">
      <c r="A87" s="3" t="n">
        <v>86</v>
      </c>
      <c r="B87" s="3" t="n">
        <v>5</v>
      </c>
      <c r="C87" s="3" t="s">
        <v>173</v>
      </c>
      <c r="D87" s="10" t="n">
        <v>29223</v>
      </c>
      <c r="E87" s="10" t="n">
        <f aca="false">ROUND(D87*INDEX(مناطق!$AF$2:$AF$23,B87),0)</f>
        <v>26276</v>
      </c>
      <c r="F87" s="11" t="n">
        <f aca="false">ROUND(100*(راهنما!$B$4*(H87-MIN($H$2:$H$350))/(MAX($H$2:$H$350)-MIN($H$2:$H$350))+راهنما!$B$5*(N87-MIN($N$2:$N$350))/(MAX($N$2:$N$350)-MIN($N$2:$N$350))+راهنما!$B$6*(J87-MIN($J$2:$J$350))/(MAX($J$2:$J$350)-MIN($J$2:$J$350))+راهنما!$B$7*(MAX($I$2:$I$350)-I87)/(MAX($I$2:$I$350)-MIN($I$2:$I$350)))/راهنما!$B$8,1)</f>
        <v>63.1</v>
      </c>
      <c r="G87" s="3" t="str">
        <f aca="false">IF(V87&lt;=ROUND(349*0.2,0),"بسیار بالا",IF(V87&lt;=ROUND(349*0.4,0),"بالا",IF(V87&lt;=ROUND(349*0.6,0),"متوسط",IF(V87&lt;=ROUND(349*0.8,0),"پایین","بسیار پایین"))))</f>
        <v>بسیار بالا</v>
      </c>
      <c r="H87" s="11" t="n">
        <f aca="false">(100-I87)*(100-L87)/100</f>
        <v>72.136848</v>
      </c>
      <c r="I87" s="11" t="n">
        <v>13.13</v>
      </c>
      <c r="J87" s="11" t="n">
        <v>33.13</v>
      </c>
      <c r="K87" s="11" t="n">
        <f aca="false">J87/(1-I87/100)</f>
        <v>38.1374467595257</v>
      </c>
      <c r="L87" s="11" t="n">
        <v>16.96</v>
      </c>
      <c r="M87" s="11" t="n">
        <v>36.64</v>
      </c>
      <c r="N87" s="11" t="n">
        <v>53.79</v>
      </c>
      <c r="O87" s="11" t="n">
        <v>3.04</v>
      </c>
      <c r="P87" s="10" t="n">
        <f aca="false">ROUND(E87*J87/100,0)</f>
        <v>8705</v>
      </c>
      <c r="Q87" s="10" t="n">
        <f aca="false">ROUND(P87*I87/(100-I87),0)</f>
        <v>1316</v>
      </c>
      <c r="R87" s="10" t="n">
        <f aca="false">ROUND(P87*(100-L87)/100,0)</f>
        <v>7229</v>
      </c>
      <c r="S87" s="10" t="n">
        <f aca="false">ROUND(P87*M87/100,0)</f>
        <v>3190</v>
      </c>
      <c r="T87" s="11" t="n">
        <v>71.91</v>
      </c>
      <c r="U87" s="11" t="n">
        <v>72.36</v>
      </c>
      <c r="V87" s="3" t="n">
        <f aca="false">RANK(F87,$F$2:$F$350,0)</f>
        <v>56</v>
      </c>
      <c r="W87" s="12" t="n">
        <v>333.1</v>
      </c>
      <c r="X87" s="10" t="n">
        <v>86</v>
      </c>
      <c r="Y87" s="3" t="s">
        <v>58</v>
      </c>
      <c r="Z87" s="3" t="s">
        <v>173</v>
      </c>
      <c r="AA87" s="13" t="s">
        <v>59</v>
      </c>
      <c r="AB87" s="11" t="n">
        <v>28.63</v>
      </c>
    </row>
    <row r="88" customFormat="false" ht="16.4" hidden="false" customHeight="false" outlineLevel="0" collapsed="false">
      <c r="A88" s="3" t="n">
        <v>87</v>
      </c>
      <c r="B88" s="3" t="n">
        <v>5</v>
      </c>
      <c r="C88" s="3" t="s">
        <v>174</v>
      </c>
      <c r="D88" s="10" t="n">
        <v>28758</v>
      </c>
      <c r="E88" s="10" t="n">
        <f aca="false">ROUND(D88*INDEX(مناطق!$AF$2:$AF$23,B88),0)</f>
        <v>25858</v>
      </c>
      <c r="F88" s="11" t="n">
        <f aca="false">ROUND(100*(راهنما!$B$4*(H88-MIN($H$2:$H$350))/(MAX($H$2:$H$350)-MIN($H$2:$H$350))+راهنما!$B$5*(N88-MIN($N$2:$N$350))/(MAX($N$2:$N$350)-MIN($N$2:$N$350))+راهنما!$B$6*(J88-MIN($J$2:$J$350))/(MAX($J$2:$J$350)-MIN($J$2:$J$350))+راهنما!$B$7*(MAX($I$2:$I$350)-I88)/(MAX($I$2:$I$350)-MIN($I$2:$I$350)))/راهنما!$B$8,1)</f>
        <v>63.1</v>
      </c>
      <c r="G88" s="3" t="str">
        <f aca="false">IF(V88&lt;=ROUND(349*0.2,0),"بسیار بالا",IF(V88&lt;=ROUND(349*0.4,0),"بالا",IF(V88&lt;=ROUND(349*0.6,0),"متوسط",IF(V88&lt;=ROUND(349*0.8,0),"پایین","بسیار پایین"))))</f>
        <v>بسیار بالا</v>
      </c>
      <c r="H88" s="11" t="n">
        <f aca="false">(100-I88)*(100-L88)/100</f>
        <v>72.136848</v>
      </c>
      <c r="I88" s="11" t="n">
        <v>13.13</v>
      </c>
      <c r="J88" s="11" t="n">
        <v>33.13</v>
      </c>
      <c r="K88" s="11" t="n">
        <f aca="false">J88/(1-I88/100)</f>
        <v>38.1374467595257</v>
      </c>
      <c r="L88" s="11" t="n">
        <v>16.96</v>
      </c>
      <c r="M88" s="11" t="n">
        <v>36.64</v>
      </c>
      <c r="N88" s="11" t="n">
        <v>53.79</v>
      </c>
      <c r="O88" s="11" t="n">
        <v>3.04</v>
      </c>
      <c r="P88" s="10" t="n">
        <f aca="false">ROUND(E88*J88/100,0)</f>
        <v>8567</v>
      </c>
      <c r="Q88" s="10" t="n">
        <f aca="false">ROUND(P88*I88/(100-I88),0)</f>
        <v>1295</v>
      </c>
      <c r="R88" s="10" t="n">
        <f aca="false">ROUND(P88*(100-L88)/100,0)</f>
        <v>7114</v>
      </c>
      <c r="S88" s="10" t="n">
        <f aca="false">ROUND(P88*M88/100,0)</f>
        <v>3139</v>
      </c>
      <c r="T88" s="11" t="n">
        <v>71.91</v>
      </c>
      <c r="U88" s="11" t="n">
        <v>72.36</v>
      </c>
      <c r="V88" s="3" t="n">
        <f aca="false">RANK(F88,$F$2:$F$350,0)</f>
        <v>56</v>
      </c>
      <c r="W88" s="12" t="n">
        <v>333.1</v>
      </c>
      <c r="X88" s="10" t="n">
        <v>86</v>
      </c>
      <c r="Y88" s="3" t="s">
        <v>119</v>
      </c>
      <c r="Z88" s="3" t="s">
        <v>173</v>
      </c>
      <c r="AA88" s="13" t="s">
        <v>63</v>
      </c>
      <c r="AB88" s="11" t="n">
        <v>28.63</v>
      </c>
    </row>
    <row r="89" customFormat="false" ht="16.4" hidden="false" customHeight="false" outlineLevel="0" collapsed="false">
      <c r="A89" s="3" t="n">
        <v>88</v>
      </c>
      <c r="B89" s="3" t="n">
        <v>5</v>
      </c>
      <c r="C89" s="3" t="s">
        <v>175</v>
      </c>
      <c r="D89" s="10" t="n">
        <v>40641</v>
      </c>
      <c r="E89" s="10" t="n">
        <f aca="false">ROUND(D89*INDEX(مناطق!$AF$2:$AF$23,B89),0)</f>
        <v>36543</v>
      </c>
      <c r="F89" s="11" t="n">
        <f aca="false">ROUND(100*(راهنما!$B$4*(H89-MIN($H$2:$H$350))/(MAX($H$2:$H$350)-MIN($H$2:$H$350))+راهنما!$B$5*(N89-MIN($N$2:$N$350))/(MAX($N$2:$N$350)-MIN($N$2:$N$350))+راهنما!$B$6*(J89-MIN($J$2:$J$350))/(MAX($J$2:$J$350)-MIN($J$2:$J$350))+راهنما!$B$7*(MAX($I$2:$I$350)-I89)/(MAX($I$2:$I$350)-MIN($I$2:$I$350)))/راهنما!$B$8,1)</f>
        <v>62.7</v>
      </c>
      <c r="G89" s="3" t="str">
        <f aca="false">IF(V89&lt;=ROUND(349*0.2,0),"بسیار بالا",IF(V89&lt;=ROUND(349*0.4,0),"بالا",IF(V89&lt;=ROUND(349*0.6,0),"متوسط",IF(V89&lt;=ROUND(349*0.8,0),"پایین","بسیار پایین"))))</f>
        <v>بسیار بالا</v>
      </c>
      <c r="H89" s="11" t="n">
        <f aca="false">(100-I89)*(100-L89)/100</f>
        <v>72.041291</v>
      </c>
      <c r="I89" s="11" t="n">
        <v>13.13</v>
      </c>
      <c r="J89" s="11" t="n">
        <v>33.15</v>
      </c>
      <c r="K89" s="11" t="n">
        <f aca="false">J89/(1-I89/100)</f>
        <v>38.160469667319</v>
      </c>
      <c r="L89" s="11" t="n">
        <v>17.07</v>
      </c>
      <c r="M89" s="11" t="n">
        <v>36.64</v>
      </c>
      <c r="N89" s="11" t="n">
        <v>53.09</v>
      </c>
      <c r="O89" s="11" t="n">
        <v>3.07</v>
      </c>
      <c r="P89" s="10" t="n">
        <f aca="false">ROUND(E89*J89/100,0)</f>
        <v>12114</v>
      </c>
      <c r="Q89" s="10" t="n">
        <f aca="false">ROUND(P89*I89/(100-I89),0)</f>
        <v>1831</v>
      </c>
      <c r="R89" s="10" t="n">
        <f aca="false">ROUND(P89*(100-L89)/100,0)</f>
        <v>10046</v>
      </c>
      <c r="S89" s="10" t="n">
        <f aca="false">ROUND(P89*M89/100,0)</f>
        <v>4439</v>
      </c>
      <c r="T89" s="11" t="n">
        <v>71.85</v>
      </c>
      <c r="U89" s="11" t="n">
        <v>72.23</v>
      </c>
      <c r="V89" s="3" t="n">
        <f aca="false">RANK(F89,$F$2:$F$350,0)</f>
        <v>59</v>
      </c>
      <c r="W89" s="12" t="n">
        <v>340</v>
      </c>
      <c r="X89" s="10" t="n">
        <v>35</v>
      </c>
      <c r="Y89" s="3" t="s">
        <v>58</v>
      </c>
      <c r="Z89" s="3" t="s">
        <v>175</v>
      </c>
      <c r="AA89" s="13" t="s">
        <v>59</v>
      </c>
      <c r="AB89" s="11" t="n">
        <v>28.1</v>
      </c>
    </row>
    <row r="90" customFormat="false" ht="16.4" hidden="false" customHeight="false" outlineLevel="0" collapsed="false">
      <c r="A90" s="3" t="n">
        <v>89</v>
      </c>
      <c r="B90" s="3" t="n">
        <v>5</v>
      </c>
      <c r="C90" s="3" t="s">
        <v>176</v>
      </c>
      <c r="D90" s="10" t="n">
        <v>38758</v>
      </c>
      <c r="E90" s="10" t="n">
        <f aca="false">ROUND(D90*INDEX(مناطق!$AF$2:$AF$23,B90),0)</f>
        <v>34849</v>
      </c>
      <c r="F90" s="11" t="n">
        <f aca="false">ROUND(100*(راهنما!$B$4*(H90-MIN($H$2:$H$350))/(MAX($H$2:$H$350)-MIN($H$2:$H$350))+راهنما!$B$5*(N90-MIN($N$2:$N$350))/(MAX($N$2:$N$350)-MIN($N$2:$N$350))+راهنما!$B$6*(J90-MIN($J$2:$J$350))/(MAX($J$2:$J$350)-MIN($J$2:$J$350))+راهنما!$B$7*(MAX($I$2:$I$350)-I90)/(MAX($I$2:$I$350)-MIN($I$2:$I$350)))/راهنما!$B$8,1)</f>
        <v>62</v>
      </c>
      <c r="G90" s="3" t="str">
        <f aca="false">IF(V90&lt;=ROUND(349*0.2,0),"بسیار بالا",IF(V90&lt;=ROUND(349*0.4,0),"بالا",IF(V90&lt;=ROUND(349*0.6,0),"متوسط",IF(V90&lt;=ROUND(349*0.8,0),"پایین","بسیار پایین"))))</f>
        <v>بسیار بالا</v>
      </c>
      <c r="H90" s="11" t="n">
        <f aca="false">(100-I90)*(100-L90)/100</f>
        <v>71.884925</v>
      </c>
      <c r="I90" s="11" t="n">
        <v>13.13</v>
      </c>
      <c r="J90" s="11" t="n">
        <v>33.19</v>
      </c>
      <c r="K90" s="11" t="n">
        <f aca="false">J90/(1-I90/100)</f>
        <v>38.2065154829055</v>
      </c>
      <c r="L90" s="11" t="n">
        <v>17.25</v>
      </c>
      <c r="M90" s="11" t="n">
        <v>36.64</v>
      </c>
      <c r="N90" s="11" t="n">
        <v>52.02</v>
      </c>
      <c r="O90" s="11" t="n">
        <v>3.11</v>
      </c>
      <c r="P90" s="10" t="n">
        <f aca="false">ROUND(E90*J90/100,0)</f>
        <v>11566</v>
      </c>
      <c r="Q90" s="10" t="n">
        <f aca="false">ROUND(P90*I90/(100-I90),0)</f>
        <v>1748</v>
      </c>
      <c r="R90" s="10" t="n">
        <f aca="false">ROUND(P90*(100-L90)/100,0)</f>
        <v>9571</v>
      </c>
      <c r="S90" s="10" t="n">
        <f aca="false">ROUND(P90*M90/100,0)</f>
        <v>4238</v>
      </c>
      <c r="T90" s="11" t="n">
        <v>71.76</v>
      </c>
      <c r="U90" s="11" t="n">
        <v>72.02</v>
      </c>
      <c r="V90" s="3" t="n">
        <f aca="false">RANK(F90,$F$2:$F$350,0)</f>
        <v>67</v>
      </c>
      <c r="W90" s="12" t="n">
        <v>326.4</v>
      </c>
      <c r="X90" s="10" t="n">
        <v>90</v>
      </c>
      <c r="Y90" s="3" t="s">
        <v>58</v>
      </c>
      <c r="Z90" s="3" t="s">
        <v>177</v>
      </c>
      <c r="AA90" s="13" t="s">
        <v>59</v>
      </c>
      <c r="AB90" s="11" t="n">
        <v>27.28</v>
      </c>
    </row>
    <row r="91" customFormat="false" ht="16.4" hidden="false" customHeight="false" outlineLevel="0" collapsed="false">
      <c r="A91" s="3" t="n">
        <v>90</v>
      </c>
      <c r="B91" s="3" t="n">
        <v>5</v>
      </c>
      <c r="C91" s="3" t="s">
        <v>178</v>
      </c>
      <c r="D91" s="10" t="n">
        <v>71891</v>
      </c>
      <c r="E91" s="10" t="n">
        <f aca="false">ROUND(D91*INDEX(مناطق!$AF$2:$AF$23,B91),0)</f>
        <v>64641</v>
      </c>
      <c r="F91" s="11" t="n">
        <f aca="false">ROUND(100*(راهنما!$B$4*(H91-MIN($H$2:$H$350))/(MAX($H$2:$H$350)-MIN($H$2:$H$350))+راهنما!$B$5*(N91-MIN($N$2:$N$350))/(MAX($N$2:$N$350)-MIN($N$2:$N$350))+راهنما!$B$6*(J91-MIN($J$2:$J$350))/(MAX($J$2:$J$350)-MIN($J$2:$J$350))+راهنما!$B$7*(MAX($I$2:$I$350)-I91)/(MAX($I$2:$I$350)-MIN($I$2:$I$350)))/راهنما!$B$8,1)</f>
        <v>61.8</v>
      </c>
      <c r="G91" s="3" t="str">
        <f aca="false">IF(V91&lt;=ROUND(349*0.2,0),"بسیار بالا",IF(V91&lt;=ROUND(349*0.4,0),"بالا",IF(V91&lt;=ROUND(349*0.6,0),"متوسط",IF(V91&lt;=ROUND(349*0.8,0),"پایین","بسیار پایین"))))</f>
        <v>بسیار بالا</v>
      </c>
      <c r="H91" s="11" t="n">
        <f aca="false">(100-I91)*(100-L91)/100</f>
        <v>71.84149</v>
      </c>
      <c r="I91" s="11" t="n">
        <v>13.13</v>
      </c>
      <c r="J91" s="11" t="n">
        <v>33.2</v>
      </c>
      <c r="K91" s="11" t="n">
        <f aca="false">J91/(1-I91/100)</f>
        <v>38.2180269368021</v>
      </c>
      <c r="L91" s="11" t="n">
        <v>17.3</v>
      </c>
      <c r="M91" s="11" t="n">
        <v>36.64</v>
      </c>
      <c r="N91" s="11" t="n">
        <v>51.69</v>
      </c>
      <c r="O91" s="11" t="n">
        <v>3.13</v>
      </c>
      <c r="P91" s="10" t="n">
        <f aca="false">ROUND(E91*J91/100,0)</f>
        <v>21461</v>
      </c>
      <c r="Q91" s="10" t="n">
        <f aca="false">ROUND(P91*I91/(100-I91),0)</f>
        <v>3244</v>
      </c>
      <c r="R91" s="10" t="n">
        <f aca="false">ROUND(P91*(100-L91)/100,0)</f>
        <v>17748</v>
      </c>
      <c r="S91" s="10" t="n">
        <f aca="false">ROUND(P91*M91/100,0)</f>
        <v>7863</v>
      </c>
      <c r="T91" s="11" t="n">
        <v>71.73</v>
      </c>
      <c r="U91" s="11" t="n">
        <v>71.95</v>
      </c>
      <c r="V91" s="3" t="n">
        <f aca="false">RANK(F91,$F$2:$F$350,0)</f>
        <v>70</v>
      </c>
      <c r="W91" s="12" t="n">
        <v>326.8</v>
      </c>
      <c r="X91" s="10" t="n">
        <v>92</v>
      </c>
      <c r="Y91" s="3" t="s">
        <v>58</v>
      </c>
      <c r="Z91" s="3" t="s">
        <v>179</v>
      </c>
      <c r="AA91" s="13" t="s">
        <v>59</v>
      </c>
      <c r="AB91" s="11" t="n">
        <v>27.04</v>
      </c>
    </row>
    <row r="92" customFormat="false" ht="16.4" hidden="false" customHeight="false" outlineLevel="0" collapsed="false">
      <c r="A92" s="3" t="n">
        <v>91</v>
      </c>
      <c r="B92" s="3" t="n">
        <v>5</v>
      </c>
      <c r="C92" s="3" t="s">
        <v>180</v>
      </c>
      <c r="D92" s="10" t="n">
        <v>66323</v>
      </c>
      <c r="E92" s="10" t="n">
        <f aca="false">ROUND(D92*INDEX(مناطق!$AF$2:$AF$23,B92),0)</f>
        <v>59635</v>
      </c>
      <c r="F92" s="11" t="n">
        <f aca="false">ROUND(100*(راهنما!$B$4*(H92-MIN($H$2:$H$350))/(MAX($H$2:$H$350)-MIN($H$2:$H$350))+راهنما!$B$5*(N92-MIN($N$2:$N$350))/(MAX($N$2:$N$350)-MIN($N$2:$N$350))+راهنما!$B$6*(J92-MIN($J$2:$J$350))/(MAX($J$2:$J$350)-MIN($J$2:$J$350))+راهنما!$B$7*(MAX($I$2:$I$350)-I92)/(MAX($I$2:$I$350)-MIN($I$2:$I$350)))/راهنما!$B$8,1)</f>
        <v>61.7</v>
      </c>
      <c r="G92" s="3" t="str">
        <f aca="false">IF(V92&lt;=ROUND(349*0.2,0),"بسیار بالا",IF(V92&lt;=ROUND(349*0.4,0),"بالا",IF(V92&lt;=ROUND(349*0.6,0),"متوسط",IF(V92&lt;=ROUND(349*0.8,0),"پایین","بسیار پایین"))))</f>
        <v>بالا</v>
      </c>
      <c r="H92" s="11" t="n">
        <f aca="false">(100-I92)*(100-L92)/100</f>
        <v>71.832803</v>
      </c>
      <c r="I92" s="11" t="n">
        <v>13.13</v>
      </c>
      <c r="J92" s="11" t="n">
        <v>33.2</v>
      </c>
      <c r="K92" s="11" t="n">
        <f aca="false">J92/(1-I92/100)</f>
        <v>38.2180269368021</v>
      </c>
      <c r="L92" s="11" t="n">
        <v>17.31</v>
      </c>
      <c r="M92" s="11" t="n">
        <v>36.64</v>
      </c>
      <c r="N92" s="11" t="n">
        <v>51.66</v>
      </c>
      <c r="O92" s="11" t="n">
        <v>3.13</v>
      </c>
      <c r="P92" s="10" t="n">
        <f aca="false">ROUND(E92*J92/100,0)</f>
        <v>19799</v>
      </c>
      <c r="Q92" s="10" t="n">
        <f aca="false">ROUND(P92*I92/(100-I92),0)</f>
        <v>2993</v>
      </c>
      <c r="R92" s="10" t="n">
        <f aca="false">ROUND(P92*(100-L92)/100,0)</f>
        <v>16372</v>
      </c>
      <c r="S92" s="10" t="n">
        <f aca="false">ROUND(P92*M92/100,0)</f>
        <v>7254</v>
      </c>
      <c r="T92" s="11" t="n">
        <v>71.73</v>
      </c>
      <c r="U92" s="11" t="n">
        <v>71.94</v>
      </c>
      <c r="V92" s="3" t="n">
        <f aca="false">RANK(F92,$F$2:$F$350,0)</f>
        <v>71</v>
      </c>
      <c r="W92" s="12" t="n">
        <v>327.5</v>
      </c>
      <c r="X92" s="10" t="n">
        <v>86</v>
      </c>
      <c r="Y92" s="3" t="s">
        <v>67</v>
      </c>
      <c r="Z92" s="3" t="s">
        <v>180</v>
      </c>
      <c r="AA92" s="13" t="s">
        <v>59</v>
      </c>
      <c r="AB92" s="11" t="n">
        <v>27.01</v>
      </c>
    </row>
    <row r="93" customFormat="false" ht="16.4" hidden="false" customHeight="false" outlineLevel="0" collapsed="false">
      <c r="A93" s="3" t="n">
        <v>92</v>
      </c>
      <c r="B93" s="3" t="n">
        <v>5</v>
      </c>
      <c r="C93" s="3" t="s">
        <v>181</v>
      </c>
      <c r="D93" s="10" t="n">
        <v>25328</v>
      </c>
      <c r="E93" s="10" t="n">
        <f aca="false">ROUND(D93*INDEX(مناطق!$AF$2:$AF$23,B93),0)</f>
        <v>22774</v>
      </c>
      <c r="F93" s="11" t="n">
        <f aca="false">ROUND(100*(راهنما!$B$4*(H93-MIN($H$2:$H$350))/(MAX($H$2:$H$350)-MIN($H$2:$H$350))+راهنما!$B$5*(N93-MIN($N$2:$N$350))/(MAX($N$2:$N$350)-MIN($N$2:$N$350))+راهنما!$B$6*(J93-MIN($J$2:$J$350))/(MAX($J$2:$J$350)-MIN($J$2:$J$350))+راهنما!$B$7*(MAX($I$2:$I$350)-I93)/(MAX($I$2:$I$350)-MIN($I$2:$I$350)))/راهنما!$B$8,1)</f>
        <v>60.8</v>
      </c>
      <c r="G93" s="3" t="str">
        <f aca="false">IF(V93&lt;=ROUND(349*0.2,0),"بسیار بالا",IF(V93&lt;=ROUND(349*0.4,0),"بالا",IF(V93&lt;=ROUND(349*0.6,0),"متوسط",IF(V93&lt;=ROUND(349*0.8,0),"پایین","بسیار پایین"))))</f>
        <v>بالا</v>
      </c>
      <c r="H93" s="11" t="n">
        <f aca="false">(100-I93)*(100-L93)/100</f>
        <v>71.615628</v>
      </c>
      <c r="I93" s="11" t="n">
        <v>13.13</v>
      </c>
      <c r="J93" s="11" t="n">
        <v>33.25</v>
      </c>
      <c r="K93" s="11" t="n">
        <f aca="false">J93/(1-I93/100)</f>
        <v>38.2755842062853</v>
      </c>
      <c r="L93" s="11" t="n">
        <v>17.56</v>
      </c>
      <c r="M93" s="11" t="n">
        <v>36.64</v>
      </c>
      <c r="N93" s="11" t="n">
        <v>50.13</v>
      </c>
      <c r="O93" s="11" t="n">
        <v>3.2</v>
      </c>
      <c r="P93" s="10" t="n">
        <f aca="false">ROUND(E93*J93/100,0)</f>
        <v>7572</v>
      </c>
      <c r="Q93" s="10" t="n">
        <f aca="false">ROUND(P93*I93/(100-I93),0)</f>
        <v>1144</v>
      </c>
      <c r="R93" s="10" t="n">
        <f aca="false">ROUND(P93*(100-L93)/100,0)</f>
        <v>6242</v>
      </c>
      <c r="S93" s="10" t="n">
        <f aca="false">ROUND(P93*M93/100,0)</f>
        <v>2774</v>
      </c>
      <c r="T93" s="11" t="n">
        <v>71.6</v>
      </c>
      <c r="U93" s="11" t="n">
        <v>71.64</v>
      </c>
      <c r="V93" s="3" t="n">
        <f aca="false">RANK(F93,$F$2:$F$350,0)</f>
        <v>73</v>
      </c>
      <c r="W93" s="12" t="n">
        <v>324.7</v>
      </c>
      <c r="X93" s="10" t="n">
        <v>90</v>
      </c>
      <c r="Y93" s="3" t="s">
        <v>67</v>
      </c>
      <c r="Z93" s="3" t="s">
        <v>181</v>
      </c>
      <c r="AA93" s="13" t="s">
        <v>59</v>
      </c>
      <c r="AB93" s="11" t="n">
        <v>25.89</v>
      </c>
    </row>
    <row r="94" customFormat="false" ht="16.4" hidden="false" customHeight="false" outlineLevel="0" collapsed="false">
      <c r="A94" s="3" t="n">
        <v>93</v>
      </c>
      <c r="B94" s="3" t="n">
        <v>5</v>
      </c>
      <c r="C94" s="3" t="s">
        <v>80</v>
      </c>
      <c r="D94" s="10" t="n">
        <v>9705</v>
      </c>
      <c r="E94" s="10" t="n">
        <f aca="false">ROUND(D94*INDEX(مناطق!$AF$2:$AF$23,B94),0)</f>
        <v>8726</v>
      </c>
      <c r="F94" s="11" t="n">
        <f aca="false">ROUND(100*(راهنما!$B$4*(H94-MIN($H$2:$H$350))/(MAX($H$2:$H$350)-MIN($H$2:$H$350))+راهنما!$B$5*(N94-MIN($N$2:$N$350))/(MAX($N$2:$N$350)-MIN($N$2:$N$350))+راهنما!$B$6*(J94-MIN($J$2:$J$350))/(MAX($J$2:$J$350)-MIN($J$2:$J$350))+راهنما!$B$7*(MAX($I$2:$I$350)-I94)/(MAX($I$2:$I$350)-MIN($I$2:$I$350)))/راهنما!$B$8,1)</f>
        <v>60.7</v>
      </c>
      <c r="G94" s="3" t="str">
        <f aca="false">IF(V94&lt;=ROUND(349*0.2,0),"بسیار بالا",IF(V94&lt;=ROUND(349*0.4,0),"بالا",IF(V94&lt;=ROUND(349*0.6,0),"متوسط",IF(V94&lt;=ROUND(349*0.8,0),"پایین","بسیار پایین"))))</f>
        <v>بالا</v>
      </c>
      <c r="H94" s="11" t="n">
        <f aca="false">(100-I94)*(100-L94)/100</f>
        <v>71.606941</v>
      </c>
      <c r="I94" s="11" t="n">
        <v>13.13</v>
      </c>
      <c r="J94" s="11" t="n">
        <v>33.25</v>
      </c>
      <c r="K94" s="11" t="n">
        <f aca="false">J94/(1-I94/100)</f>
        <v>38.2755842062853</v>
      </c>
      <c r="L94" s="11" t="n">
        <v>17.57</v>
      </c>
      <c r="M94" s="11" t="n">
        <v>36.64</v>
      </c>
      <c r="N94" s="11" t="n">
        <v>50.04</v>
      </c>
      <c r="O94" s="11" t="n">
        <v>3.2</v>
      </c>
      <c r="P94" s="10" t="n">
        <f aca="false">ROUND(E94*J94/100,0)</f>
        <v>2901</v>
      </c>
      <c r="Q94" s="10" t="n">
        <f aca="false">ROUND(P94*I94/(100-I94),0)</f>
        <v>438</v>
      </c>
      <c r="R94" s="10" t="n">
        <f aca="false">ROUND(P94*(100-L94)/100,0)</f>
        <v>2391</v>
      </c>
      <c r="S94" s="10" t="n">
        <f aca="false">ROUND(P94*M94/100,0)</f>
        <v>1063</v>
      </c>
      <c r="T94" s="11" t="n">
        <v>71.6</v>
      </c>
      <c r="U94" s="11" t="n">
        <v>71.62</v>
      </c>
      <c r="V94" s="3" t="n">
        <f aca="false">RANK(F94,$F$2:$F$350,0)</f>
        <v>74</v>
      </c>
      <c r="W94" s="12" t="n">
        <v>316.2</v>
      </c>
      <c r="X94" s="10" t="n">
        <v>91</v>
      </c>
      <c r="Y94" s="3" t="s">
        <v>67</v>
      </c>
      <c r="Z94" s="3" t="s">
        <v>182</v>
      </c>
      <c r="AA94" s="13" t="s">
        <v>59</v>
      </c>
      <c r="AB94" s="11" t="n">
        <v>25.82</v>
      </c>
    </row>
    <row r="95" customFormat="false" ht="16.4" hidden="false" customHeight="false" outlineLevel="0" collapsed="false">
      <c r="A95" s="3" t="n">
        <v>94</v>
      </c>
      <c r="B95" s="3" t="n">
        <v>5</v>
      </c>
      <c r="C95" s="3" t="s">
        <v>183</v>
      </c>
      <c r="D95" s="10" t="n">
        <v>51011</v>
      </c>
      <c r="E95" s="10" t="n">
        <f aca="false">ROUND(D95*INDEX(مناطق!$AF$2:$AF$23,B95),0)</f>
        <v>45867</v>
      </c>
      <c r="F95" s="11" t="n">
        <f aca="false">ROUND(100*(راهنما!$B$4*(H95-MIN($H$2:$H$350))/(MAX($H$2:$H$350)-MIN($H$2:$H$350))+راهنما!$B$5*(N95-MIN($N$2:$N$350))/(MAX($N$2:$N$350)-MIN($N$2:$N$350))+راهنما!$B$6*(J95-MIN($J$2:$J$350))/(MAX($J$2:$J$350)-MIN($J$2:$J$350))+راهنما!$B$7*(MAX($I$2:$I$350)-I95)/(MAX($I$2:$I$350)-MIN($I$2:$I$350)))/راهنما!$B$8,1)</f>
        <v>60.4</v>
      </c>
      <c r="G95" s="3" t="str">
        <f aca="false">IF(V95&lt;=ROUND(349*0.2,0),"بسیار بالا",IF(V95&lt;=ROUND(349*0.4,0),"بالا",IF(V95&lt;=ROUND(349*0.6,0),"متوسط",IF(V95&lt;=ROUND(349*0.8,0),"پایین","بسیار پایین"))))</f>
        <v>بالا</v>
      </c>
      <c r="H95" s="11" t="n">
        <f aca="false">(100-I95)*(100-L95)/100</f>
        <v>71.537445</v>
      </c>
      <c r="I95" s="11" t="n">
        <v>13.13</v>
      </c>
      <c r="J95" s="11" t="n">
        <v>33.27</v>
      </c>
      <c r="K95" s="11" t="n">
        <f aca="false">J95/(1-I95/100)</f>
        <v>38.2986071140785</v>
      </c>
      <c r="L95" s="11" t="n">
        <v>17.65</v>
      </c>
      <c r="M95" s="11" t="n">
        <v>36.64</v>
      </c>
      <c r="N95" s="11" t="n">
        <v>49.57</v>
      </c>
      <c r="O95" s="11" t="n">
        <v>3.22</v>
      </c>
      <c r="P95" s="10" t="n">
        <f aca="false">ROUND(E95*J95/100,0)</f>
        <v>15260</v>
      </c>
      <c r="Q95" s="10" t="n">
        <f aca="false">ROUND(P95*I95/(100-I95),0)</f>
        <v>2306</v>
      </c>
      <c r="R95" s="10" t="n">
        <f aca="false">ROUND(P95*(100-L95)/100,0)</f>
        <v>12567</v>
      </c>
      <c r="S95" s="10" t="n">
        <f aca="false">ROUND(P95*M95/100,0)</f>
        <v>5591</v>
      </c>
      <c r="T95" s="11" t="n">
        <v>71.53</v>
      </c>
      <c r="U95" s="11" t="n">
        <v>71.56</v>
      </c>
      <c r="V95" s="3" t="n">
        <f aca="false">RANK(F95,$F$2:$F$350,0)</f>
        <v>77</v>
      </c>
      <c r="W95" s="12" t="n">
        <v>318.2</v>
      </c>
      <c r="X95" s="10" t="n">
        <v>93</v>
      </c>
      <c r="Y95" s="3" t="s">
        <v>58</v>
      </c>
      <c r="Z95" s="3" t="s">
        <v>184</v>
      </c>
      <c r="AA95" s="13" t="s">
        <v>59</v>
      </c>
      <c r="AB95" s="11" t="n">
        <v>25.49</v>
      </c>
    </row>
    <row r="96" customFormat="false" ht="16.4" hidden="false" customHeight="false" outlineLevel="0" collapsed="false">
      <c r="A96" s="3" t="n">
        <v>95</v>
      </c>
      <c r="B96" s="3" t="n">
        <v>5</v>
      </c>
      <c r="C96" s="3" t="s">
        <v>185</v>
      </c>
      <c r="D96" s="10" t="n">
        <v>64263</v>
      </c>
      <c r="E96" s="10" t="n">
        <f aca="false">ROUND(D96*INDEX(مناطق!$AF$2:$AF$23,B96),0)</f>
        <v>57782</v>
      </c>
      <c r="F96" s="11" t="n">
        <f aca="false">ROUND(100*(راهنما!$B$4*(H96-MIN($H$2:$H$350))/(MAX($H$2:$H$350)-MIN($H$2:$H$350))+راهنما!$B$5*(N96-MIN($N$2:$N$350))/(MAX($N$2:$N$350)-MIN($N$2:$N$350))+راهنما!$B$6*(J96-MIN($J$2:$J$350))/(MAX($J$2:$J$350)-MIN($J$2:$J$350))+راهنما!$B$7*(MAX($I$2:$I$350)-I96)/(MAX($I$2:$I$350)-MIN($I$2:$I$350)))/راهنما!$B$8,1)</f>
        <v>60.3</v>
      </c>
      <c r="G96" s="3" t="str">
        <f aca="false">IF(V96&lt;=ROUND(349*0.2,0),"بسیار بالا",IF(V96&lt;=ROUND(349*0.4,0),"بالا",IF(V96&lt;=ROUND(349*0.6,0),"متوسط",IF(V96&lt;=ROUND(349*0.8,0),"پایین","بسیار پایین"))))</f>
        <v>بالا</v>
      </c>
      <c r="H96" s="11" t="n">
        <f aca="false">(100-I96)*(100-L96)/100</f>
        <v>71.520071</v>
      </c>
      <c r="I96" s="11" t="n">
        <v>13.13</v>
      </c>
      <c r="J96" s="11" t="n">
        <v>33.27</v>
      </c>
      <c r="K96" s="11" t="n">
        <f aca="false">J96/(1-I96/100)</f>
        <v>38.2986071140785</v>
      </c>
      <c r="L96" s="11" t="n">
        <v>17.67</v>
      </c>
      <c r="M96" s="11" t="n">
        <v>36.64</v>
      </c>
      <c r="N96" s="11" t="n">
        <v>49.44</v>
      </c>
      <c r="O96" s="11" t="n">
        <v>3.23</v>
      </c>
      <c r="P96" s="10" t="n">
        <f aca="false">ROUND(E96*J96/100,0)</f>
        <v>19224</v>
      </c>
      <c r="Q96" s="10" t="n">
        <f aca="false">ROUND(P96*I96/(100-I96),0)</f>
        <v>2906</v>
      </c>
      <c r="R96" s="10" t="n">
        <f aca="false">ROUND(P96*(100-L96)/100,0)</f>
        <v>15827</v>
      </c>
      <c r="S96" s="10" t="n">
        <f aca="false">ROUND(P96*M96/100,0)</f>
        <v>7044</v>
      </c>
      <c r="T96" s="11" t="n">
        <v>71.5</v>
      </c>
      <c r="U96" s="11" t="n">
        <v>71.55</v>
      </c>
      <c r="V96" s="3" t="n">
        <f aca="false">RANK(F96,$F$2:$F$350,0)</f>
        <v>78</v>
      </c>
      <c r="W96" s="12" t="n">
        <v>307.7</v>
      </c>
      <c r="X96" s="10" t="n">
        <v>88</v>
      </c>
      <c r="Y96" s="3" t="s">
        <v>58</v>
      </c>
      <c r="Z96" s="3" t="s">
        <v>185</v>
      </c>
      <c r="AA96" s="13" t="s">
        <v>59</v>
      </c>
      <c r="AB96" s="11" t="n">
        <v>25.39</v>
      </c>
    </row>
    <row r="97" customFormat="false" ht="16.4" hidden="false" customHeight="false" outlineLevel="0" collapsed="false">
      <c r="A97" s="3" t="n">
        <v>96</v>
      </c>
      <c r="B97" s="3" t="n">
        <v>5</v>
      </c>
      <c r="C97" s="3" t="s">
        <v>186</v>
      </c>
      <c r="D97" s="10" t="n">
        <v>26312</v>
      </c>
      <c r="E97" s="10" t="n">
        <f aca="false">ROUND(D97*INDEX(مناطق!$AF$2:$AF$23,B97),0)</f>
        <v>23659</v>
      </c>
      <c r="F97" s="11" t="n">
        <f aca="false">ROUND(100*(راهنما!$B$4*(H97-MIN($H$2:$H$350))/(MAX($H$2:$H$350)-MIN($H$2:$H$350))+راهنما!$B$5*(N97-MIN($N$2:$N$350))/(MAX($N$2:$N$350)-MIN($N$2:$N$350))+راهنما!$B$6*(J97-MIN($J$2:$J$350))/(MAX($J$2:$J$350)-MIN($J$2:$J$350))+راهنما!$B$7*(MAX($I$2:$I$350)-I97)/(MAX($I$2:$I$350)-MIN($I$2:$I$350)))/راهنما!$B$8,1)</f>
        <v>59.8</v>
      </c>
      <c r="G97" s="3" t="str">
        <f aca="false">IF(V97&lt;=ROUND(349*0.2,0),"بسیار بالا",IF(V97&lt;=ROUND(349*0.4,0),"بالا",IF(V97&lt;=ROUND(349*0.6,0),"متوسط",IF(V97&lt;=ROUND(349*0.8,0),"پایین","بسیار پایین"))))</f>
        <v>بالا</v>
      </c>
      <c r="H97" s="11" t="n">
        <f aca="false">(100-I97)*(100-L97)/100</f>
        <v>71.398453</v>
      </c>
      <c r="I97" s="11" t="n">
        <v>13.13</v>
      </c>
      <c r="J97" s="11" t="n">
        <v>33.3</v>
      </c>
      <c r="K97" s="11" t="n">
        <f aca="false">J97/(1-I97/100)</f>
        <v>38.3331414757684</v>
      </c>
      <c r="L97" s="11" t="n">
        <v>17.81</v>
      </c>
      <c r="M97" s="11" t="n">
        <v>36.64</v>
      </c>
      <c r="N97" s="11" t="n">
        <v>48.61</v>
      </c>
      <c r="O97" s="11" t="n">
        <v>3.26</v>
      </c>
      <c r="P97" s="10" t="n">
        <f aca="false">ROUND(E97*J97/100,0)</f>
        <v>7878</v>
      </c>
      <c r="Q97" s="10" t="n">
        <f aca="false">ROUND(P97*I97/(100-I97),0)</f>
        <v>1191</v>
      </c>
      <c r="R97" s="10" t="n">
        <f aca="false">ROUND(P97*(100-L97)/100,0)</f>
        <v>6475</v>
      </c>
      <c r="S97" s="10" t="n">
        <f aca="false">ROUND(P97*M97/100,0)</f>
        <v>2886</v>
      </c>
      <c r="T97" s="11" t="n">
        <v>71.33</v>
      </c>
      <c r="U97" s="11" t="n">
        <v>71.48</v>
      </c>
      <c r="V97" s="3" t="n">
        <f aca="false">RANK(F97,$F$2:$F$350,0)</f>
        <v>83</v>
      </c>
      <c r="W97" s="12" t="n">
        <v>306.5</v>
      </c>
      <c r="X97" s="10" t="n">
        <v>87</v>
      </c>
      <c r="Y97" s="3" t="s">
        <v>67</v>
      </c>
      <c r="Z97" s="3" t="s">
        <v>186</v>
      </c>
      <c r="AA97" s="13" t="s">
        <v>59</v>
      </c>
      <c r="AB97" s="11" t="n">
        <v>24.8</v>
      </c>
    </row>
    <row r="98" customFormat="false" ht="16.4" hidden="false" customHeight="false" outlineLevel="0" collapsed="false">
      <c r="A98" s="3" t="n">
        <v>97</v>
      </c>
      <c r="B98" s="3" t="n">
        <v>5</v>
      </c>
      <c r="C98" s="3" t="s">
        <v>187</v>
      </c>
      <c r="D98" s="10" t="n">
        <v>24536</v>
      </c>
      <c r="E98" s="10" t="n">
        <f aca="false">ROUND(D98*INDEX(مناطق!$AF$2:$AF$23,B98),0)</f>
        <v>22062</v>
      </c>
      <c r="F98" s="11" t="n">
        <f aca="false">ROUND(100*(راهنما!$B$4*(H98-MIN($H$2:$H$350))/(MAX($H$2:$H$350)-MIN($H$2:$H$350))+راهنما!$B$5*(N98-MIN($N$2:$N$350))/(MAX($N$2:$N$350)-MIN($N$2:$N$350))+راهنما!$B$6*(J98-MIN($J$2:$J$350))/(MAX($J$2:$J$350)-MIN($J$2:$J$350))+راهنما!$B$7*(MAX($I$2:$I$350)-I98)/(MAX($I$2:$I$350)-MIN($I$2:$I$350)))/راهنما!$B$8,1)</f>
        <v>59.8</v>
      </c>
      <c r="G98" s="3" t="str">
        <f aca="false">IF(V98&lt;=ROUND(349*0.2,0),"بسیار بالا",IF(V98&lt;=ROUND(349*0.4,0),"بالا",IF(V98&lt;=ROUND(349*0.6,0),"متوسط",IF(V98&lt;=ROUND(349*0.8,0),"پایین","بسیار پایین"))))</f>
        <v>بالا</v>
      </c>
      <c r="H98" s="11" t="n">
        <f aca="false">(100-I98)*(100-L98)/100</f>
        <v>71.398453</v>
      </c>
      <c r="I98" s="11" t="n">
        <v>13.13</v>
      </c>
      <c r="J98" s="11" t="n">
        <v>33.3</v>
      </c>
      <c r="K98" s="11" t="n">
        <f aca="false">J98/(1-I98/100)</f>
        <v>38.3331414757684</v>
      </c>
      <c r="L98" s="11" t="n">
        <v>17.81</v>
      </c>
      <c r="M98" s="11" t="n">
        <v>36.64</v>
      </c>
      <c r="N98" s="11" t="n">
        <v>48.6</v>
      </c>
      <c r="O98" s="11" t="n">
        <v>3.26</v>
      </c>
      <c r="P98" s="10" t="n">
        <f aca="false">ROUND(E98*J98/100,0)</f>
        <v>7347</v>
      </c>
      <c r="Q98" s="10" t="n">
        <f aca="false">ROUND(P98*I98/(100-I98),0)</f>
        <v>1110</v>
      </c>
      <c r="R98" s="10" t="n">
        <f aca="false">ROUND(P98*(100-L98)/100,0)</f>
        <v>6038</v>
      </c>
      <c r="S98" s="10" t="n">
        <f aca="false">ROUND(P98*M98/100,0)</f>
        <v>2692</v>
      </c>
      <c r="T98" s="11" t="n">
        <v>71.33</v>
      </c>
      <c r="U98" s="11" t="n">
        <v>71.48</v>
      </c>
      <c r="V98" s="3" t="n">
        <f aca="false">RANK(F98,$F$2:$F$350,0)</f>
        <v>83</v>
      </c>
      <c r="W98" s="12" t="n">
        <v>314</v>
      </c>
      <c r="X98" s="10" t="n">
        <v>90</v>
      </c>
      <c r="Y98" s="3" t="s">
        <v>58</v>
      </c>
      <c r="Z98" s="3" t="s">
        <v>187</v>
      </c>
      <c r="AA98" s="13" t="s">
        <v>59</v>
      </c>
      <c r="AB98" s="11" t="n">
        <v>24.79</v>
      </c>
    </row>
    <row r="99" customFormat="false" ht="16.4" hidden="false" customHeight="false" outlineLevel="0" collapsed="false">
      <c r="A99" s="3" t="n">
        <v>98</v>
      </c>
      <c r="B99" s="3" t="n">
        <v>5</v>
      </c>
      <c r="C99" s="3" t="s">
        <v>188</v>
      </c>
      <c r="D99" s="10" t="n">
        <v>32889</v>
      </c>
      <c r="E99" s="10" t="n">
        <f aca="false">ROUND(D99*INDEX(مناطق!$AF$2:$AF$23,B99),0)</f>
        <v>29572</v>
      </c>
      <c r="F99" s="11" t="n">
        <f aca="false">ROUND(100*(راهنما!$B$4*(H99-MIN($H$2:$H$350))/(MAX($H$2:$H$350)-MIN($H$2:$H$350))+راهنما!$B$5*(N99-MIN($N$2:$N$350))/(MAX($N$2:$N$350)-MIN($N$2:$N$350))+راهنما!$B$6*(J99-MIN($J$2:$J$350))/(MAX($J$2:$J$350)-MIN($J$2:$J$350))+راهنما!$B$7*(MAX($I$2:$I$350)-I99)/(MAX($I$2:$I$350)-MIN($I$2:$I$350)))/راهنما!$B$8,1)</f>
        <v>59.8</v>
      </c>
      <c r="G99" s="3" t="str">
        <f aca="false">IF(V99&lt;=ROUND(349*0.2,0),"بسیار بالا",IF(V99&lt;=ROUND(349*0.4,0),"بالا",IF(V99&lt;=ROUND(349*0.6,0),"متوسط",IF(V99&lt;=ROUND(349*0.8,0),"پایین","بسیار پایین"))))</f>
        <v>بالا</v>
      </c>
      <c r="H99" s="11" t="n">
        <f aca="false">(100-I99)*(100-L99)/100</f>
        <v>71.398453</v>
      </c>
      <c r="I99" s="11" t="n">
        <v>13.13</v>
      </c>
      <c r="J99" s="11" t="n">
        <v>33.3</v>
      </c>
      <c r="K99" s="11" t="n">
        <f aca="false">J99/(1-I99/100)</f>
        <v>38.3331414757684</v>
      </c>
      <c r="L99" s="11" t="n">
        <v>17.81</v>
      </c>
      <c r="M99" s="11" t="n">
        <v>36.64</v>
      </c>
      <c r="N99" s="11" t="n">
        <v>48.58</v>
      </c>
      <c r="O99" s="11" t="n">
        <v>3.27</v>
      </c>
      <c r="P99" s="10" t="n">
        <f aca="false">ROUND(E99*J99/100,0)</f>
        <v>9847</v>
      </c>
      <c r="Q99" s="10" t="n">
        <f aca="false">ROUND(P99*I99/(100-I99),0)</f>
        <v>1488</v>
      </c>
      <c r="R99" s="10" t="n">
        <f aca="false">ROUND(P99*(100-L99)/100,0)</f>
        <v>8093</v>
      </c>
      <c r="S99" s="10" t="n">
        <f aca="false">ROUND(P99*M99/100,0)</f>
        <v>3608</v>
      </c>
      <c r="T99" s="11" t="n">
        <v>71.32</v>
      </c>
      <c r="U99" s="11" t="n">
        <v>71.48</v>
      </c>
      <c r="V99" s="3" t="n">
        <f aca="false">RANK(F99,$F$2:$F$350,0)</f>
        <v>83</v>
      </c>
      <c r="W99" s="12" t="n">
        <v>304.3</v>
      </c>
      <c r="X99" s="10" t="n">
        <v>92</v>
      </c>
      <c r="Y99" s="3" t="s">
        <v>58</v>
      </c>
      <c r="Z99" s="3" t="s">
        <v>188</v>
      </c>
      <c r="AA99" s="13" t="s">
        <v>59</v>
      </c>
      <c r="AB99" s="11" t="n">
        <v>24.78</v>
      </c>
    </row>
    <row r="100" customFormat="false" ht="16.4" hidden="false" customHeight="false" outlineLevel="0" collapsed="false">
      <c r="A100" s="3" t="n">
        <v>99</v>
      </c>
      <c r="B100" s="3" t="n">
        <v>5</v>
      </c>
      <c r="C100" s="3" t="s">
        <v>189</v>
      </c>
      <c r="D100" s="10" t="n">
        <v>30557</v>
      </c>
      <c r="E100" s="10" t="n">
        <f aca="false">ROUND(D100*INDEX(مناطق!$AF$2:$AF$23,B100),0)</f>
        <v>27475</v>
      </c>
      <c r="F100" s="11" t="n">
        <f aca="false">ROUND(100*(راهنما!$B$4*(H100-MIN($H$2:$H$350))/(MAX($H$2:$H$350)-MIN($H$2:$H$350))+راهنما!$B$5*(N100-MIN($N$2:$N$350))/(MAX($N$2:$N$350)-MIN($N$2:$N$350))+راهنما!$B$6*(J100-MIN($J$2:$J$350))/(MAX($J$2:$J$350)-MIN($J$2:$J$350))+راهنما!$B$7*(MAX($I$2:$I$350)-I100)/(MAX($I$2:$I$350)-MIN($I$2:$I$350)))/راهنما!$B$8,1)</f>
        <v>58.8</v>
      </c>
      <c r="G100" s="3" t="str">
        <f aca="false">IF(V100&lt;=ROUND(349*0.2,0),"بسیار بالا",IF(V100&lt;=ROUND(349*0.4,0),"بالا",IF(V100&lt;=ROUND(349*0.6,0),"متوسط",IF(V100&lt;=ROUND(349*0.8,0),"پایین","بسیار پایین"))))</f>
        <v>بالا</v>
      </c>
      <c r="H100" s="11" t="n">
        <f aca="false">(100-I100)*(100-L100)/100</f>
        <v>71.172591</v>
      </c>
      <c r="I100" s="11" t="n">
        <v>13.13</v>
      </c>
      <c r="J100" s="11" t="n">
        <v>33.36</v>
      </c>
      <c r="K100" s="11" t="n">
        <f aca="false">J100/(1-I100/100)</f>
        <v>38.4022101991482</v>
      </c>
      <c r="L100" s="11" t="n">
        <v>18.07</v>
      </c>
      <c r="M100" s="11" t="n">
        <v>36.64</v>
      </c>
      <c r="N100" s="11" t="n">
        <v>47.03</v>
      </c>
      <c r="O100" s="11" t="n">
        <v>3.34</v>
      </c>
      <c r="P100" s="10" t="n">
        <f aca="false">ROUND(E100*J100/100,0)</f>
        <v>9166</v>
      </c>
      <c r="Q100" s="10" t="n">
        <f aca="false">ROUND(P100*I100/(100-I100),0)</f>
        <v>1385</v>
      </c>
      <c r="R100" s="10" t="n">
        <f aca="false">ROUND(P100*(100-L100)/100,0)</f>
        <v>7510</v>
      </c>
      <c r="S100" s="10" t="n">
        <f aca="false">ROUND(P100*M100/100,0)</f>
        <v>3358</v>
      </c>
      <c r="T100" s="11" t="n">
        <v>71</v>
      </c>
      <c r="U100" s="11" t="n">
        <v>71.35</v>
      </c>
      <c r="V100" s="3" t="n">
        <f aca="false">RANK(F100,$F$2:$F$350,0)</f>
        <v>97</v>
      </c>
      <c r="W100" s="12" t="n">
        <v>291</v>
      </c>
      <c r="X100" s="10" t="n">
        <v>90</v>
      </c>
      <c r="Y100" s="3" t="s">
        <v>58</v>
      </c>
      <c r="Z100" s="3" t="s">
        <v>189</v>
      </c>
      <c r="AA100" s="13" t="s">
        <v>59</v>
      </c>
      <c r="AB100" s="11" t="n">
        <v>23.7</v>
      </c>
    </row>
    <row r="101" customFormat="false" ht="16.4" hidden="false" customHeight="false" outlineLevel="0" collapsed="false">
      <c r="A101" s="3" t="n">
        <v>100</v>
      </c>
      <c r="B101" s="3" t="n">
        <v>5</v>
      </c>
      <c r="C101" s="3" t="s">
        <v>190</v>
      </c>
      <c r="D101" s="10" t="n">
        <v>26232</v>
      </c>
      <c r="E101" s="10" t="n">
        <f aca="false">ROUND(D101*INDEX(مناطق!$AF$2:$AF$23,B101),0)</f>
        <v>23587</v>
      </c>
      <c r="F101" s="11" t="n">
        <f aca="false">ROUND(100*(راهنما!$B$4*(H101-MIN($H$2:$H$350))/(MAX($H$2:$H$350)-MIN($H$2:$H$350))+راهنما!$B$5*(N101-MIN($N$2:$N$350))/(MAX($N$2:$N$350)-MIN($N$2:$N$350))+راهنما!$B$6*(J101-MIN($J$2:$J$350))/(MAX($J$2:$J$350)-MIN($J$2:$J$350))+راهنما!$B$7*(MAX($I$2:$I$350)-I101)/(MAX($I$2:$I$350)-MIN($I$2:$I$350)))/راهنما!$B$8,1)</f>
        <v>58.5</v>
      </c>
      <c r="G101" s="3" t="str">
        <f aca="false">IF(V101&lt;=ROUND(349*0.2,0),"بسیار بالا",IF(V101&lt;=ROUND(349*0.4,0),"بالا",IF(V101&lt;=ROUND(349*0.6,0),"متوسط",IF(V101&lt;=ROUND(349*0.8,0),"پایین","بسیار پایین"))))</f>
        <v>بالا</v>
      </c>
      <c r="H101" s="11" t="n">
        <f aca="false">(100-I101)*(100-L101)/100</f>
        <v>71.094408</v>
      </c>
      <c r="I101" s="11" t="n">
        <v>13.13</v>
      </c>
      <c r="J101" s="11" t="n">
        <v>33.38</v>
      </c>
      <c r="K101" s="11" t="n">
        <f aca="false">J101/(1-I101/100)</f>
        <v>38.4252331069414</v>
      </c>
      <c r="L101" s="11" t="n">
        <v>18.16</v>
      </c>
      <c r="M101" s="11" t="n">
        <v>36.64</v>
      </c>
      <c r="N101" s="11" t="n">
        <v>46.47</v>
      </c>
      <c r="O101" s="11" t="n">
        <v>3.36</v>
      </c>
      <c r="P101" s="10" t="n">
        <f aca="false">ROUND(E101*J101/100,0)</f>
        <v>7873</v>
      </c>
      <c r="Q101" s="10" t="n">
        <f aca="false">ROUND(P101*I101/(100-I101),0)</f>
        <v>1190</v>
      </c>
      <c r="R101" s="10" t="n">
        <f aca="false">ROUND(P101*(100-L101)/100,0)</f>
        <v>6443</v>
      </c>
      <c r="S101" s="10" t="n">
        <f aca="false">ROUND(P101*M101/100,0)</f>
        <v>2885</v>
      </c>
      <c r="T101" s="11" t="n">
        <v>70.88</v>
      </c>
      <c r="U101" s="11" t="n">
        <v>71.3</v>
      </c>
      <c r="V101" s="3" t="n">
        <f aca="false">RANK(F101,$F$2:$F$350,0)</f>
        <v>100</v>
      </c>
      <c r="W101" s="12" t="n">
        <v>275.3</v>
      </c>
      <c r="X101" s="10" t="n">
        <v>90</v>
      </c>
      <c r="Y101" s="3" t="s">
        <v>58</v>
      </c>
      <c r="Z101" s="3" t="s">
        <v>190</v>
      </c>
      <c r="AA101" s="13" t="s">
        <v>59</v>
      </c>
      <c r="AB101" s="11" t="n">
        <v>23.31</v>
      </c>
    </row>
    <row r="102" customFormat="false" ht="16.4" hidden="false" customHeight="false" outlineLevel="0" collapsed="false">
      <c r="A102" s="3" t="n">
        <v>101</v>
      </c>
      <c r="B102" s="3" t="n">
        <v>5</v>
      </c>
      <c r="C102" s="3" t="s">
        <v>191</v>
      </c>
      <c r="D102" s="10" t="n">
        <v>43465</v>
      </c>
      <c r="E102" s="10" t="n">
        <f aca="false">ROUND(D102*INDEX(مناطق!$AF$2:$AF$23,B102),0)</f>
        <v>39082</v>
      </c>
      <c r="F102" s="11" t="n">
        <f aca="false">ROUND(100*(راهنما!$B$4*(H102-MIN($H$2:$H$350))/(MAX($H$2:$H$350)-MIN($H$2:$H$350))+راهنما!$B$5*(N102-MIN($N$2:$N$350))/(MAX($N$2:$N$350)-MIN($N$2:$N$350))+راهنما!$B$6*(J102-MIN($J$2:$J$350))/(MAX($J$2:$J$350)-MIN($J$2:$J$350))+راهنما!$B$7*(MAX($I$2:$I$350)-I102)/(MAX($I$2:$I$350)-MIN($I$2:$I$350)))/راهنما!$B$8,1)</f>
        <v>58.1</v>
      </c>
      <c r="G102" s="3" t="str">
        <f aca="false">IF(V102&lt;=ROUND(349*0.2,0),"بسیار بالا",IF(V102&lt;=ROUND(349*0.4,0),"بالا",IF(V102&lt;=ROUND(349*0.6,0),"متوسط",IF(V102&lt;=ROUND(349*0.8,0),"پایین","بسیار پایین"))))</f>
        <v>بالا</v>
      </c>
      <c r="H102" s="11" t="n">
        <f aca="false">(100-I102)*(100-L102)/100</f>
        <v>71.016225</v>
      </c>
      <c r="I102" s="11" t="n">
        <v>13.13</v>
      </c>
      <c r="J102" s="11" t="n">
        <v>33.39</v>
      </c>
      <c r="K102" s="11" t="n">
        <f aca="false">J102/(1-I102/100)</f>
        <v>38.436744560838</v>
      </c>
      <c r="L102" s="11" t="n">
        <v>18.25</v>
      </c>
      <c r="M102" s="11" t="n">
        <v>36.64</v>
      </c>
      <c r="N102" s="11" t="n">
        <v>45.96</v>
      </c>
      <c r="O102" s="11" t="n">
        <v>3.39</v>
      </c>
      <c r="P102" s="10" t="n">
        <f aca="false">ROUND(E102*J102/100,0)</f>
        <v>13049</v>
      </c>
      <c r="Q102" s="10" t="n">
        <f aca="false">ROUND(P102*I102/(100-I102),0)</f>
        <v>1972</v>
      </c>
      <c r="R102" s="10" t="n">
        <f aca="false">ROUND(P102*(100-L102)/100,0)</f>
        <v>10668</v>
      </c>
      <c r="S102" s="10" t="n">
        <f aca="false">ROUND(P102*M102/100,0)</f>
        <v>4781</v>
      </c>
      <c r="T102" s="11" t="n">
        <v>70.78</v>
      </c>
      <c r="U102" s="11" t="n">
        <v>71.26</v>
      </c>
      <c r="V102" s="3" t="n">
        <f aca="false">RANK(F102,$F$2:$F$350,0)</f>
        <v>103</v>
      </c>
      <c r="W102" s="12" t="n">
        <v>271.1</v>
      </c>
      <c r="X102" s="10" t="n">
        <v>91</v>
      </c>
      <c r="Y102" s="3" t="s">
        <v>58</v>
      </c>
      <c r="Z102" s="3" t="s">
        <v>191</v>
      </c>
      <c r="AA102" s="13" t="s">
        <v>59</v>
      </c>
      <c r="AB102" s="11" t="n">
        <v>22.97</v>
      </c>
    </row>
    <row r="103" customFormat="false" ht="16.4" hidden="false" customHeight="false" outlineLevel="0" collapsed="false">
      <c r="A103" s="3" t="n">
        <v>102</v>
      </c>
      <c r="B103" s="3" t="n">
        <v>5</v>
      </c>
      <c r="C103" s="3" t="s">
        <v>192</v>
      </c>
      <c r="D103" s="10" t="n">
        <v>18037</v>
      </c>
      <c r="E103" s="10" t="n">
        <f aca="false">ROUND(D103*INDEX(مناطق!$AF$2:$AF$23,B103),0)</f>
        <v>16218</v>
      </c>
      <c r="F103" s="11" t="n">
        <f aca="false">ROUND(100*(راهنما!$B$4*(H103-MIN($H$2:$H$350))/(MAX($H$2:$H$350)-MIN($H$2:$H$350))+راهنما!$B$5*(N103-MIN($N$2:$N$350))/(MAX($N$2:$N$350)-MIN($N$2:$N$350))+راهنما!$B$6*(J103-MIN($J$2:$J$350))/(MAX($J$2:$J$350)-MIN($J$2:$J$350))+راهنما!$B$7*(MAX($I$2:$I$350)-I103)/(MAX($I$2:$I$350)-MIN($I$2:$I$350)))/راهنما!$B$8,1)</f>
        <v>57.2</v>
      </c>
      <c r="G103" s="3" t="str">
        <f aca="false">IF(V103&lt;=ROUND(349*0.2,0),"بسیار بالا",IF(V103&lt;=ROUND(349*0.4,0),"بالا",IF(V103&lt;=ROUND(349*0.6,0),"متوسط",IF(V103&lt;=ROUND(349*0.8,0),"پایین","بسیار پایین"))))</f>
        <v>بالا</v>
      </c>
      <c r="H103" s="11" t="n">
        <f aca="false">(100-I103)*(100-L103)/100</f>
        <v>70.816424</v>
      </c>
      <c r="I103" s="11" t="n">
        <v>13.13</v>
      </c>
      <c r="J103" s="11" t="n">
        <v>33.44</v>
      </c>
      <c r="K103" s="11" t="n">
        <f aca="false">J103/(1-I103/100)</f>
        <v>38.4943018303212</v>
      </c>
      <c r="L103" s="11" t="n">
        <v>18.48</v>
      </c>
      <c r="M103" s="11" t="n">
        <v>36.64</v>
      </c>
      <c r="N103" s="11" t="n">
        <v>44.61</v>
      </c>
      <c r="O103" s="11" t="n">
        <v>3.45</v>
      </c>
      <c r="P103" s="10" t="n">
        <f aca="false">ROUND(E103*J103/100,0)</f>
        <v>5423</v>
      </c>
      <c r="Q103" s="10" t="n">
        <f aca="false">ROUND(P103*I103/(100-I103),0)</f>
        <v>820</v>
      </c>
      <c r="R103" s="10" t="n">
        <f aca="false">ROUND(P103*(100-L103)/100,0)</f>
        <v>4421</v>
      </c>
      <c r="S103" s="10" t="n">
        <f aca="false">ROUND(P103*M103/100,0)</f>
        <v>1987</v>
      </c>
      <c r="T103" s="11" t="n">
        <v>70.49</v>
      </c>
      <c r="U103" s="11" t="n">
        <v>71.14</v>
      </c>
      <c r="V103" s="3" t="n">
        <f aca="false">RANK(F103,$F$2:$F$350,0)</f>
        <v>110</v>
      </c>
      <c r="W103" s="12" t="n">
        <v>256</v>
      </c>
      <c r="X103" s="10" t="n">
        <v>2</v>
      </c>
      <c r="Y103" s="3" t="s">
        <v>58</v>
      </c>
      <c r="Z103" s="3" t="s">
        <v>193</v>
      </c>
      <c r="AA103" s="13" t="s">
        <v>125</v>
      </c>
      <c r="AB103" s="11" t="n">
        <v>22.07</v>
      </c>
    </row>
    <row r="104" customFormat="false" ht="16.4" hidden="false" customHeight="false" outlineLevel="0" collapsed="false">
      <c r="A104" s="3" t="n">
        <v>103</v>
      </c>
      <c r="B104" s="3" t="n">
        <v>5</v>
      </c>
      <c r="C104" s="3" t="s">
        <v>194</v>
      </c>
      <c r="D104" s="10" t="n">
        <v>15899</v>
      </c>
      <c r="E104" s="10" t="n">
        <f aca="false">ROUND(D104*INDEX(مناطق!$AF$2:$AF$23,B104),0)</f>
        <v>14296</v>
      </c>
      <c r="F104" s="11" t="n">
        <f aca="false">ROUND(100*(راهنما!$B$4*(H104-MIN($H$2:$H$350))/(MAX($H$2:$H$350)-MIN($H$2:$H$350))+راهنما!$B$5*(N104-MIN($N$2:$N$350))/(MAX($N$2:$N$350)-MIN($N$2:$N$350))+راهنما!$B$6*(J104-MIN($J$2:$J$350))/(MAX($J$2:$J$350)-MIN($J$2:$J$350))+راهنما!$B$7*(MAX($I$2:$I$350)-I104)/(MAX($I$2:$I$350)-MIN($I$2:$I$350)))/راهنما!$B$8,1)</f>
        <v>56.4</v>
      </c>
      <c r="G104" s="3" t="str">
        <f aca="false">IF(V104&lt;=ROUND(349*0.2,0),"بسیار بالا",IF(V104&lt;=ROUND(349*0.4,0),"بالا",IF(V104&lt;=ROUND(349*0.6,0),"متوسط",IF(V104&lt;=ROUND(349*0.8,0),"پایین","بسیار پایین"))))</f>
        <v>بالا</v>
      </c>
      <c r="H104" s="11" t="n">
        <f aca="false">(100-I104)*(100-L104)/100</f>
        <v>70.607936</v>
      </c>
      <c r="I104" s="11" t="n">
        <v>13.13</v>
      </c>
      <c r="J104" s="11" t="n">
        <v>33.49</v>
      </c>
      <c r="K104" s="11" t="n">
        <f aca="false">J104/(1-I104/100)</f>
        <v>38.5518590998043</v>
      </c>
      <c r="L104" s="11" t="n">
        <v>18.72</v>
      </c>
      <c r="M104" s="11" t="n">
        <v>36.64</v>
      </c>
      <c r="N104" s="11" t="n">
        <v>43.26</v>
      </c>
      <c r="O104" s="11" t="n">
        <v>3.51</v>
      </c>
      <c r="P104" s="10" t="n">
        <f aca="false">ROUND(E104*J104/100,0)</f>
        <v>4788</v>
      </c>
      <c r="Q104" s="10" t="n">
        <f aca="false">ROUND(P104*I104/(100-I104),0)</f>
        <v>724</v>
      </c>
      <c r="R104" s="10" t="n">
        <f aca="false">ROUND(P104*(100-L104)/100,0)</f>
        <v>3892</v>
      </c>
      <c r="S104" s="10" t="n">
        <f aca="false">ROUND(P104*M104/100,0)</f>
        <v>1754</v>
      </c>
      <c r="T104" s="11" t="n">
        <v>70.19</v>
      </c>
      <c r="U104" s="11" t="n">
        <v>71.02</v>
      </c>
      <c r="V104" s="3" t="n">
        <f aca="false">RANK(F104,$F$2:$F$350,0)</f>
        <v>116</v>
      </c>
      <c r="W104" s="12" t="n">
        <v>266.5</v>
      </c>
      <c r="X104" s="10" t="n">
        <v>86</v>
      </c>
      <c r="Y104" s="3" t="s">
        <v>58</v>
      </c>
      <c r="Z104" s="3" t="s">
        <v>195</v>
      </c>
      <c r="AA104" s="13" t="s">
        <v>59</v>
      </c>
      <c r="AB104" s="11" t="n">
        <v>21.19</v>
      </c>
    </row>
    <row r="105" customFormat="false" ht="16.4" hidden="false" customHeight="false" outlineLevel="0" collapsed="false">
      <c r="A105" s="3" t="n">
        <v>104</v>
      </c>
      <c r="B105" s="3" t="n">
        <v>5</v>
      </c>
      <c r="C105" s="3" t="s">
        <v>196</v>
      </c>
      <c r="D105" s="10" t="n">
        <v>11201</v>
      </c>
      <c r="E105" s="10" t="n">
        <f aca="false">ROUND(D105*INDEX(مناطق!$AF$2:$AF$23,B105),0)</f>
        <v>10071</v>
      </c>
      <c r="F105" s="11" t="n">
        <f aca="false">ROUND(100*(راهنما!$B$4*(H105-MIN($H$2:$H$350))/(MAX($H$2:$H$350)-MIN($H$2:$H$350))+راهنما!$B$5*(N105-MIN($N$2:$N$350))/(MAX($N$2:$N$350)-MIN($N$2:$N$350))+راهنما!$B$6*(J105-MIN($J$2:$J$350))/(MAX($J$2:$J$350)-MIN($J$2:$J$350))+راهنما!$B$7*(MAX($I$2:$I$350)-I105)/(MAX($I$2:$I$350)-MIN($I$2:$I$350)))/راهنما!$B$8,1)</f>
        <v>55.8</v>
      </c>
      <c r="G105" s="3" t="str">
        <f aca="false">IF(V105&lt;=ROUND(349*0.2,0),"بسیار بالا",IF(V105&lt;=ROUND(349*0.4,0),"بالا",IF(V105&lt;=ROUND(349*0.6,0),"متوسط",IF(V105&lt;=ROUND(349*0.8,0),"پایین","بسیار پایین"))))</f>
        <v>بالا</v>
      </c>
      <c r="H105" s="11" t="n">
        <f aca="false">(100-I105)*(100-L105)/100</f>
        <v>70.495005</v>
      </c>
      <c r="I105" s="11" t="n">
        <v>13.13</v>
      </c>
      <c r="J105" s="11" t="n">
        <v>33.51</v>
      </c>
      <c r="K105" s="11" t="n">
        <f aca="false">J105/(1-I105/100)</f>
        <v>38.5748820075976</v>
      </c>
      <c r="L105" s="11" t="n">
        <v>18.85</v>
      </c>
      <c r="M105" s="11" t="n">
        <v>36.64</v>
      </c>
      <c r="N105" s="11" t="n">
        <v>42.49</v>
      </c>
      <c r="O105" s="11" t="n">
        <v>3.55</v>
      </c>
      <c r="P105" s="10" t="n">
        <f aca="false">ROUND(E105*J105/100,0)</f>
        <v>3375</v>
      </c>
      <c r="Q105" s="10" t="n">
        <f aca="false">ROUND(P105*I105/(100-I105),0)</f>
        <v>510</v>
      </c>
      <c r="R105" s="10" t="n">
        <f aca="false">ROUND(P105*(100-L105)/100,0)</f>
        <v>2739</v>
      </c>
      <c r="S105" s="10" t="n">
        <f aca="false">ROUND(P105*M105/100,0)</f>
        <v>1237</v>
      </c>
      <c r="T105" s="11" t="n">
        <v>70.02</v>
      </c>
      <c r="U105" s="11" t="n">
        <v>70.96</v>
      </c>
      <c r="V105" s="3" t="n">
        <f aca="false">RANK(F105,$F$2:$F$350,0)</f>
        <v>120</v>
      </c>
      <c r="W105" s="12" t="n">
        <v>251.9</v>
      </c>
      <c r="X105" s="10" t="n">
        <v>88</v>
      </c>
      <c r="Y105" s="3" t="s">
        <v>58</v>
      </c>
      <c r="Z105" s="3" t="s">
        <v>196</v>
      </c>
      <c r="AA105" s="13" t="s">
        <v>59</v>
      </c>
      <c r="AB105" s="11" t="n">
        <v>20.7</v>
      </c>
    </row>
    <row r="106" customFormat="false" ht="16.4" hidden="false" customHeight="false" outlineLevel="0" collapsed="false">
      <c r="A106" s="3" t="n">
        <v>105</v>
      </c>
      <c r="B106" s="3" t="n">
        <v>5</v>
      </c>
      <c r="C106" s="3" t="s">
        <v>197</v>
      </c>
      <c r="D106" s="10" t="n">
        <v>3333</v>
      </c>
      <c r="E106" s="10" t="n">
        <f aca="false">ROUND(D106*INDEX(مناطق!$AF$2:$AF$23,B106),0)</f>
        <v>2997</v>
      </c>
      <c r="F106" s="11" t="n">
        <f aca="false">ROUND(100*(راهنما!$B$4*(H106-MIN($H$2:$H$350))/(MAX($H$2:$H$350)-MIN($H$2:$H$350))+راهنما!$B$5*(N106-MIN($N$2:$N$350))/(MAX($N$2:$N$350)-MIN($N$2:$N$350))+راهنما!$B$6*(J106-MIN($J$2:$J$350))/(MAX($J$2:$J$350)-MIN($J$2:$J$350))+راهنما!$B$7*(MAX($I$2:$I$350)-I106)/(MAX($I$2:$I$350)-MIN($I$2:$I$350)))/راهنما!$B$8,1)</f>
        <v>55.7</v>
      </c>
      <c r="G106" s="3" t="str">
        <f aca="false">IF(V106&lt;=ROUND(349*0.2,0),"بسیار بالا",IF(V106&lt;=ROUND(349*0.4,0),"بالا",IF(V106&lt;=ROUND(349*0.6,0),"متوسط",IF(V106&lt;=ROUND(349*0.8,0),"پایین","بسیار پایین"))))</f>
        <v>بالا</v>
      </c>
      <c r="H106" s="11" t="n">
        <f aca="false">(100-I106)*(100-L106)/100</f>
        <v>70.468944</v>
      </c>
      <c r="I106" s="11" t="n">
        <v>13.13</v>
      </c>
      <c r="J106" s="11" t="n">
        <v>33.52</v>
      </c>
      <c r="K106" s="11" t="n">
        <f aca="false">J106/(1-I106/100)</f>
        <v>38.5863934614942</v>
      </c>
      <c r="L106" s="11" t="n">
        <v>18.88</v>
      </c>
      <c r="M106" s="11" t="n">
        <v>36.64</v>
      </c>
      <c r="N106" s="11" t="n">
        <v>42.35</v>
      </c>
      <c r="O106" s="11" t="n">
        <v>3.56</v>
      </c>
      <c r="P106" s="10" t="n">
        <f aca="false">ROUND(E106*J106/100,0)</f>
        <v>1005</v>
      </c>
      <c r="Q106" s="10" t="n">
        <f aca="false">ROUND(P106*I106/(100-I106),0)</f>
        <v>152</v>
      </c>
      <c r="R106" s="10" t="n">
        <f aca="false">ROUND(P106*(100-L106)/100,0)</f>
        <v>815</v>
      </c>
      <c r="S106" s="10" t="n">
        <f aca="false">ROUND(P106*M106/100,0)</f>
        <v>368</v>
      </c>
      <c r="T106" s="11" t="n">
        <v>69.99</v>
      </c>
      <c r="U106" s="11" t="n">
        <v>70.94</v>
      </c>
      <c r="V106" s="3" t="n">
        <f aca="false">RANK(F106,$F$2:$F$350,0)</f>
        <v>122</v>
      </c>
      <c r="W106" s="12" t="n">
        <v>234.9</v>
      </c>
      <c r="X106" s="10" t="n">
        <v>23</v>
      </c>
      <c r="Y106" s="3" t="s">
        <v>58</v>
      </c>
      <c r="Z106" s="3" t="s">
        <v>198</v>
      </c>
      <c r="AA106" s="13" t="s">
        <v>63</v>
      </c>
      <c r="AB106" s="11" t="n">
        <v>20.61</v>
      </c>
    </row>
    <row r="107" customFormat="false" ht="16.4" hidden="false" customHeight="false" outlineLevel="0" collapsed="false">
      <c r="A107" s="3" t="n">
        <v>106</v>
      </c>
      <c r="B107" s="3" t="n">
        <v>5</v>
      </c>
      <c r="C107" s="3" t="s">
        <v>199</v>
      </c>
      <c r="D107" s="10" t="n">
        <v>23743</v>
      </c>
      <c r="E107" s="10" t="n">
        <f aca="false">ROUND(D107*INDEX(مناطق!$AF$2:$AF$23,B107),0)</f>
        <v>21349</v>
      </c>
      <c r="F107" s="11" t="n">
        <f aca="false">ROUND(100*(راهنما!$B$4*(H107-MIN($H$2:$H$350))/(MAX($H$2:$H$350)-MIN($H$2:$H$350))+راهنما!$B$5*(N107-MIN($N$2:$N$350))/(MAX($N$2:$N$350)-MIN($N$2:$N$350))+راهنما!$B$6*(J107-MIN($J$2:$J$350))/(MAX($J$2:$J$350)-MIN($J$2:$J$350))+راهنما!$B$7*(MAX($I$2:$I$350)-I107)/(MAX($I$2:$I$350)-MIN($I$2:$I$350)))/راهنما!$B$8,1)</f>
        <v>53.7</v>
      </c>
      <c r="G107" s="3" t="str">
        <f aca="false">IF(V107&lt;=ROUND(349*0.2,0),"بسیار بالا",IF(V107&lt;=ROUND(349*0.4,0),"بالا",IF(V107&lt;=ROUND(349*0.6,0),"متوسط",IF(V107&lt;=ROUND(349*0.8,0),"پایین","بسیار پایین"))))</f>
        <v>بالا</v>
      </c>
      <c r="H107" s="11" t="n">
        <f aca="false">(100-I107)*(100-L107)/100</f>
        <v>69.991159</v>
      </c>
      <c r="I107" s="11" t="n">
        <v>13.13</v>
      </c>
      <c r="J107" s="11" t="n">
        <v>33.62</v>
      </c>
      <c r="K107" s="11" t="n">
        <f aca="false">J107/(1-I107/100)</f>
        <v>38.7015080004605</v>
      </c>
      <c r="L107" s="11" t="n">
        <v>19.43</v>
      </c>
      <c r="M107" s="11" t="n">
        <v>36.64</v>
      </c>
      <c r="N107" s="11" t="n">
        <v>39.29</v>
      </c>
      <c r="O107" s="11" t="n">
        <v>3.72</v>
      </c>
      <c r="P107" s="10" t="n">
        <f aca="false">ROUND(E107*J107/100,0)</f>
        <v>7178</v>
      </c>
      <c r="Q107" s="10" t="n">
        <f aca="false">ROUND(P107*I107/(100-I107),0)</f>
        <v>1085</v>
      </c>
      <c r="R107" s="10" t="n">
        <f aca="false">ROUND(P107*(100-L107)/100,0)</f>
        <v>5783</v>
      </c>
      <c r="S107" s="10" t="n">
        <f aca="false">ROUND(P107*M107/100,0)</f>
        <v>2630</v>
      </c>
      <c r="T107" s="11" t="n">
        <v>69.29</v>
      </c>
      <c r="U107" s="11" t="n">
        <v>70.67</v>
      </c>
      <c r="V107" s="3" t="n">
        <f aca="false">RANK(F107,$F$2:$F$350,0)</f>
        <v>139</v>
      </c>
      <c r="W107" s="12" t="n">
        <v>247.2</v>
      </c>
      <c r="X107" s="10" t="n">
        <v>91</v>
      </c>
      <c r="Y107" s="3" t="s">
        <v>58</v>
      </c>
      <c r="Z107" s="3" t="s">
        <v>200</v>
      </c>
      <c r="AA107" s="13" t="s">
        <v>59</v>
      </c>
      <c r="AB107" s="11" t="n">
        <v>18.72</v>
      </c>
    </row>
    <row r="108" customFormat="false" ht="16.4" hidden="false" customHeight="false" outlineLevel="0" collapsed="false">
      <c r="A108" s="3" t="n">
        <v>107</v>
      </c>
      <c r="B108" s="3" t="n">
        <v>5</v>
      </c>
      <c r="C108" s="3" t="s">
        <v>201</v>
      </c>
      <c r="D108" s="10" t="n">
        <v>4427</v>
      </c>
      <c r="E108" s="10" t="n">
        <f aca="false">ROUND(D108*INDEX(مناطق!$AF$2:$AF$23,B108),0)</f>
        <v>3981</v>
      </c>
      <c r="F108" s="11" t="n">
        <f aca="false">ROUND(100*(راهنما!$B$4*(H108-MIN($H$2:$H$350))/(MAX($H$2:$H$350)-MIN($H$2:$H$350))+راهنما!$B$5*(N108-MIN($N$2:$N$350))/(MAX($N$2:$N$350)-MIN($N$2:$N$350))+راهنما!$B$6*(J108-MIN($J$2:$J$350))/(MAX($J$2:$J$350)-MIN($J$2:$J$350))+راهنما!$B$7*(MAX($I$2:$I$350)-I108)/(MAX($I$2:$I$350)-MIN($I$2:$I$350)))/راهنما!$B$8,1)</f>
        <v>51.3</v>
      </c>
      <c r="G108" s="3" t="str">
        <f aca="false">IF(V108&lt;=ROUND(349*0.2,0),"بسیار بالا",IF(V108&lt;=ROUND(349*0.4,0),"بالا",IF(V108&lt;=ROUND(349*0.6,0),"متوسط",IF(V108&lt;=ROUND(349*0.8,0),"پایین","بسیار پایین"))))</f>
        <v>متوسط</v>
      </c>
      <c r="H108" s="11" t="n">
        <f aca="false">(100-I108)*(100-L108)/100</f>
        <v>69.40913</v>
      </c>
      <c r="I108" s="11" t="n">
        <v>13.13</v>
      </c>
      <c r="J108" s="11" t="n">
        <v>33.75</v>
      </c>
      <c r="K108" s="11" t="n">
        <f aca="false">J108/(1-I108/100)</f>
        <v>38.8511569011166</v>
      </c>
      <c r="L108" s="11" t="n">
        <v>20.1</v>
      </c>
      <c r="M108" s="11" t="n">
        <v>36.64</v>
      </c>
      <c r="N108" s="11" t="n">
        <v>35.79</v>
      </c>
      <c r="O108" s="11" t="n">
        <v>3.91</v>
      </c>
      <c r="P108" s="10" t="n">
        <f aca="false">ROUND(E108*J108/100,0)</f>
        <v>1344</v>
      </c>
      <c r="Q108" s="10" t="n">
        <f aca="false">ROUND(P108*I108/(100-I108),0)</f>
        <v>203</v>
      </c>
      <c r="R108" s="10" t="n">
        <f aca="false">ROUND(P108*(100-L108)/100,0)</f>
        <v>1074</v>
      </c>
      <c r="S108" s="10" t="n">
        <f aca="false">ROUND(P108*M108/100,0)</f>
        <v>492</v>
      </c>
      <c r="T108" s="11" t="n">
        <v>68.43</v>
      </c>
      <c r="U108" s="11" t="n">
        <v>70.34</v>
      </c>
      <c r="V108" s="3" t="n">
        <f aca="false">RANK(F108,$F$2:$F$350,0)</f>
        <v>157</v>
      </c>
      <c r="W108" s="12" t="n">
        <v>244.6</v>
      </c>
      <c r="X108" s="10" t="n">
        <v>83</v>
      </c>
      <c r="Y108" s="3" t="s">
        <v>58</v>
      </c>
      <c r="Z108" s="3" t="s">
        <v>202</v>
      </c>
      <c r="AA108" s="13" t="s">
        <v>59</v>
      </c>
      <c r="AB108" s="11" t="n">
        <v>16.67</v>
      </c>
    </row>
    <row r="109" customFormat="false" ht="16.4" hidden="false" customHeight="false" outlineLevel="0" collapsed="false">
      <c r="A109" s="3" t="n">
        <v>108</v>
      </c>
      <c r="B109" s="3" t="n">
        <v>5</v>
      </c>
      <c r="C109" s="3" t="s">
        <v>203</v>
      </c>
      <c r="D109" s="10" t="n">
        <v>18116</v>
      </c>
      <c r="E109" s="10" t="n">
        <f aca="false">ROUND(D109*INDEX(مناطق!$AF$2:$AF$23,B109),0)</f>
        <v>16289</v>
      </c>
      <c r="F109" s="11" t="n">
        <f aca="false">ROUND(100*(راهنما!$B$4*(H109-MIN($H$2:$H$350))/(MAX($H$2:$H$350)-MIN($H$2:$H$350))+راهنما!$B$5*(N109-MIN($N$2:$N$350))/(MAX($N$2:$N$350)-MIN($N$2:$N$350))+راهنما!$B$6*(J109-MIN($J$2:$J$350))/(MAX($J$2:$J$350)-MIN($J$2:$J$350))+راهنما!$B$7*(MAX($I$2:$I$350)-I109)/(MAX($I$2:$I$350)-MIN($I$2:$I$350)))/راهنما!$B$8,1)</f>
        <v>51</v>
      </c>
      <c r="G109" s="3" t="str">
        <f aca="false">IF(V109&lt;=ROUND(349*0.2,0),"بسیار بالا",IF(V109&lt;=ROUND(349*0.4,0),"بالا",IF(V109&lt;=ROUND(349*0.6,0),"متوسط",IF(V109&lt;=ROUND(349*0.8,0),"پایین","بسیار پایین"))))</f>
        <v>متوسط</v>
      </c>
      <c r="H109" s="11" t="n">
        <f aca="false">(100-I109)*(100-L109)/100</f>
        <v>69.330947</v>
      </c>
      <c r="I109" s="11" t="n">
        <v>13.13</v>
      </c>
      <c r="J109" s="11" t="n">
        <v>33.77</v>
      </c>
      <c r="K109" s="11" t="n">
        <f aca="false">J109/(1-I109/100)</f>
        <v>38.8741798089099</v>
      </c>
      <c r="L109" s="11" t="n">
        <v>20.19</v>
      </c>
      <c r="M109" s="11" t="n">
        <v>36.64</v>
      </c>
      <c r="N109" s="11" t="n">
        <v>35.32</v>
      </c>
      <c r="O109" s="11" t="n">
        <v>3.94</v>
      </c>
      <c r="P109" s="10" t="n">
        <f aca="false">ROUND(E109*J109/100,0)</f>
        <v>5501</v>
      </c>
      <c r="Q109" s="10" t="n">
        <f aca="false">ROUND(P109*I109/(100-I109),0)</f>
        <v>831</v>
      </c>
      <c r="R109" s="10" t="n">
        <f aca="false">ROUND(P109*(100-L109)/100,0)</f>
        <v>4390</v>
      </c>
      <c r="S109" s="10" t="n">
        <f aca="false">ROUND(P109*M109/100,0)</f>
        <v>2016</v>
      </c>
      <c r="T109" s="11" t="n">
        <v>68.32</v>
      </c>
      <c r="U109" s="11" t="n">
        <v>70.3</v>
      </c>
      <c r="V109" s="3" t="n">
        <f aca="false">RANK(F109,$F$2:$F$350,0)</f>
        <v>159</v>
      </c>
      <c r="W109" s="12" t="n">
        <v>214.8</v>
      </c>
      <c r="X109" s="10" t="n">
        <v>70</v>
      </c>
      <c r="Y109" s="3" t="s">
        <v>58</v>
      </c>
      <c r="Z109" s="3" t="s">
        <v>203</v>
      </c>
      <c r="AA109" s="13" t="s">
        <v>59</v>
      </c>
      <c r="AB109" s="11" t="n">
        <v>16.4</v>
      </c>
    </row>
    <row r="110" customFormat="false" ht="16.4" hidden="false" customHeight="false" outlineLevel="0" collapsed="false">
      <c r="A110" s="3" t="n">
        <v>109</v>
      </c>
      <c r="B110" s="3" t="n">
        <v>5</v>
      </c>
      <c r="C110" s="3" t="s">
        <v>204</v>
      </c>
      <c r="D110" s="10" t="n">
        <v>6545</v>
      </c>
      <c r="E110" s="10" t="n">
        <f aca="false">ROUND(D110*INDEX(مناطق!$AF$2:$AF$23,B110),0)</f>
        <v>5885</v>
      </c>
      <c r="F110" s="11" t="n">
        <f aca="false">ROUND(100*(راهنما!$B$4*(H110-MIN($H$2:$H$350))/(MAX($H$2:$H$350)-MIN($H$2:$H$350))+راهنما!$B$5*(N110-MIN($N$2:$N$350))/(MAX($N$2:$N$350)-MIN($N$2:$N$350))+راهنما!$B$6*(J110-MIN($J$2:$J$350))/(MAX($J$2:$J$350)-MIN($J$2:$J$350))+راهنما!$B$7*(MAX($I$2:$I$350)-I110)/(MAX($I$2:$I$350)-MIN($I$2:$I$350)))/راهنما!$B$8,1)</f>
        <v>47.9</v>
      </c>
      <c r="G110" s="3" t="str">
        <f aca="false">IF(V110&lt;=ROUND(349*0.2,0),"بسیار بالا",IF(V110&lt;=ROUND(349*0.4,0),"بالا",IF(V110&lt;=ROUND(349*0.6,0),"متوسط",IF(V110&lt;=ROUND(349*0.8,0),"پایین","بسیار پایین"))))</f>
        <v>متوسط</v>
      </c>
      <c r="H110" s="11" t="n">
        <f aca="false">(100-I110)*(100-L110)/100</f>
        <v>68.549117</v>
      </c>
      <c r="I110" s="11" t="n">
        <v>13.13</v>
      </c>
      <c r="J110" s="11" t="n">
        <v>33.93</v>
      </c>
      <c r="K110" s="11" t="n">
        <f aca="false">J110/(1-I110/100)</f>
        <v>39.0583630712559</v>
      </c>
      <c r="L110" s="11" t="n">
        <v>21.09</v>
      </c>
      <c r="M110" s="11" t="n">
        <v>36.64</v>
      </c>
      <c r="N110" s="11" t="n">
        <v>31.04</v>
      </c>
      <c r="O110" s="11" t="n">
        <v>4.21</v>
      </c>
      <c r="P110" s="10" t="n">
        <f aca="false">ROUND(E110*J110/100,0)</f>
        <v>1997</v>
      </c>
      <c r="Q110" s="10" t="n">
        <f aca="false">ROUND(P110*I110/(100-I110),0)</f>
        <v>302</v>
      </c>
      <c r="R110" s="10" t="n">
        <f aca="false">ROUND(P110*(100-L110)/100,0)</f>
        <v>1576</v>
      </c>
      <c r="S110" s="10" t="n">
        <f aca="false">ROUND(P110*M110/100,0)</f>
        <v>732</v>
      </c>
      <c r="T110" s="11" t="n">
        <v>67.16</v>
      </c>
      <c r="U110" s="11" t="n">
        <v>69.87</v>
      </c>
      <c r="V110" s="3" t="n">
        <f aca="false">RANK(F110,$F$2:$F$350,0)</f>
        <v>194</v>
      </c>
      <c r="W110" s="12" t="n">
        <v>165.1</v>
      </c>
      <c r="X110" s="10" t="n">
        <v>12</v>
      </c>
      <c r="Y110" s="3" t="s">
        <v>58</v>
      </c>
      <c r="Z110" s="3" t="s">
        <v>204</v>
      </c>
      <c r="AA110" s="13" t="s">
        <v>63</v>
      </c>
      <c r="AB110" s="11" t="n">
        <v>14.04</v>
      </c>
    </row>
    <row r="111" customFormat="false" ht="16.4" hidden="false" customHeight="false" outlineLevel="0" collapsed="false">
      <c r="A111" s="3" t="n">
        <v>110</v>
      </c>
      <c r="B111" s="3" t="n">
        <v>6</v>
      </c>
      <c r="C111" s="3" t="s">
        <v>205</v>
      </c>
      <c r="D111" s="10" t="n">
        <v>40985</v>
      </c>
      <c r="E111" s="10" t="n">
        <f aca="false">ROUND(D111*INDEX(مناطق!$AF$2:$AF$23,B111),0)</f>
        <v>38140</v>
      </c>
      <c r="F111" s="11" t="n">
        <f aca="false">ROUND(100*(راهنما!$B$4*(H111-MIN($H$2:$H$350))/(MAX($H$2:$H$350)-MIN($H$2:$H$350))+راهنما!$B$5*(N111-MIN($N$2:$N$350))/(MAX($N$2:$N$350)-MIN($N$2:$N$350))+راهنما!$B$6*(J111-MIN($J$2:$J$350))/(MAX($J$2:$J$350)-MIN($J$2:$J$350))+راهنما!$B$7*(MAX($I$2:$I$350)-I111)/(MAX($I$2:$I$350)-MIN($I$2:$I$350)))/راهنما!$B$8,1)</f>
        <v>69.2</v>
      </c>
      <c r="G111" s="3" t="str">
        <f aca="false">IF(V111&lt;=ROUND(349*0.2,0),"بسیار بالا",IF(V111&lt;=ROUND(349*0.4,0),"بالا",IF(V111&lt;=ROUND(349*0.6,0),"متوسط",IF(V111&lt;=ROUND(349*0.8,0),"پایین","بسیار پایین"))))</f>
        <v>بسیار بالا</v>
      </c>
      <c r="H111" s="11" t="n">
        <f aca="false">(100-I111)*(100-L111)/100</f>
        <v>74.10646</v>
      </c>
      <c r="I111" s="11" t="n">
        <v>12.6</v>
      </c>
      <c r="J111" s="11" t="n">
        <v>32</v>
      </c>
      <c r="K111" s="11" t="n">
        <f aca="false">J111/(1-I111/100)</f>
        <v>36.6132723112128</v>
      </c>
      <c r="L111" s="11" t="n">
        <v>15.21</v>
      </c>
      <c r="M111" s="11" t="n">
        <v>37.27</v>
      </c>
      <c r="N111" s="11" t="n">
        <v>66.71</v>
      </c>
      <c r="O111" s="11" t="n">
        <v>3.95</v>
      </c>
      <c r="P111" s="10" t="n">
        <f aca="false">ROUND(E111*J111/100,0)</f>
        <v>12205</v>
      </c>
      <c r="Q111" s="10" t="n">
        <f aca="false">ROUND(P111*I111/(100-I111),0)</f>
        <v>1760</v>
      </c>
      <c r="R111" s="10" t="n">
        <f aca="false">ROUND(P111*(100-L111)/100,0)</f>
        <v>10349</v>
      </c>
      <c r="S111" s="10" t="n">
        <f aca="false">ROUND(P111*M111/100,0)</f>
        <v>4549</v>
      </c>
      <c r="T111" s="11" t="n">
        <v>73.54</v>
      </c>
      <c r="U111" s="11" t="n">
        <v>74.68</v>
      </c>
      <c r="V111" s="3" t="n">
        <f aca="false">RANK(F111,$F$2:$F$350,0)</f>
        <v>17</v>
      </c>
      <c r="W111" s="12" t="n">
        <v>450</v>
      </c>
      <c r="X111" s="10" t="n">
        <v>90</v>
      </c>
      <c r="Y111" s="3" t="s">
        <v>58</v>
      </c>
      <c r="Z111" s="3" t="s">
        <v>206</v>
      </c>
      <c r="AA111" s="13" t="s">
        <v>59</v>
      </c>
      <c r="AB111" s="11" t="n">
        <v>37.28</v>
      </c>
    </row>
    <row r="112" customFormat="false" ht="16.4" hidden="false" customHeight="false" outlineLevel="0" collapsed="false">
      <c r="A112" s="3" t="n">
        <v>111</v>
      </c>
      <c r="B112" s="3" t="n">
        <v>6</v>
      </c>
      <c r="C112" s="3" t="s">
        <v>207</v>
      </c>
      <c r="D112" s="10" t="n">
        <v>9779</v>
      </c>
      <c r="E112" s="10" t="n">
        <f aca="false">ROUND(D112*INDEX(مناطق!$AF$2:$AF$23,B112),0)</f>
        <v>9100</v>
      </c>
      <c r="F112" s="11" t="n">
        <f aca="false">ROUND(100*(راهنما!$B$4*(H112-MIN($H$2:$H$350))/(MAX($H$2:$H$350)-MIN($H$2:$H$350))+راهنما!$B$5*(N112-MIN($N$2:$N$350))/(MAX($N$2:$N$350)-MIN($N$2:$N$350))+راهنما!$B$6*(J112-MIN($J$2:$J$350))/(MAX($J$2:$J$350)-MIN($J$2:$J$350))+راهنما!$B$7*(MAX($I$2:$I$350)-I112)/(MAX($I$2:$I$350)-MIN($I$2:$I$350)))/راهنما!$B$8,1)</f>
        <v>69.2</v>
      </c>
      <c r="G112" s="3" t="str">
        <f aca="false">IF(V112&lt;=ROUND(349*0.2,0),"بسیار بالا",IF(V112&lt;=ROUND(349*0.4,0),"بالا",IF(V112&lt;=ROUND(349*0.6,0),"متوسط",IF(V112&lt;=ROUND(349*0.8,0),"پایین","بسیار پایین"))))</f>
        <v>بسیار بالا</v>
      </c>
      <c r="H112" s="11" t="n">
        <f aca="false">(100-I112)*(100-L112)/100</f>
        <v>74.08898</v>
      </c>
      <c r="I112" s="11" t="n">
        <v>12.6</v>
      </c>
      <c r="J112" s="11" t="n">
        <v>32.01</v>
      </c>
      <c r="K112" s="11" t="n">
        <f aca="false">J112/(1-I112/100)</f>
        <v>36.6247139588101</v>
      </c>
      <c r="L112" s="11" t="n">
        <v>15.23</v>
      </c>
      <c r="M112" s="11" t="n">
        <v>37.27</v>
      </c>
      <c r="N112" s="11" t="n">
        <v>66.63</v>
      </c>
      <c r="O112" s="11" t="n">
        <v>3.96</v>
      </c>
      <c r="P112" s="10" t="n">
        <f aca="false">ROUND(E112*J112/100,0)</f>
        <v>2913</v>
      </c>
      <c r="Q112" s="10" t="n">
        <f aca="false">ROUND(P112*I112/(100-I112),0)</f>
        <v>420</v>
      </c>
      <c r="R112" s="10" t="n">
        <f aca="false">ROUND(P112*(100-L112)/100,0)</f>
        <v>2469</v>
      </c>
      <c r="S112" s="10" t="n">
        <f aca="false">ROUND(P112*M112/100,0)</f>
        <v>1086</v>
      </c>
      <c r="T112" s="11" t="n">
        <v>73.53</v>
      </c>
      <c r="U112" s="11" t="n">
        <v>74.66</v>
      </c>
      <c r="V112" s="3" t="n">
        <f aca="false">RANK(F112,$F$2:$F$350,0)</f>
        <v>17</v>
      </c>
      <c r="W112" s="12" t="n">
        <v>453.1</v>
      </c>
      <c r="X112" s="10" t="n">
        <v>90</v>
      </c>
      <c r="Y112" s="3" t="s">
        <v>58</v>
      </c>
      <c r="Z112" s="3" t="s">
        <v>208</v>
      </c>
      <c r="AA112" s="13" t="s">
        <v>59</v>
      </c>
      <c r="AB112" s="11" t="n">
        <v>37.19</v>
      </c>
    </row>
    <row r="113" customFormat="false" ht="16.4" hidden="false" customHeight="false" outlineLevel="0" collapsed="false">
      <c r="A113" s="3" t="n">
        <v>112</v>
      </c>
      <c r="B113" s="3" t="n">
        <v>6</v>
      </c>
      <c r="C113" s="3" t="s">
        <v>209</v>
      </c>
      <c r="D113" s="10" t="n">
        <v>31012</v>
      </c>
      <c r="E113" s="10" t="n">
        <f aca="false">ROUND(D113*INDEX(مناطق!$AF$2:$AF$23,B113),0)</f>
        <v>28859</v>
      </c>
      <c r="F113" s="11" t="n">
        <f aca="false">ROUND(100*(راهنما!$B$4*(H113-MIN($H$2:$H$350))/(MAX($H$2:$H$350)-MIN($H$2:$H$350))+راهنما!$B$5*(N113-MIN($N$2:$N$350))/(MAX($N$2:$N$350)-MIN($N$2:$N$350))+راهنما!$B$6*(J113-MIN($J$2:$J$350))/(MAX($J$2:$J$350)-MIN($J$2:$J$350))+راهنما!$B$7*(MAX($I$2:$I$350)-I113)/(MAX($I$2:$I$350)-MIN($I$2:$I$350)))/راهنما!$B$8,1)</f>
        <v>68.2</v>
      </c>
      <c r="G113" s="3" t="str">
        <f aca="false">IF(V113&lt;=ROUND(349*0.2,0),"بسیار بالا",IF(V113&lt;=ROUND(349*0.4,0),"بالا",IF(V113&lt;=ROUND(349*0.6,0),"متوسط",IF(V113&lt;=ROUND(349*0.8,0),"پایین","بسیار پایین"))))</f>
        <v>بسیار بالا</v>
      </c>
      <c r="H113" s="11" t="n">
        <f aca="false">(100-I113)*(100-L113)/100</f>
        <v>73.87048</v>
      </c>
      <c r="I113" s="11" t="n">
        <v>12.6</v>
      </c>
      <c r="J113" s="11" t="n">
        <v>32.06</v>
      </c>
      <c r="K113" s="11" t="n">
        <f aca="false">J113/(1-I113/100)</f>
        <v>36.6819221967963</v>
      </c>
      <c r="L113" s="11" t="n">
        <v>15.48</v>
      </c>
      <c r="M113" s="11" t="n">
        <v>37.27</v>
      </c>
      <c r="N113" s="11" t="n">
        <v>65.05</v>
      </c>
      <c r="O113" s="11" t="n">
        <v>4.05</v>
      </c>
      <c r="P113" s="10" t="n">
        <f aca="false">ROUND(E113*J113/100,0)</f>
        <v>9252</v>
      </c>
      <c r="Q113" s="10" t="n">
        <f aca="false">ROUND(P113*I113/(100-I113),0)</f>
        <v>1334</v>
      </c>
      <c r="R113" s="10" t="n">
        <f aca="false">ROUND(P113*(100-L113)/100,0)</f>
        <v>7820</v>
      </c>
      <c r="S113" s="10" t="n">
        <f aca="false">ROUND(P113*M113/100,0)</f>
        <v>3448</v>
      </c>
      <c r="T113" s="11" t="n">
        <v>73.4</v>
      </c>
      <c r="U113" s="11" t="n">
        <v>74.35</v>
      </c>
      <c r="V113" s="3" t="n">
        <f aca="false">RANK(F113,$F$2:$F$350,0)</f>
        <v>21</v>
      </c>
      <c r="W113" s="12" t="n">
        <v>434.7</v>
      </c>
      <c r="X113" s="10" t="n">
        <v>94</v>
      </c>
      <c r="Y113" s="3" t="s">
        <v>58</v>
      </c>
      <c r="Z113" s="3" t="s">
        <v>209</v>
      </c>
      <c r="AA113" s="13" t="s">
        <v>59</v>
      </c>
      <c r="AB113" s="11" t="n">
        <v>35.66</v>
      </c>
    </row>
    <row r="114" customFormat="false" ht="16.4" hidden="false" customHeight="false" outlineLevel="0" collapsed="false">
      <c r="A114" s="3" t="n">
        <v>113</v>
      </c>
      <c r="B114" s="3" t="n">
        <v>6</v>
      </c>
      <c r="C114" s="3" t="s">
        <v>210</v>
      </c>
      <c r="D114" s="10" t="n">
        <v>10218</v>
      </c>
      <c r="E114" s="10" t="n">
        <f aca="false">ROUND(D114*INDEX(مناطق!$AF$2:$AF$23,B114),0)</f>
        <v>9509</v>
      </c>
      <c r="F114" s="11" t="n">
        <f aca="false">ROUND(100*(راهنما!$B$4*(H114-MIN($H$2:$H$350))/(MAX($H$2:$H$350)-MIN($H$2:$H$350))+راهنما!$B$5*(N114-MIN($N$2:$N$350))/(MAX($N$2:$N$350)-MIN($N$2:$N$350))+راهنما!$B$6*(J114-MIN($J$2:$J$350))/(MAX($J$2:$J$350)-MIN($J$2:$J$350))+راهنما!$B$7*(MAX($I$2:$I$350)-I114)/(MAX($I$2:$I$350)-MIN($I$2:$I$350)))/راهنما!$B$8,1)</f>
        <v>67.2</v>
      </c>
      <c r="G114" s="3" t="str">
        <f aca="false">IF(V114&lt;=ROUND(349*0.2,0),"بسیار بالا",IF(V114&lt;=ROUND(349*0.4,0),"بالا",IF(V114&lt;=ROUND(349*0.6,0),"متوسط",IF(V114&lt;=ROUND(349*0.8,0),"پایین","بسیار پایین"))))</f>
        <v>بسیار بالا</v>
      </c>
      <c r="H114" s="11" t="n">
        <f aca="false">(100-I114)*(100-L114)/100</f>
        <v>73.62576</v>
      </c>
      <c r="I114" s="11" t="n">
        <v>12.6</v>
      </c>
      <c r="J114" s="11" t="n">
        <v>32.13</v>
      </c>
      <c r="K114" s="11" t="n">
        <f aca="false">J114/(1-I114/100)</f>
        <v>36.7620137299771</v>
      </c>
      <c r="L114" s="11" t="n">
        <v>15.76</v>
      </c>
      <c r="M114" s="11" t="n">
        <v>37.27</v>
      </c>
      <c r="N114" s="11" t="n">
        <v>63.36</v>
      </c>
      <c r="O114" s="11" t="n">
        <v>4.15</v>
      </c>
      <c r="P114" s="10" t="n">
        <f aca="false">ROUND(E114*J114/100,0)</f>
        <v>3055</v>
      </c>
      <c r="Q114" s="10" t="n">
        <f aca="false">ROUND(P114*I114/(100-I114),0)</f>
        <v>440</v>
      </c>
      <c r="R114" s="10" t="n">
        <f aca="false">ROUND(P114*(100-L114)/100,0)</f>
        <v>2574</v>
      </c>
      <c r="S114" s="10" t="n">
        <f aca="false">ROUND(P114*M114/100,0)</f>
        <v>1139</v>
      </c>
      <c r="T114" s="11" t="n">
        <v>73.25</v>
      </c>
      <c r="U114" s="11" t="n">
        <v>74.02</v>
      </c>
      <c r="V114" s="3" t="n">
        <f aca="false">RANK(F114,$F$2:$F$350,0)</f>
        <v>25</v>
      </c>
      <c r="W114" s="12" t="n">
        <v>420</v>
      </c>
      <c r="X114" s="10" t="n">
        <v>71</v>
      </c>
      <c r="Y114" s="3" t="s">
        <v>58</v>
      </c>
      <c r="Z114" s="3" t="s">
        <v>210</v>
      </c>
      <c r="AA114" s="13" t="s">
        <v>59</v>
      </c>
      <c r="AB114" s="11" t="n">
        <v>34.07</v>
      </c>
    </row>
    <row r="115" customFormat="false" ht="16.4" hidden="false" customHeight="false" outlineLevel="0" collapsed="false">
      <c r="A115" s="3" t="n">
        <v>114</v>
      </c>
      <c r="B115" s="3" t="n">
        <v>6</v>
      </c>
      <c r="C115" s="3" t="s">
        <v>211</v>
      </c>
      <c r="D115" s="10" t="n">
        <v>16697</v>
      </c>
      <c r="E115" s="10" t="n">
        <f aca="false">ROUND(D115*INDEX(مناطق!$AF$2:$AF$23,B115),0)</f>
        <v>15538</v>
      </c>
      <c r="F115" s="11" t="n">
        <f aca="false">ROUND(100*(راهنما!$B$4*(H115-MIN($H$2:$H$350))/(MAX($H$2:$H$350)-MIN($H$2:$H$350))+راهنما!$B$5*(N115-MIN($N$2:$N$350))/(MAX($N$2:$N$350)-MIN($N$2:$N$350))+راهنما!$B$6*(J115-MIN($J$2:$J$350))/(MAX($J$2:$J$350)-MIN($J$2:$J$350))+راهنما!$B$7*(MAX($I$2:$I$350)-I115)/(MAX($I$2:$I$350)-MIN($I$2:$I$350)))/راهنما!$B$8,1)</f>
        <v>66.7</v>
      </c>
      <c r="G115" s="3" t="str">
        <f aca="false">IF(V115&lt;=ROUND(349*0.2,0),"بسیار بالا",IF(V115&lt;=ROUND(349*0.4,0),"بالا",IF(V115&lt;=ROUND(349*0.6,0),"متوسط",IF(V115&lt;=ROUND(349*0.8,0),"پایین","بسیار پایین"))))</f>
        <v>بسیار بالا</v>
      </c>
      <c r="H115" s="11" t="n">
        <f aca="false">(100-I115)*(100-L115)/100</f>
        <v>73.52962</v>
      </c>
      <c r="I115" s="11" t="n">
        <v>12.6</v>
      </c>
      <c r="J115" s="11" t="n">
        <v>32.15</v>
      </c>
      <c r="K115" s="11" t="n">
        <f aca="false">J115/(1-I115/100)</f>
        <v>36.7848970251716</v>
      </c>
      <c r="L115" s="11" t="n">
        <v>15.87</v>
      </c>
      <c r="M115" s="11" t="n">
        <v>37.27</v>
      </c>
      <c r="N115" s="11" t="n">
        <v>62.69</v>
      </c>
      <c r="O115" s="11" t="n">
        <v>4.19</v>
      </c>
      <c r="P115" s="10" t="n">
        <f aca="false">ROUND(E115*J115/100,0)</f>
        <v>4995</v>
      </c>
      <c r="Q115" s="10" t="n">
        <f aca="false">ROUND(P115*I115/(100-I115),0)</f>
        <v>720</v>
      </c>
      <c r="R115" s="10" t="n">
        <f aca="false">ROUND(P115*(100-L115)/100,0)</f>
        <v>4202</v>
      </c>
      <c r="S115" s="10" t="n">
        <f aca="false">ROUND(P115*M115/100,0)</f>
        <v>1862</v>
      </c>
      <c r="T115" s="11" t="n">
        <v>73.2</v>
      </c>
      <c r="U115" s="11" t="n">
        <v>73.89</v>
      </c>
      <c r="V115" s="3" t="n">
        <f aca="false">RANK(F115,$F$2:$F$350,0)</f>
        <v>28</v>
      </c>
      <c r="W115" s="12" t="n">
        <v>415.3</v>
      </c>
      <c r="X115" s="10" t="n">
        <v>90</v>
      </c>
      <c r="Y115" s="3" t="s">
        <v>58</v>
      </c>
      <c r="Z115" s="3" t="s">
        <v>211</v>
      </c>
      <c r="AA115" s="13" t="s">
        <v>59</v>
      </c>
      <c r="AB115" s="11" t="n">
        <v>33.47</v>
      </c>
    </row>
    <row r="116" customFormat="false" ht="16.4" hidden="false" customHeight="false" outlineLevel="0" collapsed="false">
      <c r="A116" s="3" t="n">
        <v>115</v>
      </c>
      <c r="B116" s="3" t="n">
        <v>6</v>
      </c>
      <c r="C116" s="3" t="s">
        <v>212</v>
      </c>
      <c r="D116" s="10" t="n">
        <v>13634</v>
      </c>
      <c r="E116" s="10" t="n">
        <f aca="false">ROUND(D116*INDEX(مناطق!$AF$2:$AF$23,B116),0)</f>
        <v>12688</v>
      </c>
      <c r="F116" s="11" t="n">
        <f aca="false">ROUND(100*(راهنما!$B$4*(H116-MIN($H$2:$H$350))/(MAX($H$2:$H$350)-MIN($H$2:$H$350))+راهنما!$B$5*(N116-MIN($N$2:$N$350))/(MAX($N$2:$N$350)-MIN($N$2:$N$350))+راهنما!$B$6*(J116-MIN($J$2:$J$350))/(MAX($J$2:$J$350)-MIN($J$2:$J$350))+راهنما!$B$7*(MAX($I$2:$I$350)-I116)/(MAX($I$2:$I$350)-MIN($I$2:$I$350)))/راهنما!$B$8,1)</f>
        <v>64.4</v>
      </c>
      <c r="G116" s="3" t="str">
        <f aca="false">IF(V116&lt;=ROUND(349*0.2,0),"بسیار بالا",IF(V116&lt;=ROUND(349*0.4,0),"بالا",IF(V116&lt;=ROUND(349*0.6,0),"متوسط",IF(V116&lt;=ROUND(349*0.8,0),"پایین","بسیار پایین"))))</f>
        <v>بسیار بالا</v>
      </c>
      <c r="H116" s="11" t="n">
        <f aca="false">(100-I116)*(100-L116)/100</f>
        <v>73.01396</v>
      </c>
      <c r="I116" s="11" t="n">
        <v>12.6</v>
      </c>
      <c r="J116" s="11" t="n">
        <v>32.28</v>
      </c>
      <c r="K116" s="11" t="n">
        <f aca="false">J116/(1-I116/100)</f>
        <v>36.9336384439359</v>
      </c>
      <c r="L116" s="11" t="n">
        <v>16.46</v>
      </c>
      <c r="M116" s="11" t="n">
        <v>37.27</v>
      </c>
      <c r="N116" s="11" t="n">
        <v>59</v>
      </c>
      <c r="O116" s="11" t="n">
        <v>4.42</v>
      </c>
      <c r="P116" s="10" t="n">
        <f aca="false">ROUND(E116*J116/100,0)</f>
        <v>4096</v>
      </c>
      <c r="Q116" s="10" t="n">
        <f aca="false">ROUND(P116*I116/(100-I116),0)</f>
        <v>590</v>
      </c>
      <c r="R116" s="10" t="n">
        <f aca="false">ROUND(P116*(100-L116)/100,0)</f>
        <v>3422</v>
      </c>
      <c r="S116" s="10" t="n">
        <f aca="false">ROUND(P116*M116/100,0)</f>
        <v>1527</v>
      </c>
      <c r="T116" s="11" t="n">
        <v>72.89</v>
      </c>
      <c r="U116" s="11" t="n">
        <v>73.16</v>
      </c>
      <c r="V116" s="3" t="n">
        <f aca="false">RANK(F116,$F$2:$F$350,0)</f>
        <v>43</v>
      </c>
      <c r="W116" s="12" t="n">
        <v>371.1</v>
      </c>
      <c r="X116" s="10" t="n">
        <v>92</v>
      </c>
      <c r="Y116" s="3" t="s">
        <v>58</v>
      </c>
      <c r="Z116" s="3" t="s">
        <v>212</v>
      </c>
      <c r="AA116" s="13" t="s">
        <v>59</v>
      </c>
      <c r="AB116" s="11" t="n">
        <v>30.28</v>
      </c>
    </row>
    <row r="117" customFormat="false" ht="16.4" hidden="false" customHeight="false" outlineLevel="0" collapsed="false">
      <c r="A117" s="3" t="n">
        <v>116</v>
      </c>
      <c r="B117" s="3" t="n">
        <v>6</v>
      </c>
      <c r="C117" s="3" t="s">
        <v>213</v>
      </c>
      <c r="D117" s="10" t="n">
        <v>10938</v>
      </c>
      <c r="E117" s="10" t="n">
        <f aca="false">ROUND(D117*INDEX(مناطق!$AF$2:$AF$23,B117),0)</f>
        <v>10179</v>
      </c>
      <c r="F117" s="11" t="n">
        <f aca="false">ROUND(100*(راهنما!$B$4*(H117-MIN($H$2:$H$350))/(MAX($H$2:$H$350)-MIN($H$2:$H$350))+راهنما!$B$5*(N117-MIN($N$2:$N$350))/(MAX($N$2:$N$350)-MIN($N$2:$N$350))+راهنما!$B$6*(J117-MIN($J$2:$J$350))/(MAX($J$2:$J$350)-MIN($J$2:$J$350))+راهنما!$B$7*(MAX($I$2:$I$350)-I117)/(MAX($I$2:$I$350)-MIN($I$2:$I$350)))/راهنما!$B$8,1)</f>
        <v>63.4</v>
      </c>
      <c r="G117" s="3" t="str">
        <f aca="false">IF(V117&lt;=ROUND(349*0.2,0),"بسیار بالا",IF(V117&lt;=ROUND(349*0.4,0),"بالا",IF(V117&lt;=ROUND(349*0.6,0),"متوسط",IF(V117&lt;=ROUND(349*0.8,0),"پایین","بسیار پایین"))))</f>
        <v>بسیار بالا</v>
      </c>
      <c r="H117" s="11" t="n">
        <f aca="false">(100-I117)*(100-L117)/100</f>
        <v>72.77798</v>
      </c>
      <c r="I117" s="11" t="n">
        <v>12.6</v>
      </c>
      <c r="J117" s="11" t="n">
        <v>32.33</v>
      </c>
      <c r="K117" s="11" t="n">
        <f aca="false">J117/(1-I117/100)</f>
        <v>36.9908466819222</v>
      </c>
      <c r="L117" s="11" t="n">
        <v>16.73</v>
      </c>
      <c r="M117" s="11" t="n">
        <v>37.27</v>
      </c>
      <c r="N117" s="11" t="n">
        <v>57.34</v>
      </c>
      <c r="O117" s="11" t="n">
        <v>4.53</v>
      </c>
      <c r="P117" s="10" t="n">
        <f aca="false">ROUND(E117*J117/100,0)</f>
        <v>3291</v>
      </c>
      <c r="Q117" s="10" t="n">
        <f aca="false">ROUND(P117*I117/(100-I117),0)</f>
        <v>474</v>
      </c>
      <c r="R117" s="10" t="n">
        <f aca="false">ROUND(P117*(100-L117)/100,0)</f>
        <v>2740</v>
      </c>
      <c r="S117" s="10" t="n">
        <f aca="false">ROUND(P117*M117/100,0)</f>
        <v>1227</v>
      </c>
      <c r="T117" s="11" t="n">
        <v>72.75</v>
      </c>
      <c r="U117" s="11" t="n">
        <v>72.83</v>
      </c>
      <c r="V117" s="3" t="n">
        <f aca="false">RANK(F117,$F$2:$F$350,0)</f>
        <v>52</v>
      </c>
      <c r="W117" s="12"/>
      <c r="X117" s="10" t="n">
        <v>0</v>
      </c>
      <c r="Y117" s="3" t="s">
        <v>77</v>
      </c>
      <c r="Z117" s="13" t="s">
        <v>78</v>
      </c>
      <c r="AA117" s="13" t="s">
        <v>79</v>
      </c>
      <c r="AB117" s="11" t="n">
        <v>28.94</v>
      </c>
    </row>
    <row r="118" customFormat="false" ht="16.4" hidden="false" customHeight="false" outlineLevel="0" collapsed="false">
      <c r="A118" s="3" t="n">
        <v>117</v>
      </c>
      <c r="B118" s="3" t="n">
        <v>6</v>
      </c>
      <c r="C118" s="3" t="s">
        <v>214</v>
      </c>
      <c r="D118" s="10" t="n">
        <v>8875</v>
      </c>
      <c r="E118" s="10" t="n">
        <f aca="false">ROUND(D118*INDEX(مناطق!$AF$2:$AF$23,B118),0)</f>
        <v>8259</v>
      </c>
      <c r="F118" s="11" t="n">
        <f aca="false">ROUND(100*(راهنما!$B$4*(H118-MIN($H$2:$H$350))/(MAX($H$2:$H$350)-MIN($H$2:$H$350))+راهنما!$B$5*(N118-MIN($N$2:$N$350))/(MAX($N$2:$N$350)-MIN($N$2:$N$350))+راهنما!$B$6*(J118-MIN($J$2:$J$350))/(MAX($J$2:$J$350)-MIN($J$2:$J$350))+راهنما!$B$7*(MAX($I$2:$I$350)-I118)/(MAX($I$2:$I$350)-MIN($I$2:$I$350)))/راهنما!$B$8,1)</f>
        <v>63.4</v>
      </c>
      <c r="G118" s="3" t="str">
        <f aca="false">IF(V118&lt;=ROUND(349*0.2,0),"بسیار بالا",IF(V118&lt;=ROUND(349*0.4,0),"بالا",IF(V118&lt;=ROUND(349*0.6,0),"متوسط",IF(V118&lt;=ROUND(349*0.8,0),"پایین","بسیار پایین"))))</f>
        <v>بسیار بالا</v>
      </c>
      <c r="H118" s="11" t="n">
        <f aca="false">(100-I118)*(100-L118)/100</f>
        <v>72.77798</v>
      </c>
      <c r="I118" s="11" t="n">
        <v>12.6</v>
      </c>
      <c r="J118" s="11" t="n">
        <v>32.33</v>
      </c>
      <c r="K118" s="11" t="n">
        <f aca="false">J118/(1-I118/100)</f>
        <v>36.9908466819222</v>
      </c>
      <c r="L118" s="11" t="n">
        <v>16.73</v>
      </c>
      <c r="M118" s="11" t="n">
        <v>37.27</v>
      </c>
      <c r="N118" s="11" t="n">
        <v>57.34</v>
      </c>
      <c r="O118" s="11" t="n">
        <v>4.53</v>
      </c>
      <c r="P118" s="10" t="n">
        <f aca="false">ROUND(E118*J118/100,0)</f>
        <v>2670</v>
      </c>
      <c r="Q118" s="10" t="n">
        <f aca="false">ROUND(P118*I118/(100-I118),0)</f>
        <v>385</v>
      </c>
      <c r="R118" s="10" t="n">
        <f aca="false">ROUND(P118*(100-L118)/100,0)</f>
        <v>2223</v>
      </c>
      <c r="S118" s="10" t="n">
        <f aca="false">ROUND(P118*M118/100,0)</f>
        <v>995</v>
      </c>
      <c r="T118" s="11" t="n">
        <v>72.75</v>
      </c>
      <c r="U118" s="11" t="n">
        <v>72.83</v>
      </c>
      <c r="V118" s="3" t="n">
        <f aca="false">RANK(F118,$F$2:$F$350,0)</f>
        <v>52</v>
      </c>
      <c r="W118" s="12"/>
      <c r="X118" s="10" t="n">
        <v>0</v>
      </c>
      <c r="Y118" s="3" t="s">
        <v>77</v>
      </c>
      <c r="Z118" s="13" t="s">
        <v>78</v>
      </c>
      <c r="AA118" s="13" t="s">
        <v>79</v>
      </c>
      <c r="AB118" s="11" t="n">
        <v>28.94</v>
      </c>
    </row>
    <row r="119" customFormat="false" ht="16.4" hidden="false" customHeight="false" outlineLevel="0" collapsed="false">
      <c r="A119" s="3" t="n">
        <v>118</v>
      </c>
      <c r="B119" s="3" t="n">
        <v>6</v>
      </c>
      <c r="C119" s="3" t="s">
        <v>215</v>
      </c>
      <c r="D119" s="10" t="n">
        <v>32856</v>
      </c>
      <c r="E119" s="10" t="n">
        <f aca="false">ROUND(D119*INDEX(مناطق!$AF$2:$AF$23,B119),0)</f>
        <v>30575</v>
      </c>
      <c r="F119" s="11" t="n">
        <f aca="false">ROUND(100*(راهنما!$B$4*(H119-MIN($H$2:$H$350))/(MAX($H$2:$H$350)-MIN($H$2:$H$350))+راهنما!$B$5*(N119-MIN($N$2:$N$350))/(MAX($N$2:$N$350)-MIN($N$2:$N$350))+راهنما!$B$6*(J119-MIN($J$2:$J$350))/(MAX($J$2:$J$350)-MIN($J$2:$J$350))+راهنما!$B$7*(MAX($I$2:$I$350)-I119)/(MAX($I$2:$I$350)-MIN($I$2:$I$350)))/راهنما!$B$8,1)</f>
        <v>63.2</v>
      </c>
      <c r="G119" s="3" t="str">
        <f aca="false">IF(V119&lt;=ROUND(349*0.2,0),"بسیار بالا",IF(V119&lt;=ROUND(349*0.4,0),"بالا",IF(V119&lt;=ROUND(349*0.6,0),"متوسط",IF(V119&lt;=ROUND(349*0.8,0),"پایین","بسیار پایین"))))</f>
        <v>بسیار بالا</v>
      </c>
      <c r="H119" s="11" t="n">
        <f aca="false">(100-I119)*(100-L119)/100</f>
        <v>72.75176</v>
      </c>
      <c r="I119" s="11" t="n">
        <v>12.6</v>
      </c>
      <c r="J119" s="11" t="n">
        <v>32.34</v>
      </c>
      <c r="K119" s="11" t="n">
        <f aca="false">J119/(1-I119/100)</f>
        <v>37.0022883295195</v>
      </c>
      <c r="L119" s="11" t="n">
        <v>16.76</v>
      </c>
      <c r="M119" s="11" t="n">
        <v>37.27</v>
      </c>
      <c r="N119" s="11" t="n">
        <v>57.13</v>
      </c>
      <c r="O119" s="11" t="n">
        <v>4.54</v>
      </c>
      <c r="P119" s="10" t="n">
        <f aca="false">ROUND(E119*J119/100,0)</f>
        <v>9888</v>
      </c>
      <c r="Q119" s="10" t="n">
        <f aca="false">ROUND(P119*I119/(100-I119),0)</f>
        <v>1426</v>
      </c>
      <c r="R119" s="10" t="n">
        <f aca="false">ROUND(P119*(100-L119)/100,0)</f>
        <v>8231</v>
      </c>
      <c r="S119" s="10" t="n">
        <f aca="false">ROUND(P119*M119/100,0)</f>
        <v>3685</v>
      </c>
      <c r="T119" s="11" t="n">
        <v>72.74</v>
      </c>
      <c r="U119" s="11" t="n">
        <v>72.79</v>
      </c>
      <c r="V119" s="3" t="n">
        <f aca="false">RANK(F119,$F$2:$F$350,0)</f>
        <v>55</v>
      </c>
      <c r="W119" s="12" t="n">
        <v>354.7</v>
      </c>
      <c r="X119" s="10" t="n">
        <v>90</v>
      </c>
      <c r="Y119" s="3" t="s">
        <v>58</v>
      </c>
      <c r="Z119" s="3" t="s">
        <v>215</v>
      </c>
      <c r="AA119" s="13" t="s">
        <v>59</v>
      </c>
      <c r="AB119" s="11" t="n">
        <v>28.78</v>
      </c>
    </row>
    <row r="120" customFormat="false" ht="16.4" hidden="false" customHeight="false" outlineLevel="0" collapsed="false">
      <c r="A120" s="3" t="n">
        <v>119</v>
      </c>
      <c r="B120" s="3" t="n">
        <v>6</v>
      </c>
      <c r="C120" s="3" t="s">
        <v>216</v>
      </c>
      <c r="D120" s="10" t="n">
        <v>14567</v>
      </c>
      <c r="E120" s="10" t="n">
        <f aca="false">ROUND(D120*INDEX(مناطق!$AF$2:$AF$23,B120),0)</f>
        <v>13556</v>
      </c>
      <c r="F120" s="11" t="n">
        <f aca="false">ROUND(100*(راهنما!$B$4*(H120-MIN($H$2:$H$350))/(MAX($H$2:$H$350)-MIN($H$2:$H$350))+راهنما!$B$5*(N120-MIN($N$2:$N$350))/(MAX($N$2:$N$350)-MIN($N$2:$N$350))+راهنما!$B$6*(J120-MIN($J$2:$J$350))/(MAX($J$2:$J$350)-MIN($J$2:$J$350))+راهنما!$B$7*(MAX($I$2:$I$350)-I120)/(MAX($I$2:$I$350)-MIN($I$2:$I$350)))/راهنما!$B$8,1)</f>
        <v>59.8</v>
      </c>
      <c r="G120" s="3" t="str">
        <f aca="false">IF(V120&lt;=ROUND(349*0.2,0),"بسیار بالا",IF(V120&lt;=ROUND(349*0.4,0),"بالا",IF(V120&lt;=ROUND(349*0.6,0),"متوسط",IF(V120&lt;=ROUND(349*0.8,0),"پایین","بسیار پایین"))))</f>
        <v>بالا</v>
      </c>
      <c r="H120" s="11" t="n">
        <f aca="false">(100-I120)*(100-L120)/100</f>
        <v>71.99138</v>
      </c>
      <c r="I120" s="11" t="n">
        <v>12.6</v>
      </c>
      <c r="J120" s="11" t="n">
        <v>32.52</v>
      </c>
      <c r="K120" s="11" t="n">
        <f aca="false">J120/(1-I120/100)</f>
        <v>37.20823798627</v>
      </c>
      <c r="L120" s="11" t="n">
        <v>17.63</v>
      </c>
      <c r="M120" s="11" t="n">
        <v>37.27</v>
      </c>
      <c r="N120" s="11" t="n">
        <v>51.76</v>
      </c>
      <c r="O120" s="11" t="n">
        <v>4.88</v>
      </c>
      <c r="P120" s="10" t="n">
        <f aca="false">ROUND(E120*J120/100,0)</f>
        <v>4408</v>
      </c>
      <c r="Q120" s="10" t="n">
        <f aca="false">ROUND(P120*I120/(100-I120),0)</f>
        <v>635</v>
      </c>
      <c r="R120" s="10" t="n">
        <f aca="false">ROUND(P120*(100-L120)/100,0)</f>
        <v>3631</v>
      </c>
      <c r="S120" s="10" t="n">
        <f aca="false">ROUND(P120*M120/100,0)</f>
        <v>1643</v>
      </c>
      <c r="T120" s="11" t="n">
        <v>71.7</v>
      </c>
      <c r="U120" s="11" t="n">
        <v>72.3</v>
      </c>
      <c r="V120" s="3" t="n">
        <f aca="false">RANK(F120,$F$2:$F$350,0)</f>
        <v>83</v>
      </c>
      <c r="W120" s="12" t="n">
        <v>326.7</v>
      </c>
      <c r="X120" s="10" t="n">
        <v>86</v>
      </c>
      <c r="Y120" s="3" t="s">
        <v>67</v>
      </c>
      <c r="Z120" s="3" t="s">
        <v>217</v>
      </c>
      <c r="AA120" s="13" t="s">
        <v>59</v>
      </c>
      <c r="AB120" s="11" t="n">
        <v>24.77</v>
      </c>
    </row>
    <row r="121" customFormat="false" ht="16.4" hidden="false" customHeight="false" outlineLevel="0" collapsed="false">
      <c r="A121" s="3" t="n">
        <v>120</v>
      </c>
      <c r="B121" s="3" t="n">
        <v>6</v>
      </c>
      <c r="C121" s="3" t="s">
        <v>218</v>
      </c>
      <c r="D121" s="10" t="n">
        <v>12672</v>
      </c>
      <c r="E121" s="10" t="n">
        <f aca="false">ROUND(D121*INDEX(مناطق!$AF$2:$AF$23,B121),0)</f>
        <v>11792</v>
      </c>
      <c r="F121" s="11" t="n">
        <f aca="false">ROUND(100*(راهنما!$B$4*(H121-MIN($H$2:$H$350))/(MAX($H$2:$H$350)-MIN($H$2:$H$350))+راهنما!$B$5*(N121-MIN($N$2:$N$350))/(MAX($N$2:$N$350)-MIN($N$2:$N$350))+راهنما!$B$6*(J121-MIN($J$2:$J$350))/(MAX($J$2:$J$350)-MIN($J$2:$J$350))+راهنما!$B$7*(MAX($I$2:$I$350)-I121)/(MAX($I$2:$I$350)-MIN($I$2:$I$350)))/راهنما!$B$8,1)</f>
        <v>59.5</v>
      </c>
      <c r="G121" s="3" t="str">
        <f aca="false">IF(V121&lt;=ROUND(349*0.2,0),"بسیار بالا",IF(V121&lt;=ROUND(349*0.4,0),"بالا",IF(V121&lt;=ROUND(349*0.6,0),"متوسط",IF(V121&lt;=ROUND(349*0.8,0),"پایین","بسیار پایین"))))</f>
        <v>بالا</v>
      </c>
      <c r="H121" s="11" t="n">
        <f aca="false">(100-I121)*(100-L121)/100</f>
        <v>71.92146</v>
      </c>
      <c r="I121" s="11" t="n">
        <v>12.6</v>
      </c>
      <c r="J121" s="11" t="n">
        <v>32.54</v>
      </c>
      <c r="K121" s="11" t="n">
        <f aca="false">J121/(1-I121/100)</f>
        <v>37.2311212814645</v>
      </c>
      <c r="L121" s="11" t="n">
        <v>17.71</v>
      </c>
      <c r="M121" s="11" t="n">
        <v>37.27</v>
      </c>
      <c r="N121" s="11" t="n">
        <v>51.29</v>
      </c>
      <c r="O121" s="11" t="n">
        <v>4.92</v>
      </c>
      <c r="P121" s="10" t="n">
        <f aca="false">ROUND(E121*J121/100,0)</f>
        <v>3837</v>
      </c>
      <c r="Q121" s="10" t="n">
        <f aca="false">ROUND(P121*I121/(100-I121),0)</f>
        <v>553</v>
      </c>
      <c r="R121" s="10" t="n">
        <f aca="false">ROUND(P121*(100-L121)/100,0)</f>
        <v>3157</v>
      </c>
      <c r="S121" s="10" t="n">
        <f aca="false">ROUND(P121*M121/100,0)</f>
        <v>1430</v>
      </c>
      <c r="T121" s="11" t="n">
        <v>71.6</v>
      </c>
      <c r="U121" s="11" t="n">
        <v>72.26</v>
      </c>
      <c r="V121" s="3" t="n">
        <f aca="false">RANK(F121,$F$2:$F$350,0)</f>
        <v>88</v>
      </c>
      <c r="W121" s="12" t="n">
        <v>313.4</v>
      </c>
      <c r="X121" s="10" t="n">
        <v>84</v>
      </c>
      <c r="Y121" s="3" t="s">
        <v>58</v>
      </c>
      <c r="Z121" s="3" t="s">
        <v>219</v>
      </c>
      <c r="AA121" s="13" t="s">
        <v>59</v>
      </c>
      <c r="AB121" s="11" t="n">
        <v>24.43</v>
      </c>
    </row>
    <row r="122" customFormat="false" ht="16.4" hidden="false" customHeight="false" outlineLevel="0" collapsed="false">
      <c r="A122" s="3" t="n">
        <v>121</v>
      </c>
      <c r="B122" s="3" t="n">
        <v>6</v>
      </c>
      <c r="C122" s="3" t="s">
        <v>220</v>
      </c>
      <c r="D122" s="10" t="n">
        <v>9593</v>
      </c>
      <c r="E122" s="10" t="n">
        <f aca="false">ROUND(D122*INDEX(مناطق!$AF$2:$AF$23,B122),0)</f>
        <v>8927</v>
      </c>
      <c r="F122" s="11" t="n">
        <f aca="false">ROUND(100*(راهنما!$B$4*(H122-MIN($H$2:$H$350))/(MAX($H$2:$H$350)-MIN($H$2:$H$350))+راهنما!$B$5*(N122-MIN($N$2:$N$350))/(MAX($N$2:$N$350)-MIN($N$2:$N$350))+راهنما!$B$6*(J122-MIN($J$2:$J$350))/(MAX($J$2:$J$350)-MIN($J$2:$J$350))+راهنما!$B$7*(MAX($I$2:$I$350)-I122)/(MAX($I$2:$I$350)-MIN($I$2:$I$350)))/راهنما!$B$8,1)</f>
        <v>57.3</v>
      </c>
      <c r="G122" s="3" t="str">
        <f aca="false">IF(V122&lt;=ROUND(349*0.2,0),"بسیار بالا",IF(V122&lt;=ROUND(349*0.4,0),"بالا",IF(V122&lt;=ROUND(349*0.6,0),"متوسط",IF(V122&lt;=ROUND(349*0.8,0),"پایین","بسیار پایین"))))</f>
        <v>بالا</v>
      </c>
      <c r="H122" s="11" t="n">
        <f aca="false">(100-I122)*(100-L122)/100</f>
        <v>71.41454</v>
      </c>
      <c r="I122" s="11" t="n">
        <v>12.6</v>
      </c>
      <c r="J122" s="11" t="n">
        <v>32.65</v>
      </c>
      <c r="K122" s="11" t="n">
        <f aca="false">J122/(1-I122/100)</f>
        <v>37.3569794050343</v>
      </c>
      <c r="L122" s="11" t="n">
        <v>18.29</v>
      </c>
      <c r="M122" s="11" t="n">
        <v>37.27</v>
      </c>
      <c r="N122" s="11" t="n">
        <v>47.84</v>
      </c>
      <c r="O122" s="11" t="n">
        <v>5.15</v>
      </c>
      <c r="P122" s="10" t="n">
        <f aca="false">ROUND(E122*J122/100,0)</f>
        <v>2915</v>
      </c>
      <c r="Q122" s="10" t="n">
        <f aca="false">ROUND(P122*I122/(100-I122),0)</f>
        <v>420</v>
      </c>
      <c r="R122" s="10" t="n">
        <f aca="false">ROUND(P122*(100-L122)/100,0)</f>
        <v>2382</v>
      </c>
      <c r="S122" s="10" t="n">
        <f aca="false">ROUND(P122*M122/100,0)</f>
        <v>1086</v>
      </c>
      <c r="T122" s="11" t="n">
        <v>70.87</v>
      </c>
      <c r="U122" s="11" t="n">
        <v>71.97</v>
      </c>
      <c r="V122" s="3" t="n">
        <f aca="false">RANK(F122,$F$2:$F$350,0)</f>
        <v>108</v>
      </c>
      <c r="W122" s="12" t="n">
        <v>280.7</v>
      </c>
      <c r="X122" s="10" t="n">
        <v>92</v>
      </c>
      <c r="Y122" s="3" t="s">
        <v>58</v>
      </c>
      <c r="Z122" s="3" t="s">
        <v>220</v>
      </c>
      <c r="AA122" s="13" t="s">
        <v>59</v>
      </c>
      <c r="AB122" s="11" t="n">
        <v>22.1</v>
      </c>
    </row>
    <row r="123" customFormat="false" ht="16.4" hidden="false" customHeight="false" outlineLevel="0" collapsed="false">
      <c r="A123" s="3" t="n">
        <v>122</v>
      </c>
      <c r="B123" s="3" t="n">
        <v>6</v>
      </c>
      <c r="C123" s="3" t="s">
        <v>221</v>
      </c>
      <c r="D123" s="10" t="n">
        <v>13432</v>
      </c>
      <c r="E123" s="10" t="n">
        <f aca="false">ROUND(D123*INDEX(مناطق!$AF$2:$AF$23,B123),0)</f>
        <v>12500</v>
      </c>
      <c r="F123" s="11" t="n">
        <f aca="false">ROUND(100*(راهنما!$B$4*(H123-MIN($H$2:$H$350))/(MAX($H$2:$H$350)-MIN($H$2:$H$350))+راهنما!$B$5*(N123-MIN($N$2:$N$350))/(MAX($N$2:$N$350)-MIN($N$2:$N$350))+راهنما!$B$6*(J123-MIN($J$2:$J$350))/(MAX($J$2:$J$350)-MIN($J$2:$J$350))+راهنما!$B$7*(MAX($I$2:$I$350)-I123)/(MAX($I$2:$I$350)-MIN($I$2:$I$350)))/راهنما!$B$8,1)</f>
        <v>55.2</v>
      </c>
      <c r="G123" s="3" t="str">
        <f aca="false">IF(V123&lt;=ROUND(349*0.2,0),"بسیار بالا",IF(V123&lt;=ROUND(349*0.4,0),"بالا",IF(V123&lt;=ROUND(349*0.6,0),"متوسط",IF(V123&lt;=ROUND(349*0.8,0),"پایین","بسیار پایین"))))</f>
        <v>بالا</v>
      </c>
      <c r="H123" s="11" t="n">
        <f aca="false">(100-I123)*(100-L123)/100</f>
        <v>70.93384</v>
      </c>
      <c r="I123" s="11" t="n">
        <v>12.6</v>
      </c>
      <c r="J123" s="11" t="n">
        <v>32.76</v>
      </c>
      <c r="K123" s="11" t="n">
        <f aca="false">J123/(1-I123/100)</f>
        <v>37.4828375286041</v>
      </c>
      <c r="L123" s="11" t="n">
        <v>18.84</v>
      </c>
      <c r="M123" s="11" t="n">
        <v>37.27</v>
      </c>
      <c r="N123" s="11" t="n">
        <v>44.65</v>
      </c>
      <c r="O123" s="11" t="n">
        <v>5.38</v>
      </c>
      <c r="P123" s="10" t="n">
        <f aca="false">ROUND(E123*J123/100,0)</f>
        <v>4095</v>
      </c>
      <c r="Q123" s="10" t="n">
        <f aca="false">ROUND(P123*I123/(100-I123),0)</f>
        <v>590</v>
      </c>
      <c r="R123" s="10" t="n">
        <f aca="false">ROUND(P123*(100-L123)/100,0)</f>
        <v>3324</v>
      </c>
      <c r="S123" s="10" t="n">
        <f aca="false">ROUND(P123*M123/100,0)</f>
        <v>1526</v>
      </c>
      <c r="T123" s="11" t="n">
        <v>70.17</v>
      </c>
      <c r="U123" s="11" t="n">
        <v>71.7</v>
      </c>
      <c r="V123" s="3" t="n">
        <f aca="false">RANK(F123,$F$2:$F$350,0)</f>
        <v>127</v>
      </c>
      <c r="W123" s="12" t="n">
        <v>238</v>
      </c>
      <c r="X123" s="10" t="n">
        <v>88</v>
      </c>
      <c r="Y123" s="3" t="s">
        <v>67</v>
      </c>
      <c r="Z123" s="3" t="s">
        <v>222</v>
      </c>
      <c r="AA123" s="13" t="s">
        <v>59</v>
      </c>
      <c r="AB123" s="11" t="n">
        <v>20.08</v>
      </c>
    </row>
    <row r="124" customFormat="false" ht="16.4" hidden="false" customHeight="false" outlineLevel="0" collapsed="false">
      <c r="A124" s="3" t="n">
        <v>123</v>
      </c>
      <c r="B124" s="3" t="n">
        <v>6</v>
      </c>
      <c r="C124" s="3" t="s">
        <v>223</v>
      </c>
      <c r="D124" s="10" t="n">
        <v>25495</v>
      </c>
      <c r="E124" s="10" t="n">
        <f aca="false">ROUND(D124*INDEX(مناطق!$AF$2:$AF$23,B124),0)</f>
        <v>23725</v>
      </c>
      <c r="F124" s="11" t="n">
        <f aca="false">ROUND(100*(راهنما!$B$4*(H124-MIN($H$2:$H$350))/(MAX($H$2:$H$350)-MIN($H$2:$H$350))+راهنما!$B$5*(N124-MIN($N$2:$N$350))/(MAX($N$2:$N$350)-MIN($N$2:$N$350))+راهنما!$B$6*(J124-MIN($J$2:$J$350))/(MAX($J$2:$J$350)-MIN($J$2:$J$350))+راهنما!$B$7*(MAX($I$2:$I$350)-I124)/(MAX($I$2:$I$350)-MIN($I$2:$I$350)))/راهنما!$B$8,1)</f>
        <v>50.4</v>
      </c>
      <c r="G124" s="3" t="str">
        <f aca="false">IF(V124&lt;=ROUND(349*0.2,0),"بسیار بالا",IF(V124&lt;=ROUND(349*0.4,0),"بالا",IF(V124&lt;=ROUND(349*0.6,0),"متوسط",IF(V124&lt;=ROUND(349*0.8,0),"پایین","بسیار پایین"))))</f>
        <v>متوسط</v>
      </c>
      <c r="H124" s="11" t="n">
        <f aca="false">(100-I124)*(100-L124)/100</f>
        <v>69.81512</v>
      </c>
      <c r="I124" s="11" t="n">
        <v>12.6</v>
      </c>
      <c r="J124" s="11" t="n">
        <v>33</v>
      </c>
      <c r="K124" s="11" t="n">
        <f aca="false">J124/(1-I124/100)</f>
        <v>37.7574370709382</v>
      </c>
      <c r="L124" s="11" t="n">
        <v>20.12</v>
      </c>
      <c r="M124" s="11" t="n">
        <v>37.27</v>
      </c>
      <c r="N124" s="11" t="n">
        <v>37.64</v>
      </c>
      <c r="O124" s="11" t="n">
        <v>5.93</v>
      </c>
      <c r="P124" s="10" t="n">
        <f aca="false">ROUND(E124*J124/100,0)</f>
        <v>7829</v>
      </c>
      <c r="Q124" s="10" t="n">
        <f aca="false">ROUND(P124*I124/(100-I124),0)</f>
        <v>1129</v>
      </c>
      <c r="R124" s="10" t="n">
        <f aca="false">ROUND(P124*(100-L124)/100,0)</f>
        <v>6254</v>
      </c>
      <c r="S124" s="10" t="n">
        <f aca="false">ROUND(P124*M124/100,0)</f>
        <v>2918</v>
      </c>
      <c r="T124" s="11" t="n">
        <v>68.5</v>
      </c>
      <c r="U124" s="11" t="n">
        <v>71.07</v>
      </c>
      <c r="V124" s="3" t="n">
        <f aca="false">RANK(F124,$F$2:$F$350,0)</f>
        <v>174</v>
      </c>
      <c r="W124" s="12" t="n">
        <v>210.3</v>
      </c>
      <c r="X124" s="10" t="n">
        <v>89</v>
      </c>
      <c r="Y124" s="3" t="s">
        <v>58</v>
      </c>
      <c r="Z124" s="3" t="s">
        <v>224</v>
      </c>
      <c r="AA124" s="13" t="s">
        <v>59</v>
      </c>
      <c r="AB124" s="11" t="n">
        <v>16.04</v>
      </c>
    </row>
    <row r="125" customFormat="false" ht="16.4" hidden="false" customHeight="false" outlineLevel="0" collapsed="false">
      <c r="A125" s="3" t="n">
        <v>124</v>
      </c>
      <c r="B125" s="3" t="n">
        <v>7</v>
      </c>
      <c r="C125" s="3" t="s">
        <v>225</v>
      </c>
      <c r="D125" s="10" t="n">
        <v>27721</v>
      </c>
      <c r="E125" s="10" t="n">
        <f aca="false">ROUND(D125*INDEX(مناطق!$AF$2:$AF$23,B125),0)</f>
        <v>25102</v>
      </c>
      <c r="F125" s="11" t="n">
        <f aca="false">ROUND(100*(راهنما!$B$4*(H125-MIN($H$2:$H$350))/(MAX($H$2:$H$350)-MIN($H$2:$H$350))+راهنما!$B$5*(N125-MIN($N$2:$N$350))/(MAX($N$2:$N$350)-MIN($N$2:$N$350))+راهنما!$B$6*(J125-MIN($J$2:$J$350))/(MAX($J$2:$J$350)-MIN($J$2:$J$350))+راهنما!$B$7*(MAX($I$2:$I$350)-I125)/(MAX($I$2:$I$350)-MIN($I$2:$I$350)))/راهنما!$B$8,1)</f>
        <v>80.8</v>
      </c>
      <c r="G125" s="3" t="str">
        <f aca="false">IF(V125&lt;=ROUND(349*0.2,0),"بسیار بالا",IF(V125&lt;=ROUND(349*0.4,0),"بالا",IF(V125&lt;=ROUND(349*0.6,0),"متوسط",IF(V125&lt;=ROUND(349*0.8,0),"پایین","بسیار پایین"))))</f>
        <v>بسیار بالا</v>
      </c>
      <c r="H125" s="11" t="n">
        <f aca="false">(100-I125)*(100-L125)/100</f>
        <v>74.586599</v>
      </c>
      <c r="I125" s="11" t="n">
        <v>11.09</v>
      </c>
      <c r="J125" s="11" t="n">
        <v>33.91</v>
      </c>
      <c r="K125" s="11" t="n">
        <f aca="false">J125/(1-I125/100)</f>
        <v>38.139691823192</v>
      </c>
      <c r="L125" s="11" t="n">
        <v>16.11</v>
      </c>
      <c r="M125" s="11" t="n">
        <v>34.78</v>
      </c>
      <c r="N125" s="11" t="n">
        <v>63.43</v>
      </c>
      <c r="O125" s="11" t="n">
        <v>3.11</v>
      </c>
      <c r="P125" s="10" t="n">
        <f aca="false">ROUND(E125*J125/100,0)</f>
        <v>8512</v>
      </c>
      <c r="Q125" s="10" t="n">
        <f aca="false">ROUND(P125*I125/(100-I125),0)</f>
        <v>1062</v>
      </c>
      <c r="R125" s="10" t="n">
        <f aca="false">ROUND(P125*(100-L125)/100,0)</f>
        <v>7141</v>
      </c>
      <c r="S125" s="10" t="n">
        <f aca="false">ROUND(P125*M125/100,0)</f>
        <v>2960</v>
      </c>
      <c r="T125" s="11" t="n">
        <v>73.35</v>
      </c>
      <c r="U125" s="11" t="n">
        <v>75.76</v>
      </c>
      <c r="V125" s="3" t="n">
        <f aca="false">RANK(F125,$F$2:$F$350,0)</f>
        <v>1</v>
      </c>
      <c r="W125" s="12" t="n">
        <v>446.9</v>
      </c>
      <c r="X125" s="10" t="n">
        <v>94</v>
      </c>
      <c r="Y125" s="3" t="s">
        <v>67</v>
      </c>
      <c r="Z125" s="3" t="s">
        <v>226</v>
      </c>
      <c r="AA125" s="13" t="s">
        <v>59</v>
      </c>
      <c r="AB125" s="11" t="n">
        <v>35.77</v>
      </c>
    </row>
    <row r="126" customFormat="false" ht="16.4" hidden="false" customHeight="false" outlineLevel="0" collapsed="false">
      <c r="A126" s="3" t="n">
        <v>125</v>
      </c>
      <c r="B126" s="3" t="n">
        <v>7</v>
      </c>
      <c r="C126" s="3" t="s">
        <v>227</v>
      </c>
      <c r="D126" s="10" t="n">
        <v>19427</v>
      </c>
      <c r="E126" s="10" t="n">
        <f aca="false">ROUND(D126*INDEX(مناطق!$AF$2:$AF$23,B126),0)</f>
        <v>17591</v>
      </c>
      <c r="F126" s="11" t="n">
        <f aca="false">ROUND(100*(راهنما!$B$4*(H126-MIN($H$2:$H$350))/(MAX($H$2:$H$350)-MIN($H$2:$H$350))+راهنما!$B$5*(N126-MIN($N$2:$N$350))/(MAX($N$2:$N$350)-MIN($N$2:$N$350))+راهنما!$B$6*(J126-MIN($J$2:$J$350))/(MAX($J$2:$J$350)-MIN($J$2:$J$350))+راهنما!$B$7*(MAX($I$2:$I$350)-I126)/(MAX($I$2:$I$350)-MIN($I$2:$I$350)))/راهنما!$B$8,1)</f>
        <v>77</v>
      </c>
      <c r="G126" s="3" t="str">
        <f aca="false">IF(V126&lt;=ROUND(349*0.2,0),"بسیار بالا",IF(V126&lt;=ROUND(349*0.4,0),"بالا",IF(V126&lt;=ROUND(349*0.6,0),"متوسط",IF(V126&lt;=ROUND(349*0.8,0),"پایین","بسیار پایین"))))</f>
        <v>بسیار بالا</v>
      </c>
      <c r="H126" s="11" t="n">
        <f aca="false">(100-I126)*(100-L126)/100</f>
        <v>73.715281</v>
      </c>
      <c r="I126" s="11" t="n">
        <v>11.09</v>
      </c>
      <c r="J126" s="11" t="n">
        <v>34.12</v>
      </c>
      <c r="K126" s="11" t="n">
        <f aca="false">J126/(1-I126/100)</f>
        <v>38.3758857271398</v>
      </c>
      <c r="L126" s="11" t="n">
        <v>17.09</v>
      </c>
      <c r="M126" s="11" t="n">
        <v>34.78</v>
      </c>
      <c r="N126" s="11" t="n">
        <v>57.42</v>
      </c>
      <c r="O126" s="11" t="n">
        <v>3.39</v>
      </c>
      <c r="P126" s="10" t="n">
        <f aca="false">ROUND(E126*J126/100,0)</f>
        <v>6002</v>
      </c>
      <c r="Q126" s="10" t="n">
        <f aca="false">ROUND(P126*I126/(100-I126),0)</f>
        <v>749</v>
      </c>
      <c r="R126" s="10" t="n">
        <f aca="false">ROUND(P126*(100-L126)/100,0)</f>
        <v>4976</v>
      </c>
      <c r="S126" s="10" t="n">
        <f aca="false">ROUND(P126*M126/100,0)</f>
        <v>2087</v>
      </c>
      <c r="T126" s="11" t="n">
        <v>72.81</v>
      </c>
      <c r="U126" s="11" t="n">
        <v>74.59</v>
      </c>
      <c r="V126" s="3" t="n">
        <f aca="false">RANK(F126,$F$2:$F$350,0)</f>
        <v>3</v>
      </c>
      <c r="W126" s="12" t="n">
        <v>365</v>
      </c>
      <c r="X126" s="10" t="n">
        <v>93</v>
      </c>
      <c r="Y126" s="3" t="s">
        <v>67</v>
      </c>
      <c r="Z126" s="3" t="s">
        <v>228</v>
      </c>
      <c r="AA126" s="13" t="s">
        <v>59</v>
      </c>
      <c r="AB126" s="11" t="n">
        <v>30.51</v>
      </c>
    </row>
    <row r="127" customFormat="false" ht="16.4" hidden="false" customHeight="false" outlineLevel="0" collapsed="false">
      <c r="A127" s="3" t="n">
        <v>126</v>
      </c>
      <c r="B127" s="3" t="n">
        <v>7</v>
      </c>
      <c r="C127" s="3" t="s">
        <v>229</v>
      </c>
      <c r="D127" s="10" t="n">
        <v>21177</v>
      </c>
      <c r="E127" s="10" t="n">
        <f aca="false">ROUND(D127*INDEX(مناطق!$AF$2:$AF$23,B127),0)</f>
        <v>19176</v>
      </c>
      <c r="F127" s="11" t="n">
        <f aca="false">ROUND(100*(راهنما!$B$4*(H127-MIN($H$2:$H$350))/(MAX($H$2:$H$350)-MIN($H$2:$H$350))+راهنما!$B$5*(N127-MIN($N$2:$N$350))/(MAX($N$2:$N$350)-MIN($N$2:$N$350))+راهنما!$B$6*(J127-MIN($J$2:$J$350))/(MAX($J$2:$J$350)-MIN($J$2:$J$350))+راهنما!$B$7*(MAX($I$2:$I$350)-I127)/(MAX($I$2:$I$350)-MIN($I$2:$I$350)))/راهنما!$B$8,1)</f>
        <v>73.1</v>
      </c>
      <c r="G127" s="3" t="str">
        <f aca="false">IF(V127&lt;=ROUND(349*0.2,0),"بسیار بالا",IF(V127&lt;=ROUND(349*0.4,0),"بالا",IF(V127&lt;=ROUND(349*0.6,0),"متوسط",IF(V127&lt;=ROUND(349*0.8,0),"پایین","بسیار پایین"))))</f>
        <v>بسیار بالا</v>
      </c>
      <c r="H127" s="11" t="n">
        <f aca="false">(100-I127)*(100-L127)/100</f>
        <v>72.826181</v>
      </c>
      <c r="I127" s="11" t="n">
        <v>11.09</v>
      </c>
      <c r="J127" s="11" t="n">
        <v>34.33</v>
      </c>
      <c r="K127" s="11" t="n">
        <f aca="false">J127/(1-I127/100)</f>
        <v>38.6120796310876</v>
      </c>
      <c r="L127" s="11" t="n">
        <v>18.09</v>
      </c>
      <c r="M127" s="11" t="n">
        <v>34.78</v>
      </c>
      <c r="N127" s="11" t="n">
        <v>51.41</v>
      </c>
      <c r="O127" s="11" t="n">
        <v>3.68</v>
      </c>
      <c r="P127" s="10" t="n">
        <f aca="false">ROUND(E127*J127/100,0)</f>
        <v>6583</v>
      </c>
      <c r="Q127" s="10" t="n">
        <f aca="false">ROUND(P127*I127/(100-I127),0)</f>
        <v>821</v>
      </c>
      <c r="R127" s="10" t="n">
        <f aca="false">ROUND(P127*(100-L127)/100,0)</f>
        <v>5392</v>
      </c>
      <c r="S127" s="10" t="n">
        <f aca="false">ROUND(P127*M127/100,0)</f>
        <v>2290</v>
      </c>
      <c r="T127" s="11" t="n">
        <v>72.27</v>
      </c>
      <c r="U127" s="11" t="n">
        <v>73.38</v>
      </c>
      <c r="V127" s="3" t="n">
        <f aca="false">RANK(F127,$F$2:$F$350,0)</f>
        <v>4</v>
      </c>
      <c r="W127" s="12" t="n">
        <v>320</v>
      </c>
      <c r="X127" s="10" t="n">
        <v>92</v>
      </c>
      <c r="Y127" s="3" t="s">
        <v>67</v>
      </c>
      <c r="Z127" s="3" t="s">
        <v>230</v>
      </c>
      <c r="AA127" s="13" t="s">
        <v>59</v>
      </c>
      <c r="AB127" s="11" t="n">
        <v>25.88</v>
      </c>
    </row>
    <row r="128" customFormat="false" ht="16.4" hidden="false" customHeight="false" outlineLevel="0" collapsed="false">
      <c r="A128" s="3" t="n">
        <v>127</v>
      </c>
      <c r="B128" s="3" t="n">
        <v>7</v>
      </c>
      <c r="C128" s="3" t="s">
        <v>231</v>
      </c>
      <c r="D128" s="10" t="n">
        <v>21519</v>
      </c>
      <c r="E128" s="10" t="n">
        <f aca="false">ROUND(D128*INDEX(مناطق!$AF$2:$AF$23,B128),0)</f>
        <v>19486</v>
      </c>
      <c r="F128" s="11" t="n">
        <f aca="false">ROUND(100*(راهنما!$B$4*(H128-MIN($H$2:$H$350))/(MAX($H$2:$H$350)-MIN($H$2:$H$350))+راهنما!$B$5*(N128-MIN($N$2:$N$350))/(MAX($N$2:$N$350)-MIN($N$2:$N$350))+راهنما!$B$6*(J128-MIN($J$2:$J$350))/(MAX($J$2:$J$350)-MIN($J$2:$J$350))+راهنما!$B$7*(MAX($I$2:$I$350)-I128)/(MAX($I$2:$I$350)-MIN($I$2:$I$350)))/راهنما!$B$8,1)</f>
        <v>71.9</v>
      </c>
      <c r="G128" s="3" t="str">
        <f aca="false">IF(V128&lt;=ROUND(349*0.2,0),"بسیار بالا",IF(V128&lt;=ROUND(349*0.4,0),"بالا",IF(V128&lt;=ROUND(349*0.6,0),"متوسط",IF(V128&lt;=ROUND(349*0.8,0),"پایین","بسیار پایین"))))</f>
        <v>بسیار بالا</v>
      </c>
      <c r="H128" s="11" t="n">
        <f aca="false">(100-I128)*(100-L128)/100</f>
        <v>72.55056</v>
      </c>
      <c r="I128" s="11" t="n">
        <v>11.09</v>
      </c>
      <c r="J128" s="11" t="n">
        <v>34.39</v>
      </c>
      <c r="K128" s="11" t="n">
        <f aca="false">J128/(1-I128/100)</f>
        <v>38.6795636036441</v>
      </c>
      <c r="L128" s="11" t="n">
        <v>18.4</v>
      </c>
      <c r="M128" s="11" t="n">
        <v>34.78</v>
      </c>
      <c r="N128" s="11" t="n">
        <v>49.55</v>
      </c>
      <c r="O128" s="11" t="n">
        <v>3.78</v>
      </c>
      <c r="P128" s="10" t="n">
        <f aca="false">ROUND(E128*J128/100,0)</f>
        <v>6701</v>
      </c>
      <c r="Q128" s="10" t="n">
        <f aca="false">ROUND(P128*I128/(100-I128),0)</f>
        <v>836</v>
      </c>
      <c r="R128" s="10" t="n">
        <f aca="false">ROUND(P128*(100-L128)/100,0)</f>
        <v>5468</v>
      </c>
      <c r="S128" s="10" t="n">
        <f aca="false">ROUND(P128*M128/100,0)</f>
        <v>2331</v>
      </c>
      <c r="T128" s="11" t="n">
        <v>72.11</v>
      </c>
      <c r="U128" s="11" t="n">
        <v>73</v>
      </c>
      <c r="V128" s="3" t="n">
        <f aca="false">RANK(F128,$F$2:$F$350,0)</f>
        <v>5</v>
      </c>
      <c r="W128" s="12" t="n">
        <v>300.8</v>
      </c>
      <c r="X128" s="10" t="n">
        <v>89</v>
      </c>
      <c r="Y128" s="3" t="s">
        <v>58</v>
      </c>
      <c r="Z128" s="3" t="s">
        <v>231</v>
      </c>
      <c r="AA128" s="13" t="s">
        <v>59</v>
      </c>
      <c r="AB128" s="11" t="n">
        <v>24.55</v>
      </c>
    </row>
    <row r="129" customFormat="false" ht="16.4" hidden="false" customHeight="false" outlineLevel="0" collapsed="false">
      <c r="A129" s="3" t="n">
        <v>128</v>
      </c>
      <c r="B129" s="3" t="n">
        <v>7</v>
      </c>
      <c r="C129" s="3" t="s">
        <v>232</v>
      </c>
      <c r="D129" s="10" t="n">
        <v>9558</v>
      </c>
      <c r="E129" s="10" t="n">
        <f aca="false">ROUND(D129*INDEX(مناطق!$AF$2:$AF$23,B129),0)</f>
        <v>8655</v>
      </c>
      <c r="F129" s="11" t="n">
        <f aca="false">ROUND(100*(راهنما!$B$4*(H129-MIN($H$2:$H$350))/(MAX($H$2:$H$350)-MIN($H$2:$H$350))+راهنما!$B$5*(N129-MIN($N$2:$N$350))/(MAX($N$2:$N$350)-MIN($N$2:$N$350))+راهنما!$B$6*(J129-MIN($J$2:$J$350))/(MAX($J$2:$J$350)-MIN($J$2:$J$350))+راهنما!$B$7*(MAX($I$2:$I$350)-I129)/(MAX($I$2:$I$350)-MIN($I$2:$I$350)))/راهنما!$B$8,1)</f>
        <v>69.4</v>
      </c>
      <c r="G129" s="3" t="str">
        <f aca="false">IF(V129&lt;=ROUND(349*0.2,0),"بسیار بالا",IF(V129&lt;=ROUND(349*0.4,0),"بالا",IF(V129&lt;=ROUND(349*0.6,0),"متوسط",IF(V129&lt;=ROUND(349*0.8,0),"پایین","بسیار پایین"))))</f>
        <v>بسیار بالا</v>
      </c>
      <c r="H129" s="11" t="n">
        <f aca="false">(100-I129)*(100-L129)/100</f>
        <v>71.972645</v>
      </c>
      <c r="I129" s="11" t="n">
        <v>11.09</v>
      </c>
      <c r="J129" s="11" t="n">
        <v>34.52</v>
      </c>
      <c r="K129" s="11" t="n">
        <f aca="false">J129/(1-I129/100)</f>
        <v>38.8257788775166</v>
      </c>
      <c r="L129" s="11" t="n">
        <v>19.05</v>
      </c>
      <c r="M129" s="11" t="n">
        <v>34.78</v>
      </c>
      <c r="N129" s="11" t="n">
        <v>45.78</v>
      </c>
      <c r="O129" s="11" t="n">
        <v>3.98</v>
      </c>
      <c r="P129" s="10" t="n">
        <f aca="false">ROUND(E129*J129/100,0)</f>
        <v>2988</v>
      </c>
      <c r="Q129" s="10" t="n">
        <f aca="false">ROUND(P129*I129/(100-I129),0)</f>
        <v>373</v>
      </c>
      <c r="R129" s="10" t="n">
        <f aca="false">ROUND(P129*(100-L129)/100,0)</f>
        <v>2419</v>
      </c>
      <c r="S129" s="10" t="n">
        <f aca="false">ROUND(P129*M129/100,0)</f>
        <v>1039</v>
      </c>
      <c r="T129" s="11" t="n">
        <v>71.76</v>
      </c>
      <c r="U129" s="11" t="n">
        <v>72.19</v>
      </c>
      <c r="V129" s="3" t="n">
        <f aca="false">RANK(F129,$F$2:$F$350,0)</f>
        <v>16</v>
      </c>
      <c r="W129" s="12" t="n">
        <v>273.8</v>
      </c>
      <c r="X129" s="10" t="n">
        <v>63</v>
      </c>
      <c r="Y129" s="3" t="s">
        <v>67</v>
      </c>
      <c r="Z129" s="3" t="s">
        <v>233</v>
      </c>
      <c r="AA129" s="13" t="s">
        <v>59</v>
      </c>
      <c r="AB129" s="11" t="n">
        <v>22</v>
      </c>
    </row>
    <row r="130" customFormat="false" ht="16.4" hidden="false" customHeight="false" outlineLevel="0" collapsed="false">
      <c r="A130" s="3" t="n">
        <v>129</v>
      </c>
      <c r="B130" s="3" t="n">
        <v>7</v>
      </c>
      <c r="C130" s="3" t="s">
        <v>234</v>
      </c>
      <c r="D130" s="10" t="n">
        <v>22372</v>
      </c>
      <c r="E130" s="10" t="n">
        <f aca="false">ROUND(D130*INDEX(مناطق!$AF$2:$AF$23,B130),0)</f>
        <v>20258</v>
      </c>
      <c r="F130" s="11" t="n">
        <f aca="false">ROUND(100*(راهنما!$B$4*(H130-MIN($H$2:$H$350))/(MAX($H$2:$H$350)-MIN($H$2:$H$350))+راهنما!$B$5*(N130-MIN($N$2:$N$350))/(MAX($N$2:$N$350)-MIN($N$2:$N$350))+راهنما!$B$6*(J130-MIN($J$2:$J$350))/(MAX($J$2:$J$350)-MIN($J$2:$J$350))+راهنما!$B$7*(MAX($I$2:$I$350)-I130)/(MAX($I$2:$I$350)-MIN($I$2:$I$350)))/راهنما!$B$8,1)</f>
        <v>68.6</v>
      </c>
      <c r="G130" s="3" t="str">
        <f aca="false">IF(V130&lt;=ROUND(349*0.2,0),"بسیار بالا",IF(V130&lt;=ROUND(349*0.4,0),"بالا",IF(V130&lt;=ROUND(349*0.6,0),"متوسط",IF(V130&lt;=ROUND(349*0.8,0),"پایین","بسیار پایین"))))</f>
        <v>بسیار بالا</v>
      </c>
      <c r="H130" s="11" t="n">
        <f aca="false">(100-I130)*(100-L130)/100</f>
        <v>71.785934</v>
      </c>
      <c r="I130" s="11" t="n">
        <v>11.09</v>
      </c>
      <c r="J130" s="11" t="n">
        <v>34.56</v>
      </c>
      <c r="K130" s="11" t="n">
        <f aca="false">J130/(1-I130/100)</f>
        <v>38.8707681925543</v>
      </c>
      <c r="L130" s="11" t="n">
        <v>19.26</v>
      </c>
      <c r="M130" s="11" t="n">
        <v>34.78</v>
      </c>
      <c r="N130" s="11" t="n">
        <v>44.62</v>
      </c>
      <c r="O130" s="11" t="n">
        <v>4.04</v>
      </c>
      <c r="P130" s="10" t="n">
        <f aca="false">ROUND(E130*J130/100,0)</f>
        <v>7001</v>
      </c>
      <c r="Q130" s="10" t="n">
        <f aca="false">ROUND(P130*I130/(100-I130),0)</f>
        <v>873</v>
      </c>
      <c r="R130" s="10" t="n">
        <f aca="false">ROUND(P130*(100-L130)/100,0)</f>
        <v>5653</v>
      </c>
      <c r="S130" s="10" t="n">
        <f aca="false">ROUND(P130*M130/100,0)</f>
        <v>2435</v>
      </c>
      <c r="T130" s="11" t="n">
        <v>71.66</v>
      </c>
      <c r="U130" s="11" t="n">
        <v>71.93</v>
      </c>
      <c r="V130" s="3" t="n">
        <f aca="false">RANK(F130,$F$2:$F$350,0)</f>
        <v>19</v>
      </c>
      <c r="W130" s="12" t="n">
        <v>266.3</v>
      </c>
      <c r="X130" s="10" t="n">
        <v>90</v>
      </c>
      <c r="Y130" s="3" t="s">
        <v>67</v>
      </c>
      <c r="Z130" s="3" t="s">
        <v>235</v>
      </c>
      <c r="AA130" s="13" t="s">
        <v>59</v>
      </c>
      <c r="AB130" s="11" t="n">
        <v>21.25</v>
      </c>
    </row>
    <row r="131" customFormat="false" ht="16.4" hidden="false" customHeight="false" outlineLevel="0" collapsed="false">
      <c r="A131" s="3" t="n">
        <v>130</v>
      </c>
      <c r="B131" s="3" t="n">
        <v>7</v>
      </c>
      <c r="C131" s="3" t="s">
        <v>236</v>
      </c>
      <c r="D131" s="10" t="n">
        <v>17392</v>
      </c>
      <c r="E131" s="10" t="n">
        <f aca="false">ROUND(D131*INDEX(مناطق!$AF$2:$AF$23,B131),0)</f>
        <v>15749</v>
      </c>
      <c r="F131" s="11" t="n">
        <f aca="false">ROUND(100*(راهنما!$B$4*(H131-MIN($H$2:$H$350))/(MAX($H$2:$H$350)-MIN($H$2:$H$350))+راهنما!$B$5*(N131-MIN($N$2:$N$350))/(MAX($N$2:$N$350)-MIN($N$2:$N$350))+راهنما!$B$6*(J131-MIN($J$2:$J$350))/(MAX($J$2:$J$350)-MIN($J$2:$J$350))+راهنما!$B$7*(MAX($I$2:$I$350)-I131)/(MAX($I$2:$I$350)-MIN($I$2:$I$350)))/راهنما!$B$8,1)</f>
        <v>67.8</v>
      </c>
      <c r="G131" s="3" t="str">
        <f aca="false">IF(V131&lt;=ROUND(349*0.2,0),"بسیار بالا",IF(V131&lt;=ROUND(349*0.4,0),"بالا",IF(V131&lt;=ROUND(349*0.6,0),"متوسط",IF(V131&lt;=ROUND(349*0.8,0),"پایین","بسیار پایین"))))</f>
        <v>بسیار بالا</v>
      </c>
      <c r="H131" s="11" t="n">
        <f aca="false">(100-I131)*(100-L131)/100</f>
        <v>71.590332</v>
      </c>
      <c r="I131" s="11" t="n">
        <v>11.09</v>
      </c>
      <c r="J131" s="11" t="n">
        <v>34.61</v>
      </c>
      <c r="K131" s="11" t="n">
        <f aca="false">J131/(1-I131/100)</f>
        <v>38.9270048363514</v>
      </c>
      <c r="L131" s="11" t="n">
        <v>19.48</v>
      </c>
      <c r="M131" s="11" t="n">
        <v>34.78</v>
      </c>
      <c r="N131" s="11" t="n">
        <v>43.37</v>
      </c>
      <c r="O131" s="11" t="n">
        <v>4.11</v>
      </c>
      <c r="P131" s="10" t="n">
        <f aca="false">ROUND(E131*J131/100,0)</f>
        <v>5451</v>
      </c>
      <c r="Q131" s="10" t="n">
        <f aca="false">ROUND(P131*I131/(100-I131),0)</f>
        <v>680</v>
      </c>
      <c r="R131" s="10" t="n">
        <f aca="false">ROUND(P131*(100-L131)/100,0)</f>
        <v>4389</v>
      </c>
      <c r="S131" s="10" t="n">
        <f aca="false">ROUND(P131*M131/100,0)</f>
        <v>1896</v>
      </c>
      <c r="T131" s="11" t="n">
        <v>71.54</v>
      </c>
      <c r="U131" s="11" t="n">
        <v>71.65</v>
      </c>
      <c r="V131" s="3" t="n">
        <f aca="false">RANK(F131,$F$2:$F$350,0)</f>
        <v>22</v>
      </c>
      <c r="W131" s="12" t="n">
        <v>240</v>
      </c>
      <c r="X131" s="10" t="n">
        <v>89</v>
      </c>
      <c r="Y131" s="3" t="s">
        <v>58</v>
      </c>
      <c r="Z131" s="3" t="s">
        <v>236</v>
      </c>
      <c r="AA131" s="13" t="s">
        <v>59</v>
      </c>
      <c r="AB131" s="11" t="n">
        <v>20.45</v>
      </c>
    </row>
    <row r="132" customFormat="false" ht="16.4" hidden="false" customHeight="false" outlineLevel="0" collapsed="false">
      <c r="A132" s="3" t="n">
        <v>131</v>
      </c>
      <c r="B132" s="3" t="n">
        <v>7</v>
      </c>
      <c r="C132" s="3" t="s">
        <v>237</v>
      </c>
      <c r="D132" s="10" t="n">
        <v>42153</v>
      </c>
      <c r="E132" s="10" t="n">
        <f aca="false">ROUND(D132*INDEX(مناطق!$AF$2:$AF$23,B132),0)</f>
        <v>38170</v>
      </c>
      <c r="F132" s="11" t="n">
        <f aca="false">ROUND(100*(راهنما!$B$4*(H132-MIN($H$2:$H$350))/(MAX($H$2:$H$350)-MIN($H$2:$H$350))+راهنما!$B$5*(N132-MIN($N$2:$N$350))/(MAX($N$2:$N$350)-MIN($N$2:$N$350))+راهنما!$B$6*(J132-MIN($J$2:$J$350))/(MAX($J$2:$J$350)-MIN($J$2:$J$350))+راهنما!$B$7*(MAX($I$2:$I$350)-I132)/(MAX($I$2:$I$350)-MIN($I$2:$I$350)))/راهنما!$B$8,1)</f>
        <v>67.7</v>
      </c>
      <c r="G132" s="3" t="str">
        <f aca="false">IF(V132&lt;=ROUND(349*0.2,0),"بسیار بالا",IF(V132&lt;=ROUND(349*0.4,0),"بالا",IF(V132&lt;=ROUND(349*0.6,0),"متوسط",IF(V132&lt;=ROUND(349*0.8,0),"پایین","بسیار پایین"))))</f>
        <v>بسیار بالا</v>
      </c>
      <c r="H132" s="11" t="n">
        <f aca="false">(100-I132)*(100-L132)/100</f>
        <v>71.563659</v>
      </c>
      <c r="I132" s="11" t="n">
        <v>11.09</v>
      </c>
      <c r="J132" s="11" t="n">
        <v>34.61</v>
      </c>
      <c r="K132" s="11" t="n">
        <f aca="false">J132/(1-I132/100)</f>
        <v>38.9270048363514</v>
      </c>
      <c r="L132" s="11" t="n">
        <v>19.51</v>
      </c>
      <c r="M132" s="11" t="n">
        <v>34.78</v>
      </c>
      <c r="N132" s="11" t="n">
        <v>43.2</v>
      </c>
      <c r="O132" s="11" t="n">
        <v>4.12</v>
      </c>
      <c r="P132" s="10" t="n">
        <f aca="false">ROUND(E132*J132/100,0)</f>
        <v>13211</v>
      </c>
      <c r="Q132" s="10" t="n">
        <f aca="false">ROUND(P132*I132/(100-I132),0)</f>
        <v>1648</v>
      </c>
      <c r="R132" s="10" t="n">
        <f aca="false">ROUND(P132*(100-L132)/100,0)</f>
        <v>10634</v>
      </c>
      <c r="S132" s="10" t="n">
        <f aca="false">ROUND(P132*M132/100,0)</f>
        <v>4595</v>
      </c>
      <c r="T132" s="11" t="n">
        <v>71.53</v>
      </c>
      <c r="U132" s="11" t="n">
        <v>71.61</v>
      </c>
      <c r="V132" s="3" t="n">
        <f aca="false">RANK(F132,$F$2:$F$350,0)</f>
        <v>23</v>
      </c>
      <c r="W132" s="12"/>
      <c r="X132" s="10" t="n">
        <v>0</v>
      </c>
      <c r="Y132" s="3" t="s">
        <v>77</v>
      </c>
      <c r="Z132" s="13" t="s">
        <v>78</v>
      </c>
      <c r="AA132" s="13" t="s">
        <v>79</v>
      </c>
      <c r="AB132" s="11" t="n">
        <v>20.35</v>
      </c>
    </row>
    <row r="133" customFormat="false" ht="16.4" hidden="false" customHeight="false" outlineLevel="0" collapsed="false">
      <c r="A133" s="3" t="n">
        <v>132</v>
      </c>
      <c r="B133" s="3" t="n">
        <v>7</v>
      </c>
      <c r="C133" s="3" t="s">
        <v>238</v>
      </c>
      <c r="D133" s="10" t="n">
        <v>16890</v>
      </c>
      <c r="E133" s="10" t="n">
        <f aca="false">ROUND(D133*INDEX(مناطق!$AF$2:$AF$23,B133),0)</f>
        <v>15294</v>
      </c>
      <c r="F133" s="11" t="n">
        <f aca="false">ROUND(100*(راهنما!$B$4*(H133-MIN($H$2:$H$350))/(MAX($H$2:$H$350)-MIN($H$2:$H$350))+راهنما!$B$5*(N133-MIN($N$2:$N$350))/(MAX($N$2:$N$350)-MIN($N$2:$N$350))+راهنما!$B$6*(J133-MIN($J$2:$J$350))/(MAX($J$2:$J$350)-MIN($J$2:$J$350))+راهنما!$B$7*(MAX($I$2:$I$350)-I133)/(MAX($I$2:$I$350)-MIN($I$2:$I$350)))/راهنما!$B$8,1)</f>
        <v>63.8</v>
      </c>
      <c r="G133" s="3" t="str">
        <f aca="false">IF(V133&lt;=ROUND(349*0.2,0),"بسیار بالا",IF(V133&lt;=ROUND(349*0.4,0),"بالا",IF(V133&lt;=ROUND(349*0.6,0),"متوسط",IF(V133&lt;=ROUND(349*0.8,0),"پایین","بسیار پایین"))))</f>
        <v>بسیار بالا</v>
      </c>
      <c r="H133" s="11" t="n">
        <f aca="false">(100-I133)*(100-L133)/100</f>
        <v>70.621213</v>
      </c>
      <c r="I133" s="11" t="n">
        <v>11.09</v>
      </c>
      <c r="J133" s="11" t="n">
        <v>34.81</v>
      </c>
      <c r="K133" s="11" t="n">
        <f aca="false">J133/(1-I133/100)</f>
        <v>39.1519514115398</v>
      </c>
      <c r="L133" s="11" t="n">
        <v>20.57</v>
      </c>
      <c r="M133" s="11" t="n">
        <v>34.78</v>
      </c>
      <c r="N133" s="11" t="n">
        <v>37.59</v>
      </c>
      <c r="O133" s="11" t="n">
        <v>4.46</v>
      </c>
      <c r="P133" s="10" t="n">
        <f aca="false">ROUND(E133*J133/100,0)</f>
        <v>5324</v>
      </c>
      <c r="Q133" s="10" t="n">
        <f aca="false">ROUND(P133*I133/(100-I133),0)</f>
        <v>664</v>
      </c>
      <c r="R133" s="10" t="n">
        <f aca="false">ROUND(P133*(100-L133)/100,0)</f>
        <v>4229</v>
      </c>
      <c r="S133" s="10" t="n">
        <f aca="false">ROUND(P133*M133/100,0)</f>
        <v>1852</v>
      </c>
      <c r="T133" s="11" t="n">
        <v>70.27</v>
      </c>
      <c r="U133" s="11" t="n">
        <v>70.98</v>
      </c>
      <c r="V133" s="3" t="n">
        <f aca="false">RANK(F133,$F$2:$F$350,0)</f>
        <v>49</v>
      </c>
      <c r="W133" s="12" t="n">
        <v>197.4</v>
      </c>
      <c r="X133" s="10" t="n">
        <v>88</v>
      </c>
      <c r="Y133" s="3" t="s">
        <v>67</v>
      </c>
      <c r="Z133" s="3" t="s">
        <v>239</v>
      </c>
      <c r="AA133" s="13" t="s">
        <v>59</v>
      </c>
      <c r="AB133" s="11" t="n">
        <v>17.01</v>
      </c>
    </row>
    <row r="134" customFormat="false" ht="16.4" hidden="false" customHeight="false" outlineLevel="0" collapsed="false">
      <c r="A134" s="3" t="n">
        <v>133</v>
      </c>
      <c r="B134" s="3" t="n">
        <v>7</v>
      </c>
      <c r="C134" s="3" t="s">
        <v>240</v>
      </c>
      <c r="D134" s="10" t="n">
        <v>14767</v>
      </c>
      <c r="E134" s="10" t="n">
        <f aca="false">ROUND(D134*INDEX(مناطق!$AF$2:$AF$23,B134),0)</f>
        <v>13372</v>
      </c>
      <c r="F134" s="11" t="n">
        <f aca="false">ROUND(100*(راهنما!$B$4*(H134-MIN($H$2:$H$350))/(MAX($H$2:$H$350)-MIN($H$2:$H$350))+راهنما!$B$5*(N134-MIN($N$2:$N$350))/(MAX($N$2:$N$350)-MIN($N$2:$N$350))+راهنما!$B$6*(J134-MIN($J$2:$J$350))/(MAX($J$2:$J$350)-MIN($J$2:$J$350))+راهنما!$B$7*(MAX($I$2:$I$350)-I134)/(MAX($I$2:$I$350)-MIN($I$2:$I$350)))/راهنما!$B$8,1)</f>
        <v>63.6</v>
      </c>
      <c r="G134" s="3" t="str">
        <f aca="false">IF(V134&lt;=ROUND(349*0.2,0),"بسیار بالا",IF(V134&lt;=ROUND(349*0.4,0),"بالا",IF(V134&lt;=ROUND(349*0.6,0),"متوسط",IF(V134&lt;=ROUND(349*0.8,0),"پایین","بسیار پایین"))))</f>
        <v>بسیار بالا</v>
      </c>
      <c r="H134" s="11" t="n">
        <f aca="false">(100-I134)*(100-L134)/100</f>
        <v>70.576758</v>
      </c>
      <c r="I134" s="11" t="n">
        <v>11.09</v>
      </c>
      <c r="J134" s="11" t="n">
        <v>34.82</v>
      </c>
      <c r="K134" s="11" t="n">
        <f aca="false">J134/(1-I134/100)</f>
        <v>39.1631987402992</v>
      </c>
      <c r="L134" s="11" t="n">
        <v>20.62</v>
      </c>
      <c r="M134" s="11" t="n">
        <v>34.78</v>
      </c>
      <c r="N134" s="11" t="n">
        <v>37.32</v>
      </c>
      <c r="O134" s="11" t="n">
        <v>4.48</v>
      </c>
      <c r="P134" s="10" t="n">
        <f aca="false">ROUND(E134*J134/100,0)</f>
        <v>4656</v>
      </c>
      <c r="Q134" s="10" t="n">
        <f aca="false">ROUND(P134*I134/(100-I134),0)</f>
        <v>581</v>
      </c>
      <c r="R134" s="10" t="n">
        <f aca="false">ROUND(P134*(100-L134)/100,0)</f>
        <v>3696</v>
      </c>
      <c r="S134" s="10" t="n">
        <f aca="false">ROUND(P134*M134/100,0)</f>
        <v>1619</v>
      </c>
      <c r="T134" s="11" t="n">
        <v>70.2</v>
      </c>
      <c r="U134" s="11" t="n">
        <v>70.95</v>
      </c>
      <c r="V134" s="3" t="n">
        <f aca="false">RANK(F134,$F$2:$F$350,0)</f>
        <v>51</v>
      </c>
      <c r="W134" s="12" t="n">
        <v>203.9</v>
      </c>
      <c r="X134" s="10" t="n">
        <v>88</v>
      </c>
      <c r="Y134" s="3" t="s">
        <v>67</v>
      </c>
      <c r="Z134" s="3" t="s">
        <v>241</v>
      </c>
      <c r="AA134" s="13" t="s">
        <v>59</v>
      </c>
      <c r="AB134" s="11" t="n">
        <v>16.85</v>
      </c>
    </row>
    <row r="135" customFormat="false" ht="16.4" hidden="false" customHeight="false" outlineLevel="0" collapsed="false">
      <c r="A135" s="3" t="n">
        <v>134</v>
      </c>
      <c r="B135" s="3" t="n">
        <v>7</v>
      </c>
      <c r="C135" s="3" t="s">
        <v>242</v>
      </c>
      <c r="D135" s="10" t="n">
        <v>21390</v>
      </c>
      <c r="E135" s="10" t="n">
        <f aca="false">ROUND(D135*INDEX(مناطق!$AF$2:$AF$23,B135),0)</f>
        <v>19369</v>
      </c>
      <c r="F135" s="11" t="n">
        <f aca="false">ROUND(100*(راهنما!$B$4*(H135-MIN($H$2:$H$350))/(MAX($H$2:$H$350)-MIN($H$2:$H$350))+راهنما!$B$5*(N135-MIN($N$2:$N$350))/(MAX($N$2:$N$350)-MIN($N$2:$N$350))+راهنما!$B$6*(J135-MIN($J$2:$J$350))/(MAX($J$2:$J$350)-MIN($J$2:$J$350))+راهنما!$B$7*(MAX($I$2:$I$350)-I135)/(MAX($I$2:$I$350)-MIN($I$2:$I$350)))/راهنما!$B$8,1)</f>
        <v>62.2</v>
      </c>
      <c r="G135" s="3" t="str">
        <f aca="false">IF(V135&lt;=ROUND(349*0.2,0),"بسیار بالا",IF(V135&lt;=ROUND(349*0.4,0),"بالا",IF(V135&lt;=ROUND(349*0.6,0),"متوسط",IF(V135&lt;=ROUND(349*0.8,0),"پایین","بسیار پایین"))))</f>
        <v>بسیار بالا</v>
      </c>
      <c r="H135" s="11" t="n">
        <f aca="false">(100-I135)*(100-L135)/100</f>
        <v>70.212227</v>
      </c>
      <c r="I135" s="11" t="n">
        <v>11.09</v>
      </c>
      <c r="J135" s="11" t="n">
        <v>34.9</v>
      </c>
      <c r="K135" s="11" t="n">
        <f aca="false">J135/(1-I135/100)</f>
        <v>39.2531773703745</v>
      </c>
      <c r="L135" s="11" t="n">
        <v>21.03</v>
      </c>
      <c r="M135" s="11" t="n">
        <v>34.78</v>
      </c>
      <c r="N135" s="11" t="n">
        <v>35.29</v>
      </c>
      <c r="O135" s="11" t="n">
        <v>4.62</v>
      </c>
      <c r="P135" s="10" t="n">
        <f aca="false">ROUND(E135*J135/100,0)</f>
        <v>6760</v>
      </c>
      <c r="Q135" s="10" t="n">
        <f aca="false">ROUND(P135*I135/(100-I135),0)</f>
        <v>843</v>
      </c>
      <c r="R135" s="10" t="n">
        <f aca="false">ROUND(P135*(100-L135)/100,0)</f>
        <v>5338</v>
      </c>
      <c r="S135" s="10" t="n">
        <f aca="false">ROUND(P135*M135/100,0)</f>
        <v>2351</v>
      </c>
      <c r="T135" s="11" t="n">
        <v>69.68</v>
      </c>
      <c r="U135" s="11" t="n">
        <v>70.75</v>
      </c>
      <c r="V135" s="3" t="n">
        <f aca="false">RANK(F135,$F$2:$F$350,0)</f>
        <v>66</v>
      </c>
      <c r="W135" s="12" t="n">
        <v>210.4</v>
      </c>
      <c r="X135" s="10" t="n">
        <v>165</v>
      </c>
      <c r="Y135" s="3" t="s">
        <v>67</v>
      </c>
      <c r="Z135" s="3" t="s">
        <v>243</v>
      </c>
      <c r="AA135" s="13" t="s">
        <v>59</v>
      </c>
      <c r="AB135" s="11" t="n">
        <v>15.72</v>
      </c>
    </row>
    <row r="136" customFormat="false" ht="16.4" hidden="false" customHeight="false" outlineLevel="0" collapsed="false">
      <c r="A136" s="3" t="n">
        <v>135</v>
      </c>
      <c r="B136" s="3" t="n">
        <v>7</v>
      </c>
      <c r="C136" s="3" t="s">
        <v>244</v>
      </c>
      <c r="D136" s="10" t="n">
        <v>31341</v>
      </c>
      <c r="E136" s="10" t="n">
        <f aca="false">ROUND(D136*INDEX(مناطق!$AF$2:$AF$23,B136),0)</f>
        <v>28380</v>
      </c>
      <c r="F136" s="11" t="n">
        <f aca="false">ROUND(100*(راهنما!$B$4*(H136-MIN($H$2:$H$350))/(MAX($H$2:$H$350)-MIN($H$2:$H$350))+راهنما!$B$5*(N136-MIN($N$2:$N$350))/(MAX($N$2:$N$350)-MIN($N$2:$N$350))+راهنما!$B$6*(J136-MIN($J$2:$J$350))/(MAX($J$2:$J$350)-MIN($J$2:$J$350))+راهنما!$B$7*(MAX($I$2:$I$350)-I136)/(MAX($I$2:$I$350)-MIN($I$2:$I$350)))/راهنما!$B$8,1)</f>
        <v>60.7</v>
      </c>
      <c r="G136" s="3" t="str">
        <f aca="false">IF(V136&lt;=ROUND(349*0.2,0),"بسیار بالا",IF(V136&lt;=ROUND(349*0.4,0),"بالا",IF(V136&lt;=ROUND(349*0.6,0),"متوسط",IF(V136&lt;=ROUND(349*0.8,0),"پایین","بسیار پایین"))))</f>
        <v>بالا</v>
      </c>
      <c r="H136" s="11" t="n">
        <f aca="false">(100-I136)*(100-L136)/100</f>
        <v>69.821023</v>
      </c>
      <c r="I136" s="11" t="n">
        <v>11.09</v>
      </c>
      <c r="J136" s="11" t="n">
        <v>34.98</v>
      </c>
      <c r="K136" s="11" t="n">
        <f aca="false">J136/(1-I136/100)</f>
        <v>39.3431560004499</v>
      </c>
      <c r="L136" s="11" t="n">
        <v>21.47</v>
      </c>
      <c r="M136" s="11" t="n">
        <v>34.78</v>
      </c>
      <c r="N136" s="11" t="n">
        <v>33.2</v>
      </c>
      <c r="O136" s="11" t="n">
        <v>4.77</v>
      </c>
      <c r="P136" s="10" t="n">
        <f aca="false">ROUND(E136*J136/100,0)</f>
        <v>9927</v>
      </c>
      <c r="Q136" s="10" t="n">
        <f aca="false">ROUND(P136*I136/(100-I136),0)</f>
        <v>1238</v>
      </c>
      <c r="R136" s="10" t="n">
        <f aca="false">ROUND(P136*(100-L136)/100,0)</f>
        <v>7796</v>
      </c>
      <c r="S136" s="10" t="n">
        <f aca="false">ROUND(P136*M136/100,0)</f>
        <v>3453</v>
      </c>
      <c r="T136" s="11" t="n">
        <v>69.11</v>
      </c>
      <c r="U136" s="11" t="n">
        <v>70.52</v>
      </c>
      <c r="V136" s="3" t="n">
        <f aca="false">RANK(F136,$F$2:$F$350,0)</f>
        <v>74</v>
      </c>
      <c r="W136" s="12" t="n">
        <v>182.2</v>
      </c>
      <c r="X136" s="10" t="n">
        <v>82</v>
      </c>
      <c r="Y136" s="3" t="s">
        <v>58</v>
      </c>
      <c r="Z136" s="3" t="s">
        <v>244</v>
      </c>
      <c r="AA136" s="13" t="s">
        <v>59</v>
      </c>
      <c r="AB136" s="11" t="n">
        <v>14.59</v>
      </c>
    </row>
    <row r="137" customFormat="false" ht="16.4" hidden="false" customHeight="false" outlineLevel="0" collapsed="false">
      <c r="A137" s="3" t="n">
        <v>136</v>
      </c>
      <c r="B137" s="3" t="n">
        <v>7</v>
      </c>
      <c r="C137" s="3" t="s">
        <v>245</v>
      </c>
      <c r="D137" s="10" t="n">
        <v>12264</v>
      </c>
      <c r="E137" s="10" t="n">
        <f aca="false">ROUND(D137*INDEX(مناطق!$AF$2:$AF$23,B137),0)</f>
        <v>11105</v>
      </c>
      <c r="F137" s="11" t="n">
        <f aca="false">ROUND(100*(راهنما!$B$4*(H137-MIN($H$2:$H$350))/(MAX($H$2:$H$350)-MIN($H$2:$H$350))+راهنما!$B$5*(N137-MIN($N$2:$N$350))/(MAX($N$2:$N$350)-MIN($N$2:$N$350))+راهنما!$B$6*(J137-MIN($J$2:$J$350))/(MAX($J$2:$J$350)-MIN($J$2:$J$350))+راهنما!$B$7*(MAX($I$2:$I$350)-I137)/(MAX($I$2:$I$350)-MIN($I$2:$I$350)))/راهنما!$B$8,1)</f>
        <v>60.5</v>
      </c>
      <c r="G137" s="3" t="str">
        <f aca="false">IF(V137&lt;=ROUND(349*0.2,0),"بسیار بالا",IF(V137&lt;=ROUND(349*0.4,0),"بالا",IF(V137&lt;=ROUND(349*0.6,0),"متوسط",IF(V137&lt;=ROUND(349*0.8,0),"پایین","بسیار پایین"))))</f>
        <v>بالا</v>
      </c>
      <c r="H137" s="11" t="n">
        <f aca="false">(100-I137)*(100-L137)/100</f>
        <v>69.776568</v>
      </c>
      <c r="I137" s="11" t="n">
        <v>11.09</v>
      </c>
      <c r="J137" s="11" t="n">
        <v>34.99</v>
      </c>
      <c r="K137" s="11" t="n">
        <f aca="false">J137/(1-I137/100)</f>
        <v>39.3544033292093</v>
      </c>
      <c r="L137" s="11" t="n">
        <v>21.52</v>
      </c>
      <c r="M137" s="11" t="n">
        <v>34.78</v>
      </c>
      <c r="N137" s="11" t="n">
        <v>32.96</v>
      </c>
      <c r="O137" s="11" t="n">
        <v>4.78</v>
      </c>
      <c r="P137" s="10" t="n">
        <f aca="false">ROUND(E137*J137/100,0)</f>
        <v>3886</v>
      </c>
      <c r="Q137" s="10" t="n">
        <f aca="false">ROUND(P137*I137/(100-I137),0)</f>
        <v>485</v>
      </c>
      <c r="R137" s="10" t="n">
        <f aca="false">ROUND(P137*(100-L137)/100,0)</f>
        <v>3050</v>
      </c>
      <c r="S137" s="10" t="n">
        <f aca="false">ROUND(P137*M137/100,0)</f>
        <v>1352</v>
      </c>
      <c r="T137" s="11" t="n">
        <v>69.04</v>
      </c>
      <c r="U137" s="11" t="n">
        <v>70.5</v>
      </c>
      <c r="V137" s="3" t="n">
        <f aca="false">RANK(F137,$F$2:$F$350,0)</f>
        <v>76</v>
      </c>
      <c r="W137" s="12" t="n">
        <v>181.3</v>
      </c>
      <c r="X137" s="10" t="n">
        <v>86</v>
      </c>
      <c r="Y137" s="3" t="s">
        <v>58</v>
      </c>
      <c r="Z137" s="3" t="s">
        <v>246</v>
      </c>
      <c r="AA137" s="13" t="s">
        <v>59</v>
      </c>
      <c r="AB137" s="11" t="n">
        <v>14.47</v>
      </c>
    </row>
    <row r="138" customFormat="false" ht="16.4" hidden="false" customHeight="false" outlineLevel="0" collapsed="false">
      <c r="A138" s="3" t="n">
        <v>137</v>
      </c>
      <c r="B138" s="3" t="n">
        <v>7</v>
      </c>
      <c r="C138" s="3" t="s">
        <v>247</v>
      </c>
      <c r="D138" s="10" t="n">
        <v>34031</v>
      </c>
      <c r="E138" s="10" t="n">
        <f aca="false">ROUND(D138*INDEX(مناطق!$AF$2:$AF$23,B138),0)</f>
        <v>30816</v>
      </c>
      <c r="F138" s="11" t="n">
        <f aca="false">ROUND(100*(راهنما!$B$4*(H138-MIN($H$2:$H$350))/(MAX($H$2:$H$350)-MIN($H$2:$H$350))+راهنما!$B$5*(N138-MIN($N$2:$N$350))/(MAX($N$2:$N$350)-MIN($N$2:$N$350))+راهنما!$B$6*(J138-MIN($J$2:$J$350))/(MAX($J$2:$J$350)-MIN($J$2:$J$350))+راهنما!$B$7*(MAX($I$2:$I$350)-I138)/(MAX($I$2:$I$350)-MIN($I$2:$I$350)))/راهنما!$B$8,1)</f>
        <v>60.2</v>
      </c>
      <c r="G138" s="3" t="str">
        <f aca="false">IF(V138&lt;=ROUND(349*0.2,0),"بسیار بالا",IF(V138&lt;=ROUND(349*0.4,0),"بالا",IF(V138&lt;=ROUND(349*0.6,0),"متوسط",IF(V138&lt;=ROUND(349*0.8,0),"پایین","بسیار پایین"))))</f>
        <v>بالا</v>
      </c>
      <c r="H138" s="11" t="n">
        <f aca="false">(100-I138)*(100-L138)/100</f>
        <v>69.696549</v>
      </c>
      <c r="I138" s="11" t="n">
        <v>11.09</v>
      </c>
      <c r="J138" s="11" t="n">
        <v>35.01</v>
      </c>
      <c r="K138" s="11" t="n">
        <f aca="false">J138/(1-I138/100)</f>
        <v>39.3768979867282</v>
      </c>
      <c r="L138" s="11" t="n">
        <v>21.61</v>
      </c>
      <c r="M138" s="11" t="n">
        <v>34.78</v>
      </c>
      <c r="N138" s="11" t="n">
        <v>32.54</v>
      </c>
      <c r="O138" s="11" t="n">
        <v>4.81</v>
      </c>
      <c r="P138" s="10" t="n">
        <f aca="false">ROUND(E138*J138/100,0)</f>
        <v>10789</v>
      </c>
      <c r="Q138" s="10" t="n">
        <f aca="false">ROUND(P138*I138/(100-I138),0)</f>
        <v>1346</v>
      </c>
      <c r="R138" s="10" t="n">
        <f aca="false">ROUND(P138*(100-L138)/100,0)</f>
        <v>8457</v>
      </c>
      <c r="S138" s="10" t="n">
        <f aca="false">ROUND(P138*M138/100,0)</f>
        <v>3752</v>
      </c>
      <c r="T138" s="11" t="n">
        <v>68.93</v>
      </c>
      <c r="U138" s="11" t="n">
        <v>70.45</v>
      </c>
      <c r="V138" s="3" t="n">
        <f aca="false">RANK(F138,$F$2:$F$350,0)</f>
        <v>81</v>
      </c>
      <c r="W138" s="12" t="n">
        <v>177.1</v>
      </c>
      <c r="X138" s="10" t="n">
        <v>90</v>
      </c>
      <c r="Y138" s="3" t="s">
        <v>58</v>
      </c>
      <c r="Z138" s="3" t="s">
        <v>247</v>
      </c>
      <c r="AA138" s="13" t="s">
        <v>59</v>
      </c>
      <c r="AB138" s="11" t="n">
        <v>14.25</v>
      </c>
    </row>
    <row r="139" customFormat="false" ht="16.4" hidden="false" customHeight="false" outlineLevel="0" collapsed="false">
      <c r="A139" s="3" t="n">
        <v>138</v>
      </c>
      <c r="B139" s="3" t="n">
        <v>8</v>
      </c>
      <c r="C139" s="3" t="s">
        <v>248</v>
      </c>
      <c r="D139" s="10" t="n">
        <v>32960</v>
      </c>
      <c r="E139" s="10" t="n">
        <f aca="false">ROUND(D139*INDEX(مناطق!$AF$2:$AF$23,B139),0)</f>
        <v>29467</v>
      </c>
      <c r="F139" s="11" t="n">
        <f aca="false">ROUND(100*(راهنما!$B$4*(H139-MIN($H$2:$H$350))/(MAX($H$2:$H$350)-MIN($H$2:$H$350))+راهنما!$B$5*(N139-MIN($N$2:$N$350))/(MAX($N$2:$N$350)-MIN($N$2:$N$350))+راهنما!$B$6*(J139-MIN($J$2:$J$350))/(MAX($J$2:$J$350)-MIN($J$2:$J$350))+راهنما!$B$7*(MAX($I$2:$I$350)-I139)/(MAX($I$2:$I$350)-MIN($I$2:$I$350)))/راهنما!$B$8,1)</f>
        <v>59.7</v>
      </c>
      <c r="G139" s="3" t="str">
        <f aca="false">IF(V139&lt;=ROUND(349*0.2,0),"بسیار بالا",IF(V139&lt;=ROUND(349*0.4,0),"بالا",IF(V139&lt;=ROUND(349*0.6,0),"متوسط",IF(V139&lt;=ROUND(349*0.8,0),"پایین","بسیار پایین"))))</f>
        <v>بالا</v>
      </c>
      <c r="H139" s="11" t="n">
        <f aca="false">(100-I139)*(100-L139)/100</f>
        <v>71.57796</v>
      </c>
      <c r="I139" s="11" t="n">
        <v>12.4</v>
      </c>
      <c r="J139" s="11" t="n">
        <v>33.15</v>
      </c>
      <c r="K139" s="11" t="n">
        <f aca="false">J139/(1-I139/100)</f>
        <v>37.8424657534247</v>
      </c>
      <c r="L139" s="11" t="n">
        <v>18.29</v>
      </c>
      <c r="M139" s="11" t="n">
        <v>34.2</v>
      </c>
      <c r="N139" s="11" t="n">
        <v>46.25</v>
      </c>
      <c r="O139" s="11" t="n">
        <v>3.36</v>
      </c>
      <c r="P139" s="10" t="n">
        <f aca="false">ROUND(E139*J139/100,0)</f>
        <v>9768</v>
      </c>
      <c r="Q139" s="10" t="n">
        <f aca="false">ROUND(P139*I139/(100-I139),0)</f>
        <v>1383</v>
      </c>
      <c r="R139" s="10" t="n">
        <f aca="false">ROUND(P139*(100-L139)/100,0)</f>
        <v>7981</v>
      </c>
      <c r="S139" s="10" t="n">
        <f aca="false">ROUND(P139*M139/100,0)</f>
        <v>3341</v>
      </c>
      <c r="T139" s="11" t="n">
        <v>70.96</v>
      </c>
      <c r="U139" s="11" t="n">
        <v>72.19</v>
      </c>
      <c r="V139" s="3" t="n">
        <f aca="false">RANK(F139,$F$2:$F$350,0)</f>
        <v>87</v>
      </c>
      <c r="W139" s="12" t="n">
        <v>311.7</v>
      </c>
      <c r="X139" s="10" t="n">
        <v>92</v>
      </c>
      <c r="Y139" s="3" t="s">
        <v>58</v>
      </c>
      <c r="Z139" s="3" t="s">
        <v>248</v>
      </c>
      <c r="AA139" s="13" t="s">
        <v>59</v>
      </c>
      <c r="AB139" s="11" t="n">
        <v>24.18</v>
      </c>
    </row>
    <row r="140" customFormat="false" ht="16.4" hidden="false" customHeight="false" outlineLevel="0" collapsed="false">
      <c r="A140" s="3" t="n">
        <v>139</v>
      </c>
      <c r="B140" s="3" t="n">
        <v>8</v>
      </c>
      <c r="C140" s="3" t="s">
        <v>249</v>
      </c>
      <c r="D140" s="10" t="n">
        <v>36865</v>
      </c>
      <c r="E140" s="10" t="n">
        <f aca="false">ROUND(D140*INDEX(مناطق!$AF$2:$AF$23,B140),0)</f>
        <v>32958</v>
      </c>
      <c r="F140" s="11" t="n">
        <f aca="false">ROUND(100*(راهنما!$B$4*(H140-MIN($H$2:$H$350))/(MAX($H$2:$H$350)-MIN($H$2:$H$350))+راهنما!$B$5*(N140-MIN($N$2:$N$350))/(MAX($N$2:$N$350)-MIN($N$2:$N$350))+راهنما!$B$6*(J140-MIN($J$2:$J$350))/(MAX($J$2:$J$350)-MIN($J$2:$J$350))+راهنما!$B$7*(MAX($I$2:$I$350)-I140)/(MAX($I$2:$I$350)-MIN($I$2:$I$350)))/راهنما!$B$8,1)</f>
        <v>58.8</v>
      </c>
      <c r="G140" s="3" t="str">
        <f aca="false">IF(V140&lt;=ROUND(349*0.2,0),"بسیار بالا",IF(V140&lt;=ROUND(349*0.4,0),"بالا",IF(V140&lt;=ROUND(349*0.6,0),"متوسط",IF(V140&lt;=ROUND(349*0.8,0),"پایین","بسیار پایین"))))</f>
        <v>بالا</v>
      </c>
      <c r="H140" s="11" t="n">
        <f aca="false">(100-I140)*(100-L140)/100</f>
        <v>71.36772</v>
      </c>
      <c r="I140" s="11" t="n">
        <v>12.4</v>
      </c>
      <c r="J140" s="11" t="n">
        <v>33.2</v>
      </c>
      <c r="K140" s="11" t="n">
        <f aca="false">J140/(1-I140/100)</f>
        <v>37.8995433789954</v>
      </c>
      <c r="L140" s="11" t="n">
        <v>18.53</v>
      </c>
      <c r="M140" s="11" t="n">
        <v>34.2</v>
      </c>
      <c r="N140" s="11" t="n">
        <v>44.87</v>
      </c>
      <c r="O140" s="11" t="n">
        <v>3.42</v>
      </c>
      <c r="P140" s="10" t="n">
        <f aca="false">ROUND(E140*J140/100,0)</f>
        <v>10942</v>
      </c>
      <c r="Q140" s="10" t="n">
        <f aca="false">ROUND(P140*I140/(100-I140),0)</f>
        <v>1549</v>
      </c>
      <c r="R140" s="10" t="n">
        <f aca="false">ROUND(P140*(100-L140)/100,0)</f>
        <v>8914</v>
      </c>
      <c r="S140" s="10" t="n">
        <f aca="false">ROUND(P140*M140/100,0)</f>
        <v>3742</v>
      </c>
      <c r="T140" s="11" t="n">
        <v>70.84</v>
      </c>
      <c r="U140" s="11" t="n">
        <v>71.9</v>
      </c>
      <c r="V140" s="3" t="n">
        <f aca="false">RANK(F140,$F$2:$F$350,0)</f>
        <v>97</v>
      </c>
      <c r="W140" s="12" t="n">
        <v>291.2</v>
      </c>
      <c r="X140" s="10" t="n">
        <v>91</v>
      </c>
      <c r="Y140" s="3" t="s">
        <v>58</v>
      </c>
      <c r="Z140" s="3" t="s">
        <v>249</v>
      </c>
      <c r="AA140" s="13" t="s">
        <v>59</v>
      </c>
      <c r="AB140" s="11" t="n">
        <v>23.23</v>
      </c>
    </row>
    <row r="141" customFormat="false" ht="16.4" hidden="false" customHeight="false" outlineLevel="0" collapsed="false">
      <c r="A141" s="3" t="n">
        <v>140</v>
      </c>
      <c r="B141" s="3" t="n">
        <v>8</v>
      </c>
      <c r="C141" s="3" t="s">
        <v>152</v>
      </c>
      <c r="D141" s="10" t="n">
        <v>30372</v>
      </c>
      <c r="E141" s="10" t="n">
        <f aca="false">ROUND(D141*INDEX(مناطق!$AF$2:$AF$23,B141),0)</f>
        <v>27153</v>
      </c>
      <c r="F141" s="11" t="n">
        <f aca="false">ROUND(100*(راهنما!$B$4*(H141-MIN($H$2:$H$350))/(MAX($H$2:$H$350)-MIN($H$2:$H$350))+راهنما!$B$5*(N141-MIN($N$2:$N$350))/(MAX($N$2:$N$350)-MIN($N$2:$N$350))+راهنما!$B$6*(J141-MIN($J$2:$J$350))/(MAX($J$2:$J$350)-MIN($J$2:$J$350))+راهنما!$B$7*(MAX($I$2:$I$350)-I141)/(MAX($I$2:$I$350)-MIN($I$2:$I$350)))/راهنما!$B$8,1)</f>
        <v>57</v>
      </c>
      <c r="G141" s="3" t="str">
        <f aca="false">IF(V141&lt;=ROUND(349*0.2,0),"بسیار بالا",IF(V141&lt;=ROUND(349*0.4,0),"بالا",IF(V141&lt;=ROUND(349*0.6,0),"متوسط",IF(V141&lt;=ROUND(349*0.8,0),"پایین","بسیار پایین"))))</f>
        <v>بالا</v>
      </c>
      <c r="H141" s="11" t="n">
        <f aca="false">(100-I141)*(100-L141)/100</f>
        <v>70.956</v>
      </c>
      <c r="I141" s="11" t="n">
        <v>12.4</v>
      </c>
      <c r="J141" s="11" t="n">
        <v>33.29</v>
      </c>
      <c r="K141" s="11" t="n">
        <f aca="false">J141/(1-I141/100)</f>
        <v>38.0022831050228</v>
      </c>
      <c r="L141" s="11" t="n">
        <v>19</v>
      </c>
      <c r="M141" s="11" t="n">
        <v>34.2</v>
      </c>
      <c r="N141" s="11" t="n">
        <v>42.15</v>
      </c>
      <c r="O141" s="11" t="n">
        <v>3.56</v>
      </c>
      <c r="P141" s="10" t="n">
        <f aca="false">ROUND(E141*J141/100,0)</f>
        <v>9039</v>
      </c>
      <c r="Q141" s="10" t="n">
        <f aca="false">ROUND(P141*I141/(100-I141),0)</f>
        <v>1279</v>
      </c>
      <c r="R141" s="10" t="n">
        <f aca="false">ROUND(P141*(100-L141)/100,0)</f>
        <v>7322</v>
      </c>
      <c r="S141" s="10" t="n">
        <f aca="false">ROUND(P141*M141/100,0)</f>
        <v>3091</v>
      </c>
      <c r="T141" s="11" t="n">
        <v>70.59</v>
      </c>
      <c r="U141" s="11" t="n">
        <v>71.32</v>
      </c>
      <c r="V141" s="3" t="n">
        <f aca="false">RANK(F141,$F$2:$F$350,0)</f>
        <v>112</v>
      </c>
      <c r="W141" s="12" t="n">
        <v>273.8</v>
      </c>
      <c r="X141" s="10" t="n">
        <v>92</v>
      </c>
      <c r="Y141" s="3" t="s">
        <v>58</v>
      </c>
      <c r="Z141" s="3" t="s">
        <v>152</v>
      </c>
      <c r="AA141" s="13" t="s">
        <v>59</v>
      </c>
      <c r="AB141" s="11" t="n">
        <v>21.42</v>
      </c>
    </row>
    <row r="142" customFormat="false" ht="16.4" hidden="false" customHeight="false" outlineLevel="0" collapsed="false">
      <c r="A142" s="3" t="n">
        <v>141</v>
      </c>
      <c r="B142" s="3" t="n">
        <v>8</v>
      </c>
      <c r="C142" s="3" t="s">
        <v>250</v>
      </c>
      <c r="D142" s="10" t="n">
        <v>40134</v>
      </c>
      <c r="E142" s="10" t="n">
        <f aca="false">ROUND(D142*INDEX(مناطق!$AF$2:$AF$23,B142),0)</f>
        <v>35880</v>
      </c>
      <c r="F142" s="11" t="n">
        <f aca="false">ROUND(100*(راهنما!$B$4*(H142-MIN($H$2:$H$350))/(MAX($H$2:$H$350)-MIN($H$2:$H$350))+راهنما!$B$5*(N142-MIN($N$2:$N$350))/(MAX($N$2:$N$350)-MIN($N$2:$N$350))+راهنما!$B$6*(J142-MIN($J$2:$J$350))/(MAX($J$2:$J$350)-MIN($J$2:$J$350))+راهنما!$B$7*(MAX($I$2:$I$350)-I142)/(MAX($I$2:$I$350)-MIN($I$2:$I$350)))/راهنما!$B$8,1)</f>
        <v>56.2</v>
      </c>
      <c r="G142" s="3" t="str">
        <f aca="false">IF(V142&lt;=ROUND(349*0.2,0),"بسیار بالا",IF(V142&lt;=ROUND(349*0.4,0),"بالا",IF(V142&lt;=ROUND(349*0.6,0),"متوسط",IF(V142&lt;=ROUND(349*0.8,0),"پایین","بسیار پایین"))))</f>
        <v>بالا</v>
      </c>
      <c r="H142" s="11" t="n">
        <f aca="false">(100-I142)*(100-L142)/100</f>
        <v>70.76328</v>
      </c>
      <c r="I142" s="11" t="n">
        <v>12.4</v>
      </c>
      <c r="J142" s="11" t="n">
        <v>33.34</v>
      </c>
      <c r="K142" s="11" t="n">
        <f aca="false">J142/(1-I142/100)</f>
        <v>38.0593607305936</v>
      </c>
      <c r="L142" s="11" t="n">
        <v>19.22</v>
      </c>
      <c r="M142" s="11" t="n">
        <v>34.2</v>
      </c>
      <c r="N142" s="11" t="n">
        <v>40.93</v>
      </c>
      <c r="O142" s="11" t="n">
        <v>3.62</v>
      </c>
      <c r="P142" s="10" t="n">
        <f aca="false">ROUND(E142*J142/100,0)</f>
        <v>11962</v>
      </c>
      <c r="Q142" s="10" t="n">
        <f aca="false">ROUND(P142*I142/(100-I142),0)</f>
        <v>1693</v>
      </c>
      <c r="R142" s="10" t="n">
        <f aca="false">ROUND(P142*(100-L142)/100,0)</f>
        <v>9663</v>
      </c>
      <c r="S142" s="10" t="n">
        <f aca="false">ROUND(P142*M142/100,0)</f>
        <v>4091</v>
      </c>
      <c r="T142" s="11" t="n">
        <v>70.48</v>
      </c>
      <c r="U142" s="11" t="n">
        <v>71.05</v>
      </c>
      <c r="V142" s="3" t="n">
        <f aca="false">RANK(F142,$F$2:$F$350,0)</f>
        <v>117</v>
      </c>
      <c r="W142" s="12" t="n">
        <v>267.3</v>
      </c>
      <c r="X142" s="10" t="n">
        <v>89</v>
      </c>
      <c r="Y142" s="3" t="s">
        <v>58</v>
      </c>
      <c r="Z142" s="3" t="s">
        <v>250</v>
      </c>
      <c r="AA142" s="13" t="s">
        <v>59</v>
      </c>
      <c r="AB142" s="11" t="n">
        <v>20.63</v>
      </c>
    </row>
    <row r="143" customFormat="false" ht="16.4" hidden="false" customHeight="false" outlineLevel="0" collapsed="false">
      <c r="A143" s="3" t="n">
        <v>142</v>
      </c>
      <c r="B143" s="3" t="n">
        <v>8</v>
      </c>
      <c r="C143" s="3" t="s">
        <v>251</v>
      </c>
      <c r="D143" s="10" t="n">
        <v>30387</v>
      </c>
      <c r="E143" s="10" t="n">
        <f aca="false">ROUND(D143*INDEX(مناطق!$AF$2:$AF$23,B143),0)</f>
        <v>27166</v>
      </c>
      <c r="F143" s="11" t="n">
        <f aca="false">ROUND(100*(راهنما!$B$4*(H143-MIN($H$2:$H$350))/(MAX($H$2:$H$350)-MIN($H$2:$H$350))+راهنما!$B$5*(N143-MIN($N$2:$N$350))/(MAX($N$2:$N$350)-MIN($N$2:$N$350))+راهنما!$B$6*(J143-MIN($J$2:$J$350))/(MAX($J$2:$J$350)-MIN($J$2:$J$350))+راهنما!$B$7*(MAX($I$2:$I$350)-I143)/(MAX($I$2:$I$350)-MIN($I$2:$I$350)))/راهنما!$B$8,1)</f>
        <v>55.5</v>
      </c>
      <c r="G143" s="3" t="str">
        <f aca="false">IF(V143&lt;=ROUND(349*0.2,0),"بسیار بالا",IF(V143&lt;=ROUND(349*0.4,0),"بالا",IF(V143&lt;=ROUND(349*0.6,0),"متوسط",IF(V143&lt;=ROUND(349*0.8,0),"پایین","بسیار پایین"))))</f>
        <v>بالا</v>
      </c>
      <c r="H143" s="11" t="n">
        <f aca="false">(100-I143)*(100-L143)/100</f>
        <v>70.57932</v>
      </c>
      <c r="I143" s="11" t="n">
        <v>12.4</v>
      </c>
      <c r="J143" s="11" t="n">
        <v>33.38</v>
      </c>
      <c r="K143" s="11" t="n">
        <f aca="false">J143/(1-I143/100)</f>
        <v>38.1050228310502</v>
      </c>
      <c r="L143" s="11" t="n">
        <v>19.43</v>
      </c>
      <c r="M143" s="11" t="n">
        <v>34.2</v>
      </c>
      <c r="N143" s="11" t="n">
        <v>39.8</v>
      </c>
      <c r="O143" s="11" t="n">
        <v>3.68</v>
      </c>
      <c r="P143" s="10" t="n">
        <f aca="false">ROUND(E143*J143/100,0)</f>
        <v>9068</v>
      </c>
      <c r="Q143" s="10" t="n">
        <f aca="false">ROUND(P143*I143/(100-I143),0)</f>
        <v>1284</v>
      </c>
      <c r="R143" s="10" t="n">
        <f aca="false">ROUND(P143*(100-L143)/100,0)</f>
        <v>7306</v>
      </c>
      <c r="S143" s="10" t="n">
        <f aca="false">ROUND(P143*M143/100,0)</f>
        <v>3101</v>
      </c>
      <c r="T143" s="11" t="n">
        <v>70.37</v>
      </c>
      <c r="U143" s="11" t="n">
        <v>70.8</v>
      </c>
      <c r="V143" s="3" t="n">
        <f aca="false">RANK(F143,$F$2:$F$350,0)</f>
        <v>126</v>
      </c>
      <c r="W143" s="12" t="n">
        <v>245.4</v>
      </c>
      <c r="X143" s="10" t="n">
        <v>90</v>
      </c>
      <c r="Y143" s="3" t="s">
        <v>58</v>
      </c>
      <c r="Z143" s="3" t="s">
        <v>251</v>
      </c>
      <c r="AA143" s="13" t="s">
        <v>59</v>
      </c>
      <c r="AB143" s="11" t="n">
        <v>19.91</v>
      </c>
    </row>
    <row r="144" customFormat="false" ht="16.4" hidden="false" customHeight="false" outlineLevel="0" collapsed="false">
      <c r="A144" s="3" t="n">
        <v>143</v>
      </c>
      <c r="B144" s="3" t="n">
        <v>8</v>
      </c>
      <c r="C144" s="3" t="s">
        <v>252</v>
      </c>
      <c r="D144" s="10" t="n">
        <v>56763</v>
      </c>
      <c r="E144" s="10" t="n">
        <f aca="false">ROUND(D144*INDEX(مناطق!$AF$2:$AF$23,B144),0)</f>
        <v>50747</v>
      </c>
      <c r="F144" s="11" t="n">
        <f aca="false">ROUND(100*(راهنما!$B$4*(H144-MIN($H$2:$H$350))/(MAX($H$2:$H$350)-MIN($H$2:$H$350))+راهنما!$B$5*(N144-MIN($N$2:$N$350))/(MAX($N$2:$N$350)-MIN($N$2:$N$350))+راهنما!$B$6*(J144-MIN($J$2:$J$350))/(MAX($J$2:$J$350)-MIN($J$2:$J$350))+راهنما!$B$7*(MAX($I$2:$I$350)-I144)/(MAX($I$2:$I$350)-MIN($I$2:$I$350)))/راهنما!$B$8,1)</f>
        <v>54.5</v>
      </c>
      <c r="G144" s="3" t="str">
        <f aca="false">IF(V144&lt;=ROUND(349*0.2,0),"بسیار بالا",IF(V144&lt;=ROUND(349*0.4,0),"بالا",IF(V144&lt;=ROUND(349*0.6,0),"متوسط",IF(V144&lt;=ROUND(349*0.8,0),"پایین","بسیار پایین"))))</f>
        <v>بالا</v>
      </c>
      <c r="H144" s="11" t="n">
        <f aca="false">(100-I144)*(100-L144)/100</f>
        <v>70.35156</v>
      </c>
      <c r="I144" s="11" t="n">
        <v>12.4</v>
      </c>
      <c r="J144" s="11" t="n">
        <v>33.43</v>
      </c>
      <c r="K144" s="11" t="n">
        <f aca="false">J144/(1-I144/100)</f>
        <v>38.162100456621</v>
      </c>
      <c r="L144" s="11" t="n">
        <v>19.69</v>
      </c>
      <c r="M144" s="11" t="n">
        <v>34.2</v>
      </c>
      <c r="N144" s="11" t="n">
        <v>38.44</v>
      </c>
      <c r="O144" s="11" t="n">
        <v>3.75</v>
      </c>
      <c r="P144" s="10" t="n">
        <f aca="false">ROUND(E144*J144/100,0)</f>
        <v>16965</v>
      </c>
      <c r="Q144" s="10" t="n">
        <f aca="false">ROUND(P144*I144/(100-I144),0)</f>
        <v>2401</v>
      </c>
      <c r="R144" s="10" t="n">
        <f aca="false">ROUND(P144*(100-L144)/100,0)</f>
        <v>13625</v>
      </c>
      <c r="S144" s="10" t="n">
        <f aca="false">ROUND(P144*M144/100,0)</f>
        <v>5802</v>
      </c>
      <c r="T144" s="11" t="n">
        <v>70.24</v>
      </c>
      <c r="U144" s="11" t="n">
        <v>70.49</v>
      </c>
      <c r="V144" s="3" t="n">
        <f aca="false">RANK(F144,$F$2:$F$350,0)</f>
        <v>134</v>
      </c>
      <c r="W144" s="12" t="n">
        <v>292.9</v>
      </c>
      <c r="X144" s="10" t="n">
        <v>174</v>
      </c>
      <c r="Y144" s="3" t="s">
        <v>67</v>
      </c>
      <c r="Z144" s="3" t="s">
        <v>253</v>
      </c>
      <c r="AA144" s="13" t="s">
        <v>59</v>
      </c>
      <c r="AB144" s="11" t="n">
        <v>19.06</v>
      </c>
    </row>
    <row r="145" customFormat="false" ht="16.4" hidden="false" customHeight="false" outlineLevel="0" collapsed="false">
      <c r="A145" s="3" t="n">
        <v>144</v>
      </c>
      <c r="B145" s="3" t="n">
        <v>8</v>
      </c>
      <c r="C145" s="3" t="s">
        <v>254</v>
      </c>
      <c r="D145" s="10" t="n">
        <v>18836</v>
      </c>
      <c r="E145" s="10" t="n">
        <f aca="false">ROUND(D145*INDEX(مناطق!$AF$2:$AF$23,B145),0)</f>
        <v>16840</v>
      </c>
      <c r="F145" s="11" t="n">
        <f aca="false">ROUND(100*(راهنما!$B$4*(H145-MIN($H$2:$H$350))/(MAX($H$2:$H$350)-MIN($H$2:$H$350))+راهنما!$B$5*(N145-MIN($N$2:$N$350))/(MAX($N$2:$N$350)-MIN($N$2:$N$350))+راهنما!$B$6*(J145-MIN($J$2:$J$350))/(MAX($J$2:$J$350)-MIN($J$2:$J$350))+راهنما!$B$7*(MAX($I$2:$I$350)-I145)/(MAX($I$2:$I$350)-MIN($I$2:$I$350)))/راهنما!$B$8,1)</f>
        <v>52.9</v>
      </c>
      <c r="G145" s="3" t="str">
        <f aca="false">IF(V145&lt;=ROUND(349*0.2,0),"بسیار بالا",IF(V145&lt;=ROUND(349*0.4,0),"بالا",IF(V145&lt;=ROUND(349*0.6,0),"متوسط",IF(V145&lt;=ROUND(349*0.8,0),"پایین","بسیار پایین"))))</f>
        <v>متوسط</v>
      </c>
      <c r="H145" s="11" t="n">
        <f aca="false">(100-I145)*(100-L145)/100</f>
        <v>69.9486</v>
      </c>
      <c r="I145" s="11" t="n">
        <v>12.4</v>
      </c>
      <c r="J145" s="11" t="n">
        <v>33.51</v>
      </c>
      <c r="K145" s="11" t="n">
        <f aca="false">J145/(1-I145/100)</f>
        <v>38.2534246575343</v>
      </c>
      <c r="L145" s="11" t="n">
        <v>20.15</v>
      </c>
      <c r="M145" s="11" t="n">
        <v>34.2</v>
      </c>
      <c r="N145" s="11" t="n">
        <v>36.05</v>
      </c>
      <c r="O145" s="11" t="n">
        <v>3.88</v>
      </c>
      <c r="P145" s="10" t="n">
        <f aca="false">ROUND(E145*J145/100,0)</f>
        <v>5643</v>
      </c>
      <c r="Q145" s="10" t="n">
        <f aca="false">ROUND(P145*I145/(100-I145),0)</f>
        <v>799</v>
      </c>
      <c r="R145" s="10" t="n">
        <f aca="false">ROUND(P145*(100-L145)/100,0)</f>
        <v>4506</v>
      </c>
      <c r="S145" s="10" t="n">
        <f aca="false">ROUND(P145*M145/100,0)</f>
        <v>1930</v>
      </c>
      <c r="T145" s="11" t="n">
        <v>69.91</v>
      </c>
      <c r="U145" s="11" t="n">
        <v>70</v>
      </c>
      <c r="V145" s="3" t="n">
        <f aca="false">RANK(F145,$F$2:$F$350,0)</f>
        <v>146</v>
      </c>
      <c r="W145" s="12" t="n">
        <v>242.5</v>
      </c>
      <c r="X145" s="10" t="n">
        <v>86</v>
      </c>
      <c r="Y145" s="3" t="s">
        <v>58</v>
      </c>
      <c r="Z145" s="3" t="s">
        <v>254</v>
      </c>
      <c r="AA145" s="13" t="s">
        <v>59</v>
      </c>
      <c r="AB145" s="11" t="n">
        <v>17.62</v>
      </c>
    </row>
    <row r="146" customFormat="false" ht="16.4" hidden="false" customHeight="false" outlineLevel="0" collapsed="false">
      <c r="A146" s="3" t="n">
        <v>145</v>
      </c>
      <c r="B146" s="3" t="n">
        <v>8</v>
      </c>
      <c r="C146" s="3" t="s">
        <v>255</v>
      </c>
      <c r="D146" s="10" t="n">
        <v>53078</v>
      </c>
      <c r="E146" s="10" t="n">
        <f aca="false">ROUND(D146*INDEX(مناطق!$AF$2:$AF$23,B146),0)</f>
        <v>47452</v>
      </c>
      <c r="F146" s="11" t="n">
        <f aca="false">ROUND(100*(راهنما!$B$4*(H146-MIN($H$2:$H$350))/(MAX($H$2:$H$350)-MIN($H$2:$H$350))+راهنما!$B$5*(N146-MIN($N$2:$N$350))/(MAX($N$2:$N$350)-MIN($N$2:$N$350))+راهنما!$B$6*(J146-MIN($J$2:$J$350))/(MAX($J$2:$J$350)-MIN($J$2:$J$350))+راهنما!$B$7*(MAX($I$2:$I$350)-I146)/(MAX($I$2:$I$350)-MIN($I$2:$I$350)))/راهنما!$B$8,1)</f>
        <v>52.6</v>
      </c>
      <c r="G146" s="3" t="str">
        <f aca="false">IF(V146&lt;=ROUND(349*0.2,0),"بسیار بالا",IF(V146&lt;=ROUND(349*0.4,0),"بالا",IF(V146&lt;=ROUND(349*0.6,0),"متوسط",IF(V146&lt;=ROUND(349*0.8,0),"پایین","بسیار پایین"))))</f>
        <v>متوسط</v>
      </c>
      <c r="H146" s="11" t="n">
        <f aca="false">(100-I146)*(100-L146)/100</f>
        <v>69.89604</v>
      </c>
      <c r="I146" s="11" t="n">
        <v>12.4</v>
      </c>
      <c r="J146" s="11" t="n">
        <v>33.52</v>
      </c>
      <c r="K146" s="11" t="n">
        <f aca="false">J146/(1-I146/100)</f>
        <v>38.2648401826484</v>
      </c>
      <c r="L146" s="11" t="n">
        <v>20.21</v>
      </c>
      <c r="M146" s="11" t="n">
        <v>34.2</v>
      </c>
      <c r="N146" s="11" t="n">
        <v>35.73</v>
      </c>
      <c r="O146" s="11" t="n">
        <v>3.9</v>
      </c>
      <c r="P146" s="10" t="n">
        <f aca="false">ROUND(E146*J146/100,0)</f>
        <v>15906</v>
      </c>
      <c r="Q146" s="10" t="n">
        <f aca="false">ROUND(P146*I146/(100-I146),0)</f>
        <v>2252</v>
      </c>
      <c r="R146" s="10" t="n">
        <f aca="false">ROUND(P146*(100-L146)/100,0)</f>
        <v>12691</v>
      </c>
      <c r="S146" s="10" t="n">
        <f aca="false">ROUND(P146*M146/100,0)</f>
        <v>5440</v>
      </c>
      <c r="T146" s="11" t="n">
        <v>69.84</v>
      </c>
      <c r="U146" s="11" t="n">
        <v>69.97</v>
      </c>
      <c r="V146" s="3" t="n">
        <f aca="false">RANK(F146,$F$2:$F$350,0)</f>
        <v>148</v>
      </c>
      <c r="W146" s="12" t="n">
        <v>231.9</v>
      </c>
      <c r="X146" s="10" t="n">
        <v>91</v>
      </c>
      <c r="Y146" s="3" t="s">
        <v>58</v>
      </c>
      <c r="Z146" s="3" t="s">
        <v>255</v>
      </c>
      <c r="AA146" s="13" t="s">
        <v>59</v>
      </c>
      <c r="AB146" s="11" t="n">
        <v>17.42</v>
      </c>
    </row>
    <row r="147" customFormat="false" ht="16.4" hidden="false" customHeight="false" outlineLevel="0" collapsed="false">
      <c r="A147" s="3" t="n">
        <v>146</v>
      </c>
      <c r="B147" s="3" t="n">
        <v>8</v>
      </c>
      <c r="C147" s="3" t="s">
        <v>256</v>
      </c>
      <c r="D147" s="10" t="n">
        <v>23983</v>
      </c>
      <c r="E147" s="10" t="n">
        <f aca="false">ROUND(D147*INDEX(مناطق!$AF$2:$AF$23,B147),0)</f>
        <v>21441</v>
      </c>
      <c r="F147" s="11" t="n">
        <f aca="false">ROUND(100*(راهنما!$B$4*(H147-MIN($H$2:$H$350))/(MAX($H$2:$H$350)-MIN($H$2:$H$350))+راهنما!$B$5*(N147-MIN($N$2:$N$350))/(MAX($N$2:$N$350)-MIN($N$2:$N$350))+راهنما!$B$6*(J147-MIN($J$2:$J$350))/(MAX($J$2:$J$350)-MIN($J$2:$J$350))+راهنما!$B$7*(MAX($I$2:$I$350)-I147)/(MAX($I$2:$I$350)-MIN($I$2:$I$350)))/راهنما!$B$8,1)</f>
        <v>49.5</v>
      </c>
      <c r="G147" s="3" t="str">
        <f aca="false">IF(V147&lt;=ROUND(349*0.2,0),"بسیار بالا",IF(V147&lt;=ROUND(349*0.4,0),"بالا",IF(V147&lt;=ROUND(349*0.6,0),"متوسط",IF(V147&lt;=ROUND(349*0.8,0),"پایین","بسیار پایین"))))</f>
        <v>متوسط</v>
      </c>
      <c r="H147" s="11" t="n">
        <f aca="false">(100-I147)*(100-L147)/100</f>
        <v>69.09012</v>
      </c>
      <c r="I147" s="11" t="n">
        <v>12.4</v>
      </c>
      <c r="J147" s="11" t="n">
        <v>33.69</v>
      </c>
      <c r="K147" s="11" t="n">
        <f aca="false">J147/(1-I147/100)</f>
        <v>38.458904109589</v>
      </c>
      <c r="L147" s="11" t="n">
        <v>21.13</v>
      </c>
      <c r="M147" s="11" t="n">
        <v>34.2</v>
      </c>
      <c r="N147" s="11" t="n">
        <v>31.32</v>
      </c>
      <c r="O147" s="11" t="n">
        <v>4.17</v>
      </c>
      <c r="P147" s="10" t="n">
        <f aca="false">ROUND(E147*J147/100,0)</f>
        <v>7223</v>
      </c>
      <c r="Q147" s="10" t="n">
        <f aca="false">ROUND(P147*I147/(100-I147),0)</f>
        <v>1022</v>
      </c>
      <c r="R147" s="10" t="n">
        <f aca="false">ROUND(P147*(100-L147)/100,0)</f>
        <v>5697</v>
      </c>
      <c r="S147" s="10" t="n">
        <f aca="false">ROUND(P147*M147/100,0)</f>
        <v>2470</v>
      </c>
      <c r="T147" s="11" t="n">
        <v>68.68</v>
      </c>
      <c r="U147" s="11" t="n">
        <v>69.51</v>
      </c>
      <c r="V147" s="3" t="n">
        <f aca="false">RANK(F147,$F$2:$F$350,0)</f>
        <v>181</v>
      </c>
      <c r="W147" s="12" t="n">
        <v>194.5</v>
      </c>
      <c r="X147" s="10" t="n">
        <v>91</v>
      </c>
      <c r="Y147" s="3" t="s">
        <v>58</v>
      </c>
      <c r="Z147" s="3" t="s">
        <v>256</v>
      </c>
      <c r="AA147" s="13" t="s">
        <v>59</v>
      </c>
      <c r="AB147" s="11" t="n">
        <v>14.89</v>
      </c>
    </row>
    <row r="148" customFormat="false" ht="16.4" hidden="false" customHeight="false" outlineLevel="0" collapsed="false">
      <c r="A148" s="3" t="n">
        <v>147</v>
      </c>
      <c r="B148" s="3" t="n">
        <v>8</v>
      </c>
      <c r="C148" s="3" t="s">
        <v>257</v>
      </c>
      <c r="D148" s="10" t="n">
        <v>26773</v>
      </c>
      <c r="E148" s="10" t="n">
        <f aca="false">ROUND(D148*INDEX(مناطق!$AF$2:$AF$23,B148),0)</f>
        <v>23935</v>
      </c>
      <c r="F148" s="11" t="n">
        <f aca="false">ROUND(100*(راهنما!$B$4*(H148-MIN($H$2:$H$350))/(MAX($H$2:$H$350)-MIN($H$2:$H$350))+راهنما!$B$5*(N148-MIN($N$2:$N$350))/(MAX($N$2:$N$350)-MIN($N$2:$N$350))+راهنما!$B$6*(J148-MIN($J$2:$J$350))/(MAX($J$2:$J$350)-MIN($J$2:$J$350))+راهنما!$B$7*(MAX($I$2:$I$350)-I148)/(MAX($I$2:$I$350)-MIN($I$2:$I$350)))/راهنما!$B$8,1)</f>
        <v>48.6</v>
      </c>
      <c r="G148" s="3" t="str">
        <f aca="false">IF(V148&lt;=ROUND(349*0.2,0),"بسیار بالا",IF(V148&lt;=ROUND(349*0.4,0),"بالا",IF(V148&lt;=ROUND(349*0.6,0),"متوسط",IF(V148&lt;=ROUND(349*0.8,0),"پایین","بسیار پایین"))))</f>
        <v>متوسط</v>
      </c>
      <c r="H148" s="11" t="n">
        <f aca="false">(100-I148)*(100-L148)/100</f>
        <v>68.83608</v>
      </c>
      <c r="I148" s="11" t="n">
        <v>12.4</v>
      </c>
      <c r="J148" s="11" t="n">
        <v>33.75</v>
      </c>
      <c r="K148" s="11" t="n">
        <f aca="false">J148/(1-I148/100)</f>
        <v>38.527397260274</v>
      </c>
      <c r="L148" s="11" t="n">
        <v>21.42</v>
      </c>
      <c r="M148" s="11" t="n">
        <v>34.2</v>
      </c>
      <c r="N148" s="11" t="n">
        <v>29.99</v>
      </c>
      <c r="O148" s="11" t="n">
        <v>4.26</v>
      </c>
      <c r="P148" s="10" t="n">
        <f aca="false">ROUND(E148*J148/100,0)</f>
        <v>8078</v>
      </c>
      <c r="Q148" s="10" t="n">
        <f aca="false">ROUND(P148*I148/(100-I148),0)</f>
        <v>1143</v>
      </c>
      <c r="R148" s="10" t="n">
        <f aca="false">ROUND(P148*(100-L148)/100,0)</f>
        <v>6348</v>
      </c>
      <c r="S148" s="10" t="n">
        <f aca="false">ROUND(P148*M148/100,0)</f>
        <v>2763</v>
      </c>
      <c r="T148" s="11" t="n">
        <v>68.31</v>
      </c>
      <c r="U148" s="11" t="n">
        <v>69.36</v>
      </c>
      <c r="V148" s="3" t="n">
        <f aca="false">RANK(F148,$F$2:$F$350,0)</f>
        <v>184</v>
      </c>
      <c r="W148" s="12" t="n">
        <v>195.2</v>
      </c>
      <c r="X148" s="10" t="n">
        <v>86</v>
      </c>
      <c r="Y148" s="3" t="s">
        <v>67</v>
      </c>
      <c r="Z148" s="3" t="s">
        <v>258</v>
      </c>
      <c r="AA148" s="13" t="s">
        <v>59</v>
      </c>
      <c r="AB148" s="11" t="n">
        <v>14.16</v>
      </c>
    </row>
    <row r="149" customFormat="false" ht="16.4" hidden="false" customHeight="false" outlineLevel="0" collapsed="false">
      <c r="A149" s="3" t="n">
        <v>148</v>
      </c>
      <c r="B149" s="3" t="n">
        <v>8</v>
      </c>
      <c r="C149" s="3" t="s">
        <v>259</v>
      </c>
      <c r="D149" s="10" t="n">
        <v>17296</v>
      </c>
      <c r="E149" s="10" t="n">
        <f aca="false">ROUND(D149*INDEX(مناطق!$AF$2:$AF$23,B149),0)</f>
        <v>15463</v>
      </c>
      <c r="F149" s="11" t="n">
        <f aca="false">ROUND(100*(راهنما!$B$4*(H149-MIN($H$2:$H$350))/(MAX($H$2:$H$350)-MIN($H$2:$H$350))+راهنما!$B$5*(N149-MIN($N$2:$N$350))/(MAX($N$2:$N$350)-MIN($N$2:$N$350))+راهنما!$B$6*(J149-MIN($J$2:$J$350))/(MAX($J$2:$J$350)-MIN($J$2:$J$350))+راهنما!$B$7*(MAX($I$2:$I$350)-I149)/(MAX($I$2:$I$350)-MIN($I$2:$I$350)))/راهنما!$B$8,1)</f>
        <v>48.6</v>
      </c>
      <c r="G149" s="3" t="str">
        <f aca="false">IF(V149&lt;=ROUND(349*0.2,0),"بسیار بالا",IF(V149&lt;=ROUND(349*0.4,0),"بالا",IF(V149&lt;=ROUND(349*0.6,0),"متوسط",IF(V149&lt;=ROUND(349*0.8,0),"پایین","بسیار پایین"))))</f>
        <v>متوسط</v>
      </c>
      <c r="H149" s="11" t="n">
        <f aca="false">(100-I149)*(100-L149)/100</f>
        <v>68.83608</v>
      </c>
      <c r="I149" s="11" t="n">
        <v>12.4</v>
      </c>
      <c r="J149" s="11" t="n">
        <v>33.75</v>
      </c>
      <c r="K149" s="11" t="n">
        <f aca="false">J149/(1-I149/100)</f>
        <v>38.527397260274</v>
      </c>
      <c r="L149" s="11" t="n">
        <v>21.42</v>
      </c>
      <c r="M149" s="11" t="n">
        <v>34.2</v>
      </c>
      <c r="N149" s="11" t="n">
        <v>29.99</v>
      </c>
      <c r="O149" s="11" t="n">
        <v>4.26</v>
      </c>
      <c r="P149" s="10" t="n">
        <f aca="false">ROUND(E149*J149/100,0)</f>
        <v>5219</v>
      </c>
      <c r="Q149" s="10" t="n">
        <f aca="false">ROUND(P149*I149/(100-I149),0)</f>
        <v>739</v>
      </c>
      <c r="R149" s="10" t="n">
        <f aca="false">ROUND(P149*(100-L149)/100,0)</f>
        <v>4101</v>
      </c>
      <c r="S149" s="10" t="n">
        <f aca="false">ROUND(P149*M149/100,0)</f>
        <v>1785</v>
      </c>
      <c r="T149" s="11" t="n">
        <v>68.31</v>
      </c>
      <c r="U149" s="11" t="n">
        <v>69.36</v>
      </c>
      <c r="V149" s="3" t="n">
        <f aca="false">RANK(F149,$F$2:$F$350,0)</f>
        <v>184</v>
      </c>
      <c r="W149" s="12" t="n">
        <v>195.2</v>
      </c>
      <c r="X149" s="10" t="n">
        <v>86</v>
      </c>
      <c r="Y149" s="3" t="s">
        <v>67</v>
      </c>
      <c r="Z149" s="3" t="s">
        <v>258</v>
      </c>
      <c r="AA149" s="13" t="s">
        <v>59</v>
      </c>
      <c r="AB149" s="11" t="n">
        <v>14.16</v>
      </c>
    </row>
    <row r="150" customFormat="false" ht="16.4" hidden="false" customHeight="false" outlineLevel="0" collapsed="false">
      <c r="A150" s="3" t="n">
        <v>149</v>
      </c>
      <c r="B150" s="3" t="n">
        <v>8</v>
      </c>
      <c r="C150" s="3" t="s">
        <v>260</v>
      </c>
      <c r="D150" s="10" t="n">
        <v>22549</v>
      </c>
      <c r="E150" s="10" t="n">
        <f aca="false">ROUND(D150*INDEX(مناطق!$AF$2:$AF$23,B150),0)</f>
        <v>20159</v>
      </c>
      <c r="F150" s="11" t="n">
        <f aca="false">ROUND(100*(راهنما!$B$4*(H150-MIN($H$2:$H$350))/(MAX($H$2:$H$350)-MIN($H$2:$H$350))+راهنما!$B$5*(N150-MIN($N$2:$N$350))/(MAX($N$2:$N$350)-MIN($N$2:$N$350))+راهنما!$B$6*(J150-MIN($J$2:$J$350))/(MAX($J$2:$J$350)-MIN($J$2:$J$350))+راهنما!$B$7*(MAX($I$2:$I$350)-I150)/(MAX($I$2:$I$350)-MIN($I$2:$I$350)))/راهنما!$B$8,1)</f>
        <v>48.1</v>
      </c>
      <c r="G150" s="3" t="str">
        <f aca="false">IF(V150&lt;=ROUND(349*0.2,0),"بسیار بالا",IF(V150&lt;=ROUND(349*0.4,0),"بالا",IF(V150&lt;=ROUND(349*0.6,0),"متوسط",IF(V150&lt;=ROUND(349*0.8,0),"پایین","بسیار پایین"))))</f>
        <v>متوسط</v>
      </c>
      <c r="H150" s="11" t="n">
        <f aca="false">(100-I150)*(100-L150)/100</f>
        <v>68.71344</v>
      </c>
      <c r="I150" s="11" t="n">
        <v>12.4</v>
      </c>
      <c r="J150" s="11" t="n">
        <v>33.77</v>
      </c>
      <c r="K150" s="11" t="n">
        <f aca="false">J150/(1-I150/100)</f>
        <v>38.5502283105023</v>
      </c>
      <c r="L150" s="11" t="n">
        <v>21.56</v>
      </c>
      <c r="M150" s="11" t="n">
        <v>34.2</v>
      </c>
      <c r="N150" s="11" t="n">
        <v>29.41</v>
      </c>
      <c r="O150" s="11" t="n">
        <v>4.3</v>
      </c>
      <c r="P150" s="10" t="n">
        <f aca="false">ROUND(E150*J150/100,0)</f>
        <v>6808</v>
      </c>
      <c r="Q150" s="10" t="n">
        <f aca="false">ROUND(P150*I150/(100-I150),0)</f>
        <v>964</v>
      </c>
      <c r="R150" s="10" t="n">
        <f aca="false">ROUND(P150*(100-L150)/100,0)</f>
        <v>5340</v>
      </c>
      <c r="S150" s="10" t="n">
        <f aca="false">ROUND(P150*M150/100,0)</f>
        <v>2328</v>
      </c>
      <c r="T150" s="11" t="n">
        <v>68.14</v>
      </c>
      <c r="U150" s="11" t="n">
        <v>69.29</v>
      </c>
      <c r="V150" s="3" t="n">
        <f aca="false">RANK(F150,$F$2:$F$350,0)</f>
        <v>191</v>
      </c>
      <c r="W150" s="12" t="n">
        <v>188.1</v>
      </c>
      <c r="X150" s="10" t="n">
        <v>84</v>
      </c>
      <c r="Y150" s="3" t="s">
        <v>58</v>
      </c>
      <c r="Z150" s="3" t="s">
        <v>260</v>
      </c>
      <c r="AA150" s="13" t="s">
        <v>59</v>
      </c>
      <c r="AB150" s="11" t="n">
        <v>13.84</v>
      </c>
    </row>
    <row r="151" customFormat="false" ht="16.4" hidden="false" customHeight="false" outlineLevel="0" collapsed="false">
      <c r="A151" s="3" t="n">
        <v>150</v>
      </c>
      <c r="B151" s="3" t="n">
        <v>8</v>
      </c>
      <c r="C151" s="3" t="s">
        <v>261</v>
      </c>
      <c r="D151" s="10" t="n">
        <v>35048</v>
      </c>
      <c r="E151" s="10" t="n">
        <f aca="false">ROUND(D151*INDEX(مناطق!$AF$2:$AF$23,B151),0)</f>
        <v>31333</v>
      </c>
      <c r="F151" s="11" t="n">
        <f aca="false">ROUND(100*(راهنما!$B$4*(H151-MIN($H$2:$H$350))/(MAX($H$2:$H$350)-MIN($H$2:$H$350))+راهنما!$B$5*(N151-MIN($N$2:$N$350))/(MAX($N$2:$N$350)-MIN($N$2:$N$350))+راهنما!$B$6*(J151-MIN($J$2:$J$350))/(MAX($J$2:$J$350)-MIN($J$2:$J$350))+راهنما!$B$7*(MAX($I$2:$I$350)-I151)/(MAX($I$2:$I$350)-MIN($I$2:$I$350)))/راهنما!$B$8,1)</f>
        <v>46.8</v>
      </c>
      <c r="G151" s="3" t="str">
        <f aca="false">IF(V151&lt;=ROUND(349*0.2,0),"بسیار بالا",IF(V151&lt;=ROUND(349*0.4,0),"بالا",IF(V151&lt;=ROUND(349*0.6,0),"متوسط",IF(V151&lt;=ROUND(349*0.8,0),"پایین","بسیار پایین"))))</f>
        <v>متوسط</v>
      </c>
      <c r="H151" s="11" t="n">
        <f aca="false">(100-I151)*(100-L151)/100</f>
        <v>68.35428</v>
      </c>
      <c r="I151" s="11" t="n">
        <v>12.4</v>
      </c>
      <c r="J151" s="11" t="n">
        <v>33.84</v>
      </c>
      <c r="K151" s="11" t="n">
        <f aca="false">J151/(1-I151/100)</f>
        <v>38.6301369863014</v>
      </c>
      <c r="L151" s="11" t="n">
        <v>21.97</v>
      </c>
      <c r="M151" s="11" t="n">
        <v>34.2</v>
      </c>
      <c r="N151" s="11" t="n">
        <v>27.66</v>
      </c>
      <c r="O151" s="11" t="n">
        <v>4.43</v>
      </c>
      <c r="P151" s="10" t="n">
        <f aca="false">ROUND(E151*J151/100,0)</f>
        <v>10603</v>
      </c>
      <c r="Q151" s="10" t="n">
        <f aca="false">ROUND(P151*I151/(100-I151),0)</f>
        <v>1501</v>
      </c>
      <c r="R151" s="10" t="n">
        <f aca="false">ROUND(P151*(100-L151)/100,0)</f>
        <v>8274</v>
      </c>
      <c r="S151" s="10" t="n">
        <f aca="false">ROUND(P151*M151/100,0)</f>
        <v>3626</v>
      </c>
      <c r="T151" s="11" t="n">
        <v>67.61</v>
      </c>
      <c r="U151" s="11" t="n">
        <v>69.09</v>
      </c>
      <c r="V151" s="3" t="n">
        <f aca="false">RANK(F151,$F$2:$F$350,0)</f>
        <v>201</v>
      </c>
      <c r="W151" s="12" t="n">
        <v>180.8</v>
      </c>
      <c r="X151" s="10" t="n">
        <v>86</v>
      </c>
      <c r="Y151" s="3" t="s">
        <v>58</v>
      </c>
      <c r="Z151" s="3" t="s">
        <v>261</v>
      </c>
      <c r="AA151" s="13" t="s">
        <v>59</v>
      </c>
      <c r="AB151" s="11" t="n">
        <v>12.9</v>
      </c>
    </row>
    <row r="152" customFormat="false" ht="16.4" hidden="false" customHeight="false" outlineLevel="0" collapsed="false">
      <c r="A152" s="3" t="n">
        <v>151</v>
      </c>
      <c r="B152" s="3" t="n">
        <v>9</v>
      </c>
      <c r="C152" s="3" t="s">
        <v>262</v>
      </c>
      <c r="D152" s="10" t="n">
        <v>5538</v>
      </c>
      <c r="E152" s="10" t="n">
        <f aca="false">ROUND(D152*INDEX(مناطق!$AF$2:$AF$23,B152),0)</f>
        <v>4803</v>
      </c>
      <c r="F152" s="11" t="n">
        <f aca="false">ROUND(100*(راهنما!$B$4*(H152-MIN($H$2:$H$350))/(MAX($H$2:$H$350)-MIN($H$2:$H$350))+راهنما!$B$5*(N152-MIN($N$2:$N$350))/(MAX($N$2:$N$350)-MIN($N$2:$N$350))+راهنما!$B$6*(J152-MIN($J$2:$J$350))/(MAX($J$2:$J$350)-MIN($J$2:$J$350))+راهنما!$B$7*(MAX($I$2:$I$350)-I152)/(MAX($I$2:$I$350)-MIN($I$2:$I$350)))/راهنما!$B$8,1)</f>
        <v>55.8</v>
      </c>
      <c r="G152" s="3" t="str">
        <f aca="false">IF(V152&lt;=ROUND(349*0.2,0),"بسیار بالا",IF(V152&lt;=ROUND(349*0.4,0),"بالا",IF(V152&lt;=ROUND(349*0.6,0),"متوسط",IF(V152&lt;=ROUND(349*0.8,0),"پایین","بسیار پایین"))))</f>
        <v>بالا</v>
      </c>
      <c r="H152" s="11" t="n">
        <f aca="false">(100-I152)*(100-L152)/100</f>
        <v>72.713811</v>
      </c>
      <c r="I152" s="11" t="n">
        <v>12.53</v>
      </c>
      <c r="J152" s="11" t="n">
        <v>33.13</v>
      </c>
      <c r="K152" s="11" t="n">
        <f aca="false">J152/(1-I152/100)</f>
        <v>37.8758431462216</v>
      </c>
      <c r="L152" s="11" t="n">
        <v>16.87</v>
      </c>
      <c r="M152" s="11" t="n">
        <v>46.32</v>
      </c>
      <c r="N152" s="11" t="n">
        <v>32.13</v>
      </c>
      <c r="O152" s="11" t="n">
        <v>6.5</v>
      </c>
      <c r="P152" s="10" t="n">
        <f aca="false">ROUND(E152*J152/100,0)</f>
        <v>1591</v>
      </c>
      <c r="Q152" s="10" t="n">
        <f aca="false">ROUND(P152*I152/(100-I152),0)</f>
        <v>228</v>
      </c>
      <c r="R152" s="10" t="n">
        <f aca="false">ROUND(P152*(100-L152)/100,0)</f>
        <v>1323</v>
      </c>
      <c r="S152" s="10" t="n">
        <f aca="false">ROUND(P152*M152/100,0)</f>
        <v>737</v>
      </c>
      <c r="T152" s="11" t="n">
        <v>72.37</v>
      </c>
      <c r="U152" s="11" t="n">
        <v>73.05</v>
      </c>
      <c r="V152" s="3" t="n">
        <f aca="false">RANK(F152,$F$2:$F$350,0)</f>
        <v>120</v>
      </c>
      <c r="W152" s="12" t="n">
        <v>207.5</v>
      </c>
      <c r="X152" s="10" t="n">
        <v>2</v>
      </c>
      <c r="Y152" s="3" t="s">
        <v>58</v>
      </c>
      <c r="Z152" s="3" t="s">
        <v>262</v>
      </c>
      <c r="AA152" s="13" t="s">
        <v>125</v>
      </c>
      <c r="AB152" s="11" t="n">
        <v>15.12</v>
      </c>
    </row>
    <row r="153" customFormat="false" ht="16.4" hidden="false" customHeight="false" outlineLevel="0" collapsed="false">
      <c r="A153" s="3" t="n">
        <v>152</v>
      </c>
      <c r="B153" s="3" t="n">
        <v>9</v>
      </c>
      <c r="C153" s="3" t="s">
        <v>263</v>
      </c>
      <c r="D153" s="10" t="n">
        <v>22087</v>
      </c>
      <c r="E153" s="10" t="n">
        <f aca="false">ROUND(D153*INDEX(مناطق!$AF$2:$AF$23,B153),0)</f>
        <v>19157</v>
      </c>
      <c r="F153" s="11" t="n">
        <f aca="false">ROUND(100*(راهنما!$B$4*(H153-MIN($H$2:$H$350))/(MAX($H$2:$H$350)-MIN($H$2:$H$350))+راهنما!$B$5*(N153-MIN($N$2:$N$350))/(MAX($N$2:$N$350)-MIN($N$2:$N$350))+راهنما!$B$6*(J153-MIN($J$2:$J$350))/(MAX($J$2:$J$350)-MIN($J$2:$J$350))+راهنما!$B$7*(MAX($I$2:$I$350)-I153)/(MAX($I$2:$I$350)-MIN($I$2:$I$350)))/راهنما!$B$8,1)</f>
        <v>54.7</v>
      </c>
      <c r="G153" s="3" t="str">
        <f aca="false">IF(V153&lt;=ROUND(349*0.2,0),"بسیار بالا",IF(V153&lt;=ROUND(349*0.4,0),"بالا",IF(V153&lt;=ROUND(349*0.6,0),"متوسط",IF(V153&lt;=ROUND(349*0.8,0),"پایین","بسیار پایین"))))</f>
        <v>بالا</v>
      </c>
      <c r="H153" s="11" t="n">
        <f aca="false">(100-I153)*(100-L153)/100</f>
        <v>72.451401</v>
      </c>
      <c r="I153" s="11" t="n">
        <v>12.53</v>
      </c>
      <c r="J153" s="11" t="n">
        <v>33.19</v>
      </c>
      <c r="K153" s="11" t="n">
        <f aca="false">J153/(1-I153/100)</f>
        <v>37.9444380930605</v>
      </c>
      <c r="L153" s="11" t="n">
        <v>17.17</v>
      </c>
      <c r="M153" s="11" t="n">
        <v>46.32</v>
      </c>
      <c r="N153" s="11" t="n">
        <v>30.52</v>
      </c>
      <c r="O153" s="11" t="n">
        <v>6.67</v>
      </c>
      <c r="P153" s="10" t="n">
        <f aca="false">ROUND(E153*J153/100,0)</f>
        <v>6358</v>
      </c>
      <c r="Q153" s="10" t="n">
        <f aca="false">ROUND(P153*I153/(100-I153),0)</f>
        <v>911</v>
      </c>
      <c r="R153" s="10" t="n">
        <f aca="false">ROUND(P153*(100-L153)/100,0)</f>
        <v>5266</v>
      </c>
      <c r="S153" s="10" t="n">
        <f aca="false">ROUND(P153*M153/100,0)</f>
        <v>2945</v>
      </c>
      <c r="T153" s="11" t="n">
        <v>72.22</v>
      </c>
      <c r="U153" s="11" t="n">
        <v>72.69</v>
      </c>
      <c r="V153" s="3" t="n">
        <f aca="false">RANK(F153,$F$2:$F$350,0)</f>
        <v>130</v>
      </c>
      <c r="W153" s="12" t="n">
        <v>179.4</v>
      </c>
      <c r="X153" s="10" t="n">
        <v>92</v>
      </c>
      <c r="Y153" s="3" t="s">
        <v>58</v>
      </c>
      <c r="Z153" s="3" t="s">
        <v>263</v>
      </c>
      <c r="AA153" s="13" t="s">
        <v>59</v>
      </c>
      <c r="AB153" s="11" t="n">
        <v>14.24</v>
      </c>
    </row>
    <row r="154" customFormat="false" ht="16.4" hidden="false" customHeight="false" outlineLevel="0" collapsed="false">
      <c r="A154" s="3" t="n">
        <v>153</v>
      </c>
      <c r="B154" s="3" t="n">
        <v>9</v>
      </c>
      <c r="C154" s="3" t="s">
        <v>264</v>
      </c>
      <c r="D154" s="10" t="n">
        <v>36394</v>
      </c>
      <c r="E154" s="10" t="n">
        <f aca="false">ROUND(D154*INDEX(مناطق!$AF$2:$AF$23,B154),0)</f>
        <v>31566</v>
      </c>
      <c r="F154" s="11" t="n">
        <f aca="false">ROUND(100*(راهنما!$B$4*(H154-MIN($H$2:$H$350))/(MAX($H$2:$H$350)-MIN($H$2:$H$350))+راهنما!$B$5*(N154-MIN($N$2:$N$350))/(MAX($N$2:$N$350)-MIN($N$2:$N$350))+راهنما!$B$6*(J154-MIN($J$2:$J$350))/(MAX($J$2:$J$350)-MIN($J$2:$J$350))+راهنما!$B$7*(MAX($I$2:$I$350)-I154)/(MAX($I$2:$I$350)-MIN($I$2:$I$350)))/راهنما!$B$8,1)</f>
        <v>54.7</v>
      </c>
      <c r="G154" s="3" t="str">
        <f aca="false">IF(V154&lt;=ROUND(349*0.2,0),"بسیار بالا",IF(V154&lt;=ROUND(349*0.4,0),"بالا",IF(V154&lt;=ROUND(349*0.6,0),"متوسط",IF(V154&lt;=ROUND(349*0.8,0),"پایین","بسیار پایین"))))</f>
        <v>بالا</v>
      </c>
      <c r="H154" s="11" t="n">
        <f aca="false">(100-I154)*(100-L154)/100</f>
        <v>72.442654</v>
      </c>
      <c r="I154" s="11" t="n">
        <v>12.53</v>
      </c>
      <c r="J154" s="11" t="n">
        <v>33.19</v>
      </c>
      <c r="K154" s="11" t="n">
        <f aca="false">J154/(1-I154/100)</f>
        <v>37.9444380930605</v>
      </c>
      <c r="L154" s="11" t="n">
        <v>17.18</v>
      </c>
      <c r="M154" s="11" t="n">
        <v>46.32</v>
      </c>
      <c r="N154" s="11" t="n">
        <v>30.46</v>
      </c>
      <c r="O154" s="11" t="n">
        <v>6.67</v>
      </c>
      <c r="P154" s="10" t="n">
        <f aca="false">ROUND(E154*J154/100,0)</f>
        <v>10477</v>
      </c>
      <c r="Q154" s="10" t="n">
        <f aca="false">ROUND(P154*I154/(100-I154),0)</f>
        <v>1501</v>
      </c>
      <c r="R154" s="10" t="n">
        <f aca="false">ROUND(P154*(100-L154)/100,0)</f>
        <v>8677</v>
      </c>
      <c r="S154" s="10" t="n">
        <f aca="false">ROUND(P154*M154/100,0)</f>
        <v>4853</v>
      </c>
      <c r="T154" s="11" t="n">
        <v>72.21</v>
      </c>
      <c r="U154" s="11" t="n">
        <v>72.67</v>
      </c>
      <c r="V154" s="3" t="n">
        <f aca="false">RANK(F154,$F$2:$F$350,0)</f>
        <v>130</v>
      </c>
      <c r="W154" s="12" t="n">
        <v>189</v>
      </c>
      <c r="X154" s="10" t="n">
        <v>87</v>
      </c>
      <c r="Y154" s="3" t="s">
        <v>58</v>
      </c>
      <c r="Z154" s="3" t="s">
        <v>264</v>
      </c>
      <c r="AA154" s="13" t="s">
        <v>59</v>
      </c>
      <c r="AB154" s="11" t="n">
        <v>14.2</v>
      </c>
    </row>
    <row r="155" customFormat="false" ht="16.4" hidden="false" customHeight="false" outlineLevel="0" collapsed="false">
      <c r="A155" s="3" t="n">
        <v>154</v>
      </c>
      <c r="B155" s="3" t="n">
        <v>9</v>
      </c>
      <c r="C155" s="3" t="s">
        <v>265</v>
      </c>
      <c r="D155" s="10" t="n">
        <v>24140</v>
      </c>
      <c r="E155" s="10" t="n">
        <f aca="false">ROUND(D155*INDEX(مناطق!$AF$2:$AF$23,B155),0)</f>
        <v>20938</v>
      </c>
      <c r="F155" s="11" t="n">
        <f aca="false">ROUND(100*(راهنما!$B$4*(H155-MIN($H$2:$H$350))/(MAX($H$2:$H$350)-MIN($H$2:$H$350))+راهنما!$B$5*(N155-MIN($N$2:$N$350))/(MAX($N$2:$N$350)-MIN($N$2:$N$350))+راهنما!$B$6*(J155-MIN($J$2:$J$350))/(MAX($J$2:$J$350)-MIN($J$2:$J$350))+راهنما!$B$7*(MAX($I$2:$I$350)-I155)/(MAX($I$2:$I$350)-MIN($I$2:$I$350)))/راهنما!$B$8,1)</f>
        <v>52.5</v>
      </c>
      <c r="G155" s="3" t="str">
        <f aca="false">IF(V155&lt;=ROUND(349*0.2,0),"بسیار بالا",IF(V155&lt;=ROUND(349*0.4,0),"بالا",IF(V155&lt;=ROUND(349*0.6,0),"متوسط",IF(V155&lt;=ROUND(349*0.8,0),"پایین","بسیار پایین"))))</f>
        <v>متوسط</v>
      </c>
      <c r="H155" s="11" t="n">
        <f aca="false">(100-I155)*(100-L155)/100</f>
        <v>71.891593</v>
      </c>
      <c r="I155" s="11" t="n">
        <v>12.53</v>
      </c>
      <c r="J155" s="11" t="n">
        <v>33.32</v>
      </c>
      <c r="K155" s="11" t="n">
        <f aca="false">J155/(1-I155/100)</f>
        <v>38.0930604778781</v>
      </c>
      <c r="L155" s="11" t="n">
        <v>17.81</v>
      </c>
      <c r="M155" s="11" t="n">
        <v>46.32</v>
      </c>
      <c r="N155" s="11" t="n">
        <v>27.32</v>
      </c>
      <c r="O155" s="11" t="n">
        <v>7.02</v>
      </c>
      <c r="P155" s="10" t="n">
        <f aca="false">ROUND(E155*J155/100,0)</f>
        <v>6977</v>
      </c>
      <c r="Q155" s="10" t="n">
        <f aca="false">ROUND(P155*I155/(100-I155),0)</f>
        <v>999</v>
      </c>
      <c r="R155" s="10" t="n">
        <f aca="false">ROUND(P155*(100-L155)/100,0)</f>
        <v>5734</v>
      </c>
      <c r="S155" s="10" t="n">
        <f aca="false">ROUND(P155*M155/100,0)</f>
        <v>3232</v>
      </c>
      <c r="T155" s="11" t="n">
        <v>71.89</v>
      </c>
      <c r="U155" s="11" t="n">
        <v>71.9</v>
      </c>
      <c r="V155" s="3" t="n">
        <f aca="false">RANK(F155,$F$2:$F$350,0)</f>
        <v>151</v>
      </c>
      <c r="W155" s="12"/>
      <c r="X155" s="10" t="n">
        <v>0</v>
      </c>
      <c r="Y155" s="3" t="s">
        <v>77</v>
      </c>
      <c r="Z155" s="13" t="s">
        <v>78</v>
      </c>
      <c r="AA155" s="13" t="s">
        <v>79</v>
      </c>
      <c r="AB155" s="11" t="n">
        <v>12.53</v>
      </c>
    </row>
    <row r="156" customFormat="false" ht="16.4" hidden="false" customHeight="false" outlineLevel="0" collapsed="false">
      <c r="A156" s="3" t="n">
        <v>155</v>
      </c>
      <c r="B156" s="3" t="n">
        <v>9</v>
      </c>
      <c r="C156" s="3" t="s">
        <v>266</v>
      </c>
      <c r="D156" s="10" t="n">
        <v>19790</v>
      </c>
      <c r="E156" s="10" t="n">
        <f aca="false">ROUND(D156*INDEX(مناطق!$AF$2:$AF$23,B156),0)</f>
        <v>17165</v>
      </c>
      <c r="F156" s="11" t="n">
        <f aca="false">ROUND(100*(راهنما!$B$4*(H156-MIN($H$2:$H$350))/(MAX($H$2:$H$350)-MIN($H$2:$H$350))+راهنما!$B$5*(N156-MIN($N$2:$N$350))/(MAX($N$2:$N$350)-MIN($N$2:$N$350))+راهنما!$B$6*(J156-MIN($J$2:$J$350))/(MAX($J$2:$J$350)-MIN($J$2:$J$350))+راهنما!$B$7*(MAX($I$2:$I$350)-I156)/(MAX($I$2:$I$350)-MIN($I$2:$I$350)))/راهنما!$B$8,1)</f>
        <v>52.5</v>
      </c>
      <c r="G156" s="3" t="str">
        <f aca="false">IF(V156&lt;=ROUND(349*0.2,0),"بسیار بالا",IF(V156&lt;=ROUND(349*0.4,0),"بالا",IF(V156&lt;=ROUND(349*0.6,0),"متوسط",IF(V156&lt;=ROUND(349*0.8,0),"پایین","بسیار پایین"))))</f>
        <v>متوسط</v>
      </c>
      <c r="H156" s="11" t="n">
        <f aca="false">(100-I156)*(100-L156)/100</f>
        <v>71.891593</v>
      </c>
      <c r="I156" s="11" t="n">
        <v>12.53</v>
      </c>
      <c r="J156" s="11" t="n">
        <v>33.32</v>
      </c>
      <c r="K156" s="11" t="n">
        <f aca="false">J156/(1-I156/100)</f>
        <v>38.0930604778781</v>
      </c>
      <c r="L156" s="11" t="n">
        <v>17.81</v>
      </c>
      <c r="M156" s="11" t="n">
        <v>46.32</v>
      </c>
      <c r="N156" s="11" t="n">
        <v>27.32</v>
      </c>
      <c r="O156" s="11" t="n">
        <v>7.02</v>
      </c>
      <c r="P156" s="10" t="n">
        <f aca="false">ROUND(E156*J156/100,0)</f>
        <v>5719</v>
      </c>
      <c r="Q156" s="10" t="n">
        <f aca="false">ROUND(P156*I156/(100-I156),0)</f>
        <v>819</v>
      </c>
      <c r="R156" s="10" t="n">
        <f aca="false">ROUND(P156*(100-L156)/100,0)</f>
        <v>4700</v>
      </c>
      <c r="S156" s="10" t="n">
        <f aca="false">ROUND(P156*M156/100,0)</f>
        <v>2649</v>
      </c>
      <c r="T156" s="11" t="n">
        <v>71.89</v>
      </c>
      <c r="U156" s="11" t="n">
        <v>71.9</v>
      </c>
      <c r="V156" s="3" t="n">
        <f aca="false">RANK(F156,$F$2:$F$350,0)</f>
        <v>151</v>
      </c>
      <c r="W156" s="12"/>
      <c r="X156" s="10" t="n">
        <v>0</v>
      </c>
      <c r="Y156" s="3" t="s">
        <v>77</v>
      </c>
      <c r="Z156" s="13" t="s">
        <v>78</v>
      </c>
      <c r="AA156" s="13" t="s">
        <v>79</v>
      </c>
      <c r="AB156" s="11" t="n">
        <v>12.53</v>
      </c>
    </row>
    <row r="157" customFormat="false" ht="16.4" hidden="false" customHeight="false" outlineLevel="0" collapsed="false">
      <c r="A157" s="3" t="n">
        <v>156</v>
      </c>
      <c r="B157" s="3" t="n">
        <v>9</v>
      </c>
      <c r="C157" s="3" t="s">
        <v>267</v>
      </c>
      <c r="D157" s="10" t="n">
        <v>86</v>
      </c>
      <c r="E157" s="10" t="n">
        <f aca="false">ROUND(D157*INDEX(مناطق!$AF$2:$AF$23,B157),0)</f>
        <v>75</v>
      </c>
      <c r="F157" s="11" t="n">
        <f aca="false">ROUND(100*(راهنما!$B$4*(H157-MIN($H$2:$H$350))/(MAX($H$2:$H$350)-MIN($H$2:$H$350))+راهنما!$B$5*(N157-MIN($N$2:$N$350))/(MAX($N$2:$N$350)-MIN($N$2:$N$350))+راهنما!$B$6*(J157-MIN($J$2:$J$350))/(MAX($J$2:$J$350)-MIN($J$2:$J$350))+راهنما!$B$7*(MAX($I$2:$I$350)-I157)/(MAX($I$2:$I$350)-MIN($I$2:$I$350)))/راهنما!$B$8,1)</f>
        <v>52.5</v>
      </c>
      <c r="G157" s="3" t="str">
        <f aca="false">IF(V157&lt;=ROUND(349*0.2,0),"بسیار بالا",IF(V157&lt;=ROUND(349*0.4,0),"بالا",IF(V157&lt;=ROUND(349*0.6,0),"متوسط",IF(V157&lt;=ROUND(349*0.8,0),"پایین","بسیار پایین"))))</f>
        <v>متوسط</v>
      </c>
      <c r="H157" s="11" t="n">
        <f aca="false">(100-I157)*(100-L157)/100</f>
        <v>71.891593</v>
      </c>
      <c r="I157" s="11" t="n">
        <v>12.53</v>
      </c>
      <c r="J157" s="11" t="n">
        <v>33.32</v>
      </c>
      <c r="K157" s="11" t="n">
        <f aca="false">J157/(1-I157/100)</f>
        <v>38.0930604778781</v>
      </c>
      <c r="L157" s="11" t="n">
        <v>17.81</v>
      </c>
      <c r="M157" s="11" t="n">
        <v>46.32</v>
      </c>
      <c r="N157" s="11" t="n">
        <v>27.32</v>
      </c>
      <c r="O157" s="11" t="n">
        <v>7.02</v>
      </c>
      <c r="P157" s="10" t="n">
        <f aca="false">ROUND(E157*J157/100,0)</f>
        <v>25</v>
      </c>
      <c r="Q157" s="10" t="n">
        <f aca="false">ROUND(P157*I157/(100-I157),0)</f>
        <v>4</v>
      </c>
      <c r="R157" s="10" t="n">
        <f aca="false">ROUND(P157*(100-L157)/100,0)</f>
        <v>21</v>
      </c>
      <c r="S157" s="10" t="n">
        <f aca="false">ROUND(P157*M157/100,0)</f>
        <v>12</v>
      </c>
      <c r="T157" s="11" t="n">
        <v>71.89</v>
      </c>
      <c r="U157" s="11" t="n">
        <v>71.9</v>
      </c>
      <c r="V157" s="3" t="n">
        <f aca="false">RANK(F157,$F$2:$F$350,0)</f>
        <v>151</v>
      </c>
      <c r="W157" s="12"/>
      <c r="X157" s="10" t="n">
        <v>0</v>
      </c>
      <c r="Y157" s="3" t="s">
        <v>77</v>
      </c>
      <c r="Z157" s="13" t="s">
        <v>78</v>
      </c>
      <c r="AA157" s="13" t="s">
        <v>79</v>
      </c>
      <c r="AB157" s="11" t="n">
        <v>12.53</v>
      </c>
    </row>
    <row r="158" customFormat="false" ht="16.4" hidden="false" customHeight="false" outlineLevel="0" collapsed="false">
      <c r="A158" s="3" t="n">
        <v>157</v>
      </c>
      <c r="B158" s="3" t="n">
        <v>9</v>
      </c>
      <c r="C158" s="3" t="s">
        <v>268</v>
      </c>
      <c r="D158" s="10" t="n">
        <v>23885</v>
      </c>
      <c r="E158" s="10" t="n">
        <f aca="false">ROUND(D158*INDEX(مناطق!$AF$2:$AF$23,B158),0)</f>
        <v>20717</v>
      </c>
      <c r="F158" s="11" t="n">
        <f aca="false">ROUND(100*(راهنما!$B$4*(H158-MIN($H$2:$H$350))/(MAX($H$2:$H$350)-MIN($H$2:$H$350))+راهنما!$B$5*(N158-MIN($N$2:$N$350))/(MAX($N$2:$N$350)-MIN($N$2:$N$350))+راهنما!$B$6*(J158-MIN($J$2:$J$350))/(MAX($J$2:$J$350)-MIN($J$2:$J$350))+راهنما!$B$7*(MAX($I$2:$I$350)-I158)/(MAX($I$2:$I$350)-MIN($I$2:$I$350)))/راهنما!$B$8,1)</f>
        <v>51</v>
      </c>
      <c r="G158" s="3" t="str">
        <f aca="false">IF(V158&lt;=ROUND(349*0.2,0),"بسیار بالا",IF(V158&lt;=ROUND(349*0.4,0),"بالا",IF(V158&lt;=ROUND(349*0.6,0),"متوسط",IF(V158&lt;=ROUND(349*0.8,0),"پایین","بسیار پایین"))))</f>
        <v>متوسط</v>
      </c>
      <c r="H158" s="11" t="n">
        <f aca="false">(100-I158)*(100-L158)/100</f>
        <v>71.471737</v>
      </c>
      <c r="I158" s="11" t="n">
        <v>12.53</v>
      </c>
      <c r="J158" s="11" t="n">
        <v>33.42</v>
      </c>
      <c r="K158" s="11" t="n">
        <f aca="false">J158/(1-I158/100)</f>
        <v>38.2073853892763</v>
      </c>
      <c r="L158" s="11" t="n">
        <v>18.29</v>
      </c>
      <c r="M158" s="11" t="n">
        <v>46.32</v>
      </c>
      <c r="N158" s="11" t="n">
        <v>25.08</v>
      </c>
      <c r="O158" s="11" t="n">
        <v>7.29</v>
      </c>
      <c r="P158" s="10" t="n">
        <f aca="false">ROUND(E158*J158/100,0)</f>
        <v>6924</v>
      </c>
      <c r="Q158" s="10" t="n">
        <f aca="false">ROUND(P158*I158/(100-I158),0)</f>
        <v>992</v>
      </c>
      <c r="R158" s="10" t="n">
        <f aca="false">ROUND(P158*(100-L158)/100,0)</f>
        <v>5658</v>
      </c>
      <c r="S158" s="10" t="n">
        <f aca="false">ROUND(P158*M158/100,0)</f>
        <v>3207</v>
      </c>
      <c r="T158" s="11" t="n">
        <v>71.3</v>
      </c>
      <c r="U158" s="11" t="n">
        <v>71.64</v>
      </c>
      <c r="V158" s="3" t="n">
        <f aca="false">RANK(F158,$F$2:$F$350,0)</f>
        <v>159</v>
      </c>
      <c r="W158" s="12" t="n">
        <v>154.6</v>
      </c>
      <c r="X158" s="10" t="n">
        <v>89</v>
      </c>
      <c r="Y158" s="3" t="s">
        <v>58</v>
      </c>
      <c r="Z158" s="3" t="s">
        <v>268</v>
      </c>
      <c r="AA158" s="13" t="s">
        <v>59</v>
      </c>
      <c r="AB158" s="11" t="n">
        <v>11.38</v>
      </c>
    </row>
    <row r="159" customFormat="false" ht="16.4" hidden="false" customHeight="false" outlineLevel="0" collapsed="false">
      <c r="A159" s="3" t="n">
        <v>158</v>
      </c>
      <c r="B159" s="3" t="n">
        <v>9</v>
      </c>
      <c r="C159" s="3" t="s">
        <v>269</v>
      </c>
      <c r="D159" s="10" t="n">
        <v>18523</v>
      </c>
      <c r="E159" s="10" t="n">
        <f aca="false">ROUND(D159*INDEX(مناطق!$AF$2:$AF$23,B159),0)</f>
        <v>16066</v>
      </c>
      <c r="F159" s="11" t="n">
        <f aca="false">ROUND(100*(راهنما!$B$4*(H159-MIN($H$2:$H$350))/(MAX($H$2:$H$350)-MIN($H$2:$H$350))+راهنما!$B$5*(N159-MIN($N$2:$N$350))/(MAX($N$2:$N$350)-MIN($N$2:$N$350))+راهنما!$B$6*(J159-MIN($J$2:$J$350))/(MAX($J$2:$J$350)-MIN($J$2:$J$350))+راهنما!$B$7*(MAX($I$2:$I$350)-I159)/(MAX($I$2:$I$350)-MIN($I$2:$I$350)))/راهنما!$B$8,1)</f>
        <v>50.2</v>
      </c>
      <c r="G159" s="3" t="str">
        <f aca="false">IF(V159&lt;=ROUND(349*0.2,0),"بسیار بالا",IF(V159&lt;=ROUND(349*0.4,0),"بالا",IF(V159&lt;=ROUND(349*0.6,0),"متوسط",IF(V159&lt;=ROUND(349*0.8,0),"پایین","بسیار پایین"))))</f>
        <v>متوسط</v>
      </c>
      <c r="H159" s="11" t="n">
        <f aca="false">(100-I159)*(100-L159)/100</f>
        <v>71.244315</v>
      </c>
      <c r="I159" s="11" t="n">
        <v>12.53</v>
      </c>
      <c r="J159" s="11" t="n">
        <v>33.47</v>
      </c>
      <c r="K159" s="11" t="n">
        <f aca="false">J159/(1-I159/100)</f>
        <v>38.2645478449754</v>
      </c>
      <c r="L159" s="11" t="n">
        <v>18.55</v>
      </c>
      <c r="M159" s="11" t="n">
        <v>46.32</v>
      </c>
      <c r="N159" s="11" t="n">
        <v>23.97</v>
      </c>
      <c r="O159" s="11" t="n">
        <v>7.44</v>
      </c>
      <c r="P159" s="10" t="n">
        <f aca="false">ROUND(E159*J159/100,0)</f>
        <v>5377</v>
      </c>
      <c r="Q159" s="10" t="n">
        <f aca="false">ROUND(P159*I159/(100-I159),0)</f>
        <v>770</v>
      </c>
      <c r="R159" s="10" t="n">
        <f aca="false">ROUND(P159*(100-L159)/100,0)</f>
        <v>4380</v>
      </c>
      <c r="S159" s="10" t="n">
        <f aca="false">ROUND(P159*M159/100,0)</f>
        <v>2491</v>
      </c>
      <c r="T159" s="11" t="n">
        <v>70.98</v>
      </c>
      <c r="U159" s="11" t="n">
        <v>71.52</v>
      </c>
      <c r="V159" s="3" t="n">
        <f aca="false">RANK(F159,$F$2:$F$350,0)</f>
        <v>175</v>
      </c>
      <c r="W159" s="12" t="n">
        <v>143.1</v>
      </c>
      <c r="X159" s="10" t="n">
        <v>82</v>
      </c>
      <c r="Y159" s="3" t="s">
        <v>58</v>
      </c>
      <c r="Z159" s="3" t="s">
        <v>269</v>
      </c>
      <c r="AA159" s="13" t="s">
        <v>59</v>
      </c>
      <c r="AB159" s="11" t="n">
        <v>10.82</v>
      </c>
    </row>
    <row r="160" customFormat="false" ht="16.4" hidden="false" customHeight="false" outlineLevel="0" collapsed="false">
      <c r="A160" s="3" t="n">
        <v>159</v>
      </c>
      <c r="B160" s="3" t="n">
        <v>9</v>
      </c>
      <c r="C160" s="3" t="s">
        <v>270</v>
      </c>
      <c r="D160" s="10" t="n">
        <v>23672</v>
      </c>
      <c r="E160" s="10" t="n">
        <f aca="false">ROUND(D160*INDEX(مناطق!$AF$2:$AF$23,B160),0)</f>
        <v>20532</v>
      </c>
      <c r="F160" s="11" t="n">
        <f aca="false">ROUND(100*(راهنما!$B$4*(H160-MIN($H$2:$H$350))/(MAX($H$2:$H$350)-MIN($H$2:$H$350))+راهنما!$B$5*(N160-MIN($N$2:$N$350))/(MAX($N$2:$N$350)-MIN($N$2:$N$350))+راهنما!$B$6*(J160-MIN($J$2:$J$350))/(MAX($J$2:$J$350)-MIN($J$2:$J$350))+راهنما!$B$7*(MAX($I$2:$I$350)-I160)/(MAX($I$2:$I$350)-MIN($I$2:$I$350)))/راهنما!$B$8,1)</f>
        <v>50.1</v>
      </c>
      <c r="G160" s="3" t="str">
        <f aca="false">IF(V160&lt;=ROUND(349*0.2,0),"بسیار بالا",IF(V160&lt;=ROUND(349*0.4,0),"بالا",IF(V160&lt;=ROUND(349*0.6,0),"متوسط",IF(V160&lt;=ROUND(349*0.8,0),"پایین","بسیار پایین"))))</f>
        <v>متوسط</v>
      </c>
      <c r="H160" s="11" t="n">
        <f aca="false">(100-I160)*(100-L160)/100</f>
        <v>71.226821</v>
      </c>
      <c r="I160" s="11" t="n">
        <v>12.53</v>
      </c>
      <c r="J160" s="11" t="n">
        <v>33.47</v>
      </c>
      <c r="K160" s="11" t="n">
        <f aca="false">J160/(1-I160/100)</f>
        <v>38.2645478449754</v>
      </c>
      <c r="L160" s="11" t="n">
        <v>18.57</v>
      </c>
      <c r="M160" s="11" t="n">
        <v>46.32</v>
      </c>
      <c r="N160" s="11" t="n">
        <v>23.88</v>
      </c>
      <c r="O160" s="11" t="n">
        <v>7.45</v>
      </c>
      <c r="P160" s="10" t="n">
        <f aca="false">ROUND(E160*J160/100,0)</f>
        <v>6872</v>
      </c>
      <c r="Q160" s="10" t="n">
        <f aca="false">ROUND(P160*I160/(100-I160),0)</f>
        <v>984</v>
      </c>
      <c r="R160" s="10" t="n">
        <f aca="false">ROUND(P160*(100-L160)/100,0)</f>
        <v>5596</v>
      </c>
      <c r="S160" s="10" t="n">
        <f aca="false">ROUND(P160*M160/100,0)</f>
        <v>3183</v>
      </c>
      <c r="T160" s="11" t="n">
        <v>70.95</v>
      </c>
      <c r="U160" s="11" t="n">
        <v>71.51</v>
      </c>
      <c r="V160" s="3" t="n">
        <f aca="false">RANK(F160,$F$2:$F$350,0)</f>
        <v>178</v>
      </c>
      <c r="W160" s="12" t="n">
        <v>146.4</v>
      </c>
      <c r="X160" s="10" t="n">
        <v>78</v>
      </c>
      <c r="Y160" s="3" t="s">
        <v>58</v>
      </c>
      <c r="Z160" s="3" t="s">
        <v>270</v>
      </c>
      <c r="AA160" s="13" t="s">
        <v>59</v>
      </c>
      <c r="AB160" s="11" t="n">
        <v>10.77</v>
      </c>
    </row>
    <row r="161" customFormat="false" ht="16.4" hidden="false" customHeight="false" outlineLevel="0" collapsed="false">
      <c r="A161" s="3" t="n">
        <v>160</v>
      </c>
      <c r="B161" s="3" t="n">
        <v>10</v>
      </c>
      <c r="C161" s="3" t="s">
        <v>271</v>
      </c>
      <c r="D161" s="10" t="n">
        <v>26220</v>
      </c>
      <c r="E161" s="10" t="n">
        <f aca="false">ROUND(D161*INDEX(مناطق!$AF$2:$AF$23,B161),0)</f>
        <v>23074</v>
      </c>
      <c r="F161" s="11" t="n">
        <f aca="false">ROUND(100*(راهنما!$B$4*(H161-MIN($H$2:$H$350))/(MAX($H$2:$H$350)-MIN($H$2:$H$350))+راهنما!$B$5*(N161-MIN($N$2:$N$350))/(MAX($N$2:$N$350)-MIN($N$2:$N$350))+راهنما!$B$6*(J161-MIN($J$2:$J$350))/(MAX($J$2:$J$350)-MIN($J$2:$J$350))+راهنما!$B$7*(MAX($I$2:$I$350)-I161)/(MAX($I$2:$I$350)-MIN($I$2:$I$350)))/راهنما!$B$8,1)</f>
        <v>59.1</v>
      </c>
      <c r="G161" s="3" t="str">
        <f aca="false">IF(V161&lt;=ROUND(349*0.2,0),"بسیار بالا",IF(V161&lt;=ROUND(349*0.4,0),"بالا",IF(V161&lt;=ROUND(349*0.6,0),"متوسط",IF(V161&lt;=ROUND(349*0.8,0),"پایین","بسیار پایین"))))</f>
        <v>بالا</v>
      </c>
      <c r="H161" s="11" t="n">
        <f aca="false">(100-I161)*(100-L161)/100</f>
        <v>69.9567</v>
      </c>
      <c r="I161" s="11" t="n">
        <v>12.28</v>
      </c>
      <c r="J161" s="11" t="n">
        <v>34.74</v>
      </c>
      <c r="K161" s="11" t="n">
        <f aca="false">J161/(1-I161/100)</f>
        <v>39.6032831737346</v>
      </c>
      <c r="L161" s="11" t="n">
        <v>20.25</v>
      </c>
      <c r="M161" s="11" t="n">
        <v>37.52</v>
      </c>
      <c r="N161" s="11" t="n">
        <v>36.13</v>
      </c>
      <c r="O161" s="11" t="n">
        <v>4.79</v>
      </c>
      <c r="P161" s="10" t="n">
        <f aca="false">ROUND(E161*J161/100,0)</f>
        <v>8016</v>
      </c>
      <c r="Q161" s="10" t="n">
        <f aca="false">ROUND(P161*I161/(100-I161),0)</f>
        <v>1122</v>
      </c>
      <c r="R161" s="10" t="n">
        <f aca="false">ROUND(P161*(100-L161)/100,0)</f>
        <v>6393</v>
      </c>
      <c r="S161" s="10" t="n">
        <f aca="false">ROUND(P161*M161/100,0)</f>
        <v>3008</v>
      </c>
      <c r="T161" s="11" t="n">
        <v>69.68</v>
      </c>
      <c r="U161" s="11" t="n">
        <v>70.22</v>
      </c>
      <c r="V161" s="3" t="n">
        <f aca="false">RANK(F161,$F$2:$F$350,0)</f>
        <v>92</v>
      </c>
      <c r="W161" s="12" t="n">
        <v>173.8</v>
      </c>
      <c r="X161" s="10" t="n">
        <v>92</v>
      </c>
      <c r="Y161" s="3" t="s">
        <v>58</v>
      </c>
      <c r="Z161" s="3" t="s">
        <v>271</v>
      </c>
      <c r="AA161" s="13" t="s">
        <v>59</v>
      </c>
      <c r="AB161" s="11" t="n">
        <v>15.75</v>
      </c>
    </row>
    <row r="162" customFormat="false" ht="16.4" hidden="false" customHeight="false" outlineLevel="0" collapsed="false">
      <c r="A162" s="3" t="n">
        <v>161</v>
      </c>
      <c r="B162" s="3" t="n">
        <v>10</v>
      </c>
      <c r="C162" s="3" t="s">
        <v>272</v>
      </c>
      <c r="D162" s="10" t="n">
        <v>37586</v>
      </c>
      <c r="E162" s="10" t="n">
        <f aca="false">ROUND(D162*INDEX(مناطق!$AF$2:$AF$23,B162),0)</f>
        <v>33076</v>
      </c>
      <c r="F162" s="11" t="n">
        <f aca="false">ROUND(100*(راهنما!$B$4*(H162-MIN($H$2:$H$350))/(MAX($H$2:$H$350)-MIN($H$2:$H$350))+راهنما!$B$5*(N162-MIN($N$2:$N$350))/(MAX($N$2:$N$350)-MIN($N$2:$N$350))+راهنما!$B$6*(J162-MIN($J$2:$J$350))/(MAX($J$2:$J$350)-MIN($J$2:$J$350))+راهنما!$B$7*(MAX($I$2:$I$350)-I162)/(MAX($I$2:$I$350)-MIN($I$2:$I$350)))/راهنما!$B$8,1)</f>
        <v>58.7</v>
      </c>
      <c r="G162" s="3" t="str">
        <f aca="false">IF(V162&lt;=ROUND(349*0.2,0),"بسیار بالا",IF(V162&lt;=ROUND(349*0.4,0),"بالا",IF(V162&lt;=ROUND(349*0.6,0),"متوسط",IF(V162&lt;=ROUND(349*0.8,0),"پایین","بسیار پایین"))))</f>
        <v>بالا</v>
      </c>
      <c r="H162" s="11" t="n">
        <f aca="false">(100-I162)*(100-L162)/100</f>
        <v>69.842664</v>
      </c>
      <c r="I162" s="11" t="n">
        <v>12.28</v>
      </c>
      <c r="J162" s="11" t="n">
        <v>34.77</v>
      </c>
      <c r="K162" s="11" t="n">
        <f aca="false">J162/(1-I162/100)</f>
        <v>39.6374829001368</v>
      </c>
      <c r="L162" s="11" t="n">
        <v>20.38</v>
      </c>
      <c r="M162" s="11" t="n">
        <v>37.52</v>
      </c>
      <c r="N162" s="11" t="n">
        <v>35.51</v>
      </c>
      <c r="O162" s="11" t="n">
        <v>4.83</v>
      </c>
      <c r="P162" s="10" t="n">
        <f aca="false">ROUND(E162*J162/100,0)</f>
        <v>11501</v>
      </c>
      <c r="Q162" s="10" t="n">
        <f aca="false">ROUND(P162*I162/(100-I162),0)</f>
        <v>1610</v>
      </c>
      <c r="R162" s="10" t="n">
        <f aca="false">ROUND(P162*(100-L162)/100,0)</f>
        <v>9157</v>
      </c>
      <c r="S162" s="10" t="n">
        <f aca="false">ROUND(P162*M162/100,0)</f>
        <v>4315</v>
      </c>
      <c r="T162" s="11" t="n">
        <v>69.62</v>
      </c>
      <c r="U162" s="11" t="n">
        <v>70.07</v>
      </c>
      <c r="V162" s="3" t="n">
        <f aca="false">RANK(F162,$F$2:$F$350,0)</f>
        <v>99</v>
      </c>
      <c r="W162" s="12" t="n">
        <v>170.7</v>
      </c>
      <c r="X162" s="10" t="n">
        <v>93</v>
      </c>
      <c r="Y162" s="3" t="s">
        <v>58</v>
      </c>
      <c r="Z162" s="3" t="s">
        <v>272</v>
      </c>
      <c r="AA162" s="13" t="s">
        <v>59</v>
      </c>
      <c r="AB162" s="11" t="n">
        <v>15.41</v>
      </c>
    </row>
    <row r="163" customFormat="false" ht="16.4" hidden="false" customHeight="false" outlineLevel="0" collapsed="false">
      <c r="A163" s="3" t="n">
        <v>162</v>
      </c>
      <c r="B163" s="3" t="n">
        <v>10</v>
      </c>
      <c r="C163" s="3" t="s">
        <v>273</v>
      </c>
      <c r="D163" s="10" t="n">
        <v>37828</v>
      </c>
      <c r="E163" s="10" t="n">
        <f aca="false">ROUND(D163*INDEX(مناطق!$AF$2:$AF$23,B163),0)</f>
        <v>33289</v>
      </c>
      <c r="F163" s="11" t="n">
        <f aca="false">ROUND(100*(راهنما!$B$4*(H163-MIN($H$2:$H$350))/(MAX($H$2:$H$350)-MIN($H$2:$H$350))+راهنما!$B$5*(N163-MIN($N$2:$N$350))/(MAX($N$2:$N$350)-MIN($N$2:$N$350))+راهنما!$B$6*(J163-MIN($J$2:$J$350))/(MAX($J$2:$J$350)-MIN($J$2:$J$350))+راهنما!$B$7*(MAX($I$2:$I$350)-I163)/(MAX($I$2:$I$350)-MIN($I$2:$I$350)))/راهنما!$B$8,1)</f>
        <v>57.4</v>
      </c>
      <c r="G163" s="3" t="str">
        <f aca="false">IF(V163&lt;=ROUND(349*0.2,0),"بسیار بالا",IF(V163&lt;=ROUND(349*0.4,0),"بالا",IF(V163&lt;=ROUND(349*0.6,0),"متوسط",IF(V163&lt;=ROUND(349*0.8,0),"پایین","بسیار پایین"))))</f>
        <v>بالا</v>
      </c>
      <c r="H163" s="11" t="n">
        <f aca="false">(100-I163)*(100-L163)/100</f>
        <v>69.535644</v>
      </c>
      <c r="I163" s="11" t="n">
        <v>12.28</v>
      </c>
      <c r="J163" s="11" t="n">
        <v>34.83</v>
      </c>
      <c r="K163" s="11" t="n">
        <f aca="false">J163/(1-I163/100)</f>
        <v>39.7058823529412</v>
      </c>
      <c r="L163" s="11" t="n">
        <v>20.73</v>
      </c>
      <c r="M163" s="11" t="n">
        <v>37.52</v>
      </c>
      <c r="N163" s="11" t="n">
        <v>33.78</v>
      </c>
      <c r="O163" s="11" t="n">
        <v>4.96</v>
      </c>
      <c r="P163" s="10" t="n">
        <f aca="false">ROUND(E163*J163/100,0)</f>
        <v>11595</v>
      </c>
      <c r="Q163" s="10" t="n">
        <f aca="false">ROUND(P163*I163/(100-I163),0)</f>
        <v>1623</v>
      </c>
      <c r="R163" s="10" t="n">
        <f aca="false">ROUND(P163*(100-L163)/100,0)</f>
        <v>9191</v>
      </c>
      <c r="S163" s="10" t="n">
        <f aca="false">ROUND(P163*M163/100,0)</f>
        <v>4350</v>
      </c>
      <c r="T163" s="11" t="n">
        <v>69.44</v>
      </c>
      <c r="U163" s="11" t="n">
        <v>69.63</v>
      </c>
      <c r="V163" s="3" t="n">
        <f aca="false">RANK(F163,$F$2:$F$350,0)</f>
        <v>106</v>
      </c>
      <c r="W163" s="12" t="n">
        <v>160.9</v>
      </c>
      <c r="X163" s="10" t="n">
        <v>88</v>
      </c>
      <c r="Y163" s="3" t="s">
        <v>58</v>
      </c>
      <c r="Z163" s="3" t="s">
        <v>273</v>
      </c>
      <c r="AA163" s="13" t="s">
        <v>59</v>
      </c>
      <c r="AB163" s="11" t="n">
        <v>14.49</v>
      </c>
    </row>
    <row r="164" customFormat="false" ht="16.4" hidden="false" customHeight="false" outlineLevel="0" collapsed="false">
      <c r="A164" s="3" t="n">
        <v>163</v>
      </c>
      <c r="B164" s="3" t="n">
        <v>10</v>
      </c>
      <c r="C164" s="3" t="s">
        <v>274</v>
      </c>
      <c r="D164" s="10" t="n">
        <v>35984</v>
      </c>
      <c r="E164" s="10" t="n">
        <f aca="false">ROUND(D164*INDEX(مناطق!$AF$2:$AF$23,B164),0)</f>
        <v>31666</v>
      </c>
      <c r="F164" s="11" t="n">
        <f aca="false">ROUND(100*(راهنما!$B$4*(H164-MIN($H$2:$H$350))/(MAX($H$2:$H$350)-MIN($H$2:$H$350))+راهنما!$B$5*(N164-MIN($N$2:$N$350))/(MAX($N$2:$N$350)-MIN($N$2:$N$350))+راهنما!$B$6*(J164-MIN($J$2:$J$350))/(MAX($J$2:$J$350)-MIN($J$2:$J$350))+راهنما!$B$7*(MAX($I$2:$I$350)-I164)/(MAX($I$2:$I$350)-MIN($I$2:$I$350)))/راهنما!$B$8,1)</f>
        <v>57.4</v>
      </c>
      <c r="G164" s="3" t="str">
        <f aca="false">IF(V164&lt;=ROUND(349*0.2,0),"بسیار بالا",IF(V164&lt;=ROUND(349*0.4,0),"بالا",IF(V164&lt;=ROUND(349*0.6,0),"متوسط",IF(V164&lt;=ROUND(349*0.8,0),"پایین","بسیار پایین"))))</f>
        <v>بالا</v>
      </c>
      <c r="H164" s="11" t="n">
        <f aca="false">(100-I164)*(100-L164)/100</f>
        <v>69.535644</v>
      </c>
      <c r="I164" s="11" t="n">
        <v>12.28</v>
      </c>
      <c r="J164" s="11" t="n">
        <v>34.83</v>
      </c>
      <c r="K164" s="11" t="n">
        <f aca="false">J164/(1-I164/100)</f>
        <v>39.7058823529412</v>
      </c>
      <c r="L164" s="11" t="n">
        <v>20.73</v>
      </c>
      <c r="M164" s="11" t="n">
        <v>37.52</v>
      </c>
      <c r="N164" s="11" t="n">
        <v>33.78</v>
      </c>
      <c r="O164" s="11" t="n">
        <v>4.96</v>
      </c>
      <c r="P164" s="10" t="n">
        <f aca="false">ROUND(E164*J164/100,0)</f>
        <v>11029</v>
      </c>
      <c r="Q164" s="10" t="n">
        <f aca="false">ROUND(P164*I164/(100-I164),0)</f>
        <v>1544</v>
      </c>
      <c r="R164" s="10" t="n">
        <f aca="false">ROUND(P164*(100-L164)/100,0)</f>
        <v>8743</v>
      </c>
      <c r="S164" s="10" t="n">
        <f aca="false">ROUND(P164*M164/100,0)</f>
        <v>4138</v>
      </c>
      <c r="T164" s="11" t="n">
        <v>69.44</v>
      </c>
      <c r="U164" s="11" t="n">
        <v>69.63</v>
      </c>
      <c r="V164" s="3" t="n">
        <f aca="false">RANK(F164,$F$2:$F$350,0)</f>
        <v>106</v>
      </c>
      <c r="W164" s="12" t="n">
        <v>160.9</v>
      </c>
      <c r="X164" s="10" t="n">
        <v>88</v>
      </c>
      <c r="Y164" s="3" t="s">
        <v>119</v>
      </c>
      <c r="Z164" s="3" t="s">
        <v>273</v>
      </c>
      <c r="AA164" s="13" t="s">
        <v>63</v>
      </c>
      <c r="AB164" s="11" t="n">
        <v>14.49</v>
      </c>
    </row>
    <row r="165" customFormat="false" ht="16.4" hidden="false" customHeight="false" outlineLevel="0" collapsed="false">
      <c r="A165" s="3" t="n">
        <v>164</v>
      </c>
      <c r="B165" s="3" t="n">
        <v>10</v>
      </c>
      <c r="C165" s="3" t="s">
        <v>275</v>
      </c>
      <c r="D165" s="10" t="n">
        <v>27968</v>
      </c>
      <c r="E165" s="10" t="n">
        <f aca="false">ROUND(D165*INDEX(مناطق!$AF$2:$AF$23,B165),0)</f>
        <v>24612</v>
      </c>
      <c r="F165" s="11" t="n">
        <f aca="false">ROUND(100*(راهنما!$B$4*(H165-MIN($H$2:$H$350))/(MAX($H$2:$H$350)-MIN($H$2:$H$350))+راهنما!$B$5*(N165-MIN($N$2:$N$350))/(MAX($N$2:$N$350)-MIN($N$2:$N$350))+راهنما!$B$6*(J165-MIN($J$2:$J$350))/(MAX($J$2:$J$350)-MIN($J$2:$J$350))+راهنما!$B$7*(MAX($I$2:$I$350)-I165)/(MAX($I$2:$I$350)-MIN($I$2:$I$350)))/راهنما!$B$8,1)</f>
        <v>56.5</v>
      </c>
      <c r="G165" s="3" t="str">
        <f aca="false">IF(V165&lt;=ROUND(349*0.2,0),"بسیار بالا",IF(V165&lt;=ROUND(349*0.4,0),"بالا",IF(V165&lt;=ROUND(349*0.6,0),"متوسط",IF(V165&lt;=ROUND(349*0.8,0),"پایین","بسیار پایین"))))</f>
        <v>بالا</v>
      </c>
      <c r="H165" s="11" t="n">
        <f aca="false">(100-I165)*(100-L165)/100</f>
        <v>69.307572</v>
      </c>
      <c r="I165" s="11" t="n">
        <v>12.28</v>
      </c>
      <c r="J165" s="11" t="n">
        <v>34.88</v>
      </c>
      <c r="K165" s="11" t="n">
        <f aca="false">J165/(1-I165/100)</f>
        <v>39.7628818969448</v>
      </c>
      <c r="L165" s="11" t="n">
        <v>20.99</v>
      </c>
      <c r="M165" s="11" t="n">
        <v>37.52</v>
      </c>
      <c r="N165" s="11" t="n">
        <v>32.56</v>
      </c>
      <c r="O165" s="11" t="n">
        <v>5.05</v>
      </c>
      <c r="P165" s="10" t="n">
        <f aca="false">ROUND(E165*J165/100,0)</f>
        <v>8585</v>
      </c>
      <c r="Q165" s="10" t="n">
        <f aca="false">ROUND(P165*I165/(100-I165),0)</f>
        <v>1202</v>
      </c>
      <c r="R165" s="10" t="n">
        <f aca="false">ROUND(P165*(100-L165)/100,0)</f>
        <v>6783</v>
      </c>
      <c r="S165" s="10" t="n">
        <f aca="false">ROUND(P165*M165/100,0)</f>
        <v>3221</v>
      </c>
      <c r="T165" s="11" t="n">
        <v>69.31</v>
      </c>
      <c r="U165" s="11" t="n">
        <v>69.31</v>
      </c>
      <c r="V165" s="3" t="n">
        <f aca="false">RANK(F165,$F$2:$F$350,0)</f>
        <v>114</v>
      </c>
      <c r="W165" s="12"/>
      <c r="X165" s="10" t="n">
        <v>0</v>
      </c>
      <c r="Y165" s="3" t="s">
        <v>77</v>
      </c>
      <c r="Z165" s="13" t="s">
        <v>78</v>
      </c>
      <c r="AA165" s="13" t="s">
        <v>79</v>
      </c>
      <c r="AB165" s="11" t="n">
        <v>13.86</v>
      </c>
    </row>
    <row r="166" customFormat="false" ht="16.4" hidden="false" customHeight="false" outlineLevel="0" collapsed="false">
      <c r="A166" s="3" t="n">
        <v>165</v>
      </c>
      <c r="B166" s="3" t="n">
        <v>10</v>
      </c>
      <c r="C166" s="3" t="s">
        <v>276</v>
      </c>
      <c r="D166" s="10" t="n">
        <v>27148</v>
      </c>
      <c r="E166" s="10" t="n">
        <f aca="false">ROUND(D166*INDEX(مناطق!$AF$2:$AF$23,B166),0)</f>
        <v>23891</v>
      </c>
      <c r="F166" s="11" t="n">
        <f aca="false">ROUND(100*(راهنما!$B$4*(H166-MIN($H$2:$H$350))/(MAX($H$2:$H$350)-MIN($H$2:$H$350))+راهنما!$B$5*(N166-MIN($N$2:$N$350))/(MAX($N$2:$N$350)-MIN($N$2:$N$350))+راهنما!$B$6*(J166-MIN($J$2:$J$350))/(MAX($J$2:$J$350)-MIN($J$2:$J$350))+راهنما!$B$7*(MAX($I$2:$I$350)-I166)/(MAX($I$2:$I$350)-MIN($I$2:$I$350)))/راهنما!$B$8,1)</f>
        <v>56.5</v>
      </c>
      <c r="G166" s="3" t="str">
        <f aca="false">IF(V166&lt;=ROUND(349*0.2,0),"بسیار بالا",IF(V166&lt;=ROUND(349*0.4,0),"بالا",IF(V166&lt;=ROUND(349*0.6,0),"متوسط",IF(V166&lt;=ROUND(349*0.8,0),"پایین","بسیار پایین"))))</f>
        <v>بالا</v>
      </c>
      <c r="H166" s="11" t="n">
        <f aca="false">(100-I166)*(100-L166)/100</f>
        <v>69.307572</v>
      </c>
      <c r="I166" s="11" t="n">
        <v>12.28</v>
      </c>
      <c r="J166" s="11" t="n">
        <v>34.88</v>
      </c>
      <c r="K166" s="11" t="n">
        <f aca="false">J166/(1-I166/100)</f>
        <v>39.7628818969448</v>
      </c>
      <c r="L166" s="11" t="n">
        <v>20.99</v>
      </c>
      <c r="M166" s="11" t="n">
        <v>37.52</v>
      </c>
      <c r="N166" s="11" t="n">
        <v>32.56</v>
      </c>
      <c r="O166" s="11" t="n">
        <v>5.05</v>
      </c>
      <c r="P166" s="10" t="n">
        <f aca="false">ROUND(E166*J166/100,0)</f>
        <v>8333</v>
      </c>
      <c r="Q166" s="10" t="n">
        <f aca="false">ROUND(P166*I166/(100-I166),0)</f>
        <v>1167</v>
      </c>
      <c r="R166" s="10" t="n">
        <f aca="false">ROUND(P166*(100-L166)/100,0)</f>
        <v>6584</v>
      </c>
      <c r="S166" s="10" t="n">
        <f aca="false">ROUND(P166*M166/100,0)</f>
        <v>3127</v>
      </c>
      <c r="T166" s="11" t="n">
        <v>69.31</v>
      </c>
      <c r="U166" s="11" t="n">
        <v>69.31</v>
      </c>
      <c r="V166" s="3" t="n">
        <f aca="false">RANK(F166,$F$2:$F$350,0)</f>
        <v>114</v>
      </c>
      <c r="W166" s="12"/>
      <c r="X166" s="10" t="n">
        <v>0</v>
      </c>
      <c r="Y166" s="3" t="s">
        <v>77</v>
      </c>
      <c r="Z166" s="13" t="s">
        <v>78</v>
      </c>
      <c r="AA166" s="13" t="s">
        <v>79</v>
      </c>
      <c r="AB166" s="11" t="n">
        <v>13.86</v>
      </c>
    </row>
    <row r="167" customFormat="false" ht="16.4" hidden="false" customHeight="false" outlineLevel="0" collapsed="false">
      <c r="A167" s="3" t="n">
        <v>166</v>
      </c>
      <c r="B167" s="3" t="n">
        <v>10</v>
      </c>
      <c r="C167" s="3" t="s">
        <v>277</v>
      </c>
      <c r="D167" s="10" t="n">
        <v>38560</v>
      </c>
      <c r="E167" s="10" t="n">
        <f aca="false">ROUND(D167*INDEX(مناطق!$AF$2:$AF$23,B167),0)</f>
        <v>33933</v>
      </c>
      <c r="F167" s="11" t="n">
        <f aca="false">ROUND(100*(راهنما!$B$4*(H167-MIN($H$2:$H$350))/(MAX($H$2:$H$350)-MIN($H$2:$H$350))+راهنما!$B$5*(N167-MIN($N$2:$N$350))/(MAX($N$2:$N$350)-MIN($N$2:$N$350))+راهنما!$B$6*(J167-MIN($J$2:$J$350))/(MAX($J$2:$J$350)-MIN($J$2:$J$350))+راهنما!$B$7*(MAX($I$2:$I$350)-I167)/(MAX($I$2:$I$350)-MIN($I$2:$I$350)))/راهنما!$B$8,1)</f>
        <v>56</v>
      </c>
      <c r="G167" s="3" t="str">
        <f aca="false">IF(V167&lt;=ROUND(349*0.2,0),"بسیار بالا",IF(V167&lt;=ROUND(349*0.4,0),"بالا",IF(V167&lt;=ROUND(349*0.6,0),"متوسط",IF(V167&lt;=ROUND(349*0.8,0),"پایین","بسیار پایین"))))</f>
        <v>بالا</v>
      </c>
      <c r="H167" s="11" t="n">
        <f aca="false">(100-I167)*(100-L167)/100</f>
        <v>69.158448</v>
      </c>
      <c r="I167" s="11" t="n">
        <v>12.28</v>
      </c>
      <c r="J167" s="11" t="n">
        <v>34.91</v>
      </c>
      <c r="K167" s="11" t="n">
        <f aca="false">J167/(1-I167/100)</f>
        <v>39.797081623347</v>
      </c>
      <c r="L167" s="11" t="n">
        <v>21.16</v>
      </c>
      <c r="M167" s="11" t="n">
        <v>37.52</v>
      </c>
      <c r="N167" s="11" t="n">
        <v>31.78</v>
      </c>
      <c r="O167" s="11" t="n">
        <v>5.11</v>
      </c>
      <c r="P167" s="10" t="n">
        <f aca="false">ROUND(E167*J167/100,0)</f>
        <v>11846</v>
      </c>
      <c r="Q167" s="10" t="n">
        <f aca="false">ROUND(P167*I167/(100-I167),0)</f>
        <v>1658</v>
      </c>
      <c r="R167" s="10" t="n">
        <f aca="false">ROUND(P167*(100-L167)/100,0)</f>
        <v>9339</v>
      </c>
      <c r="S167" s="10" t="n">
        <f aca="false">ROUND(P167*M167/100,0)</f>
        <v>4445</v>
      </c>
      <c r="T167" s="11" t="n">
        <v>69.1</v>
      </c>
      <c r="U167" s="11" t="n">
        <v>69.22</v>
      </c>
      <c r="V167" s="3" t="n">
        <f aca="false">RANK(F167,$F$2:$F$350,0)</f>
        <v>119</v>
      </c>
      <c r="W167" s="12" t="n">
        <v>150</v>
      </c>
      <c r="X167" s="10" t="n">
        <v>92</v>
      </c>
      <c r="Y167" s="3" t="s">
        <v>58</v>
      </c>
      <c r="Z167" s="3" t="s">
        <v>277</v>
      </c>
      <c r="AA167" s="13" t="s">
        <v>59</v>
      </c>
      <c r="AB167" s="11" t="n">
        <v>13.46</v>
      </c>
    </row>
    <row r="168" customFormat="false" ht="16.4" hidden="false" customHeight="false" outlineLevel="0" collapsed="false">
      <c r="A168" s="3" t="n">
        <v>167</v>
      </c>
      <c r="B168" s="3" t="n">
        <v>10</v>
      </c>
      <c r="C168" s="3" t="s">
        <v>278</v>
      </c>
      <c r="D168" s="10" t="n">
        <v>44543</v>
      </c>
      <c r="E168" s="10" t="n">
        <f aca="false">ROUND(D168*INDEX(مناطق!$AF$2:$AF$23,B168),0)</f>
        <v>39198</v>
      </c>
      <c r="F168" s="11" t="n">
        <f aca="false">ROUND(100*(راهنما!$B$4*(H168-MIN($H$2:$H$350))/(MAX($H$2:$H$350)-MIN($H$2:$H$350))+راهنما!$B$5*(N168-MIN($N$2:$N$350))/(MAX($N$2:$N$350)-MIN($N$2:$N$350))+راهنما!$B$6*(J168-MIN($J$2:$J$350))/(MAX($J$2:$J$350)-MIN($J$2:$J$350))+راهنما!$B$7*(MAX($I$2:$I$350)-I168)/(MAX($I$2:$I$350)-MIN($I$2:$I$350)))/راهنما!$B$8,1)</f>
        <v>55.2</v>
      </c>
      <c r="G168" s="3" t="str">
        <f aca="false">IF(V168&lt;=ROUND(349*0.2,0),"بسیار بالا",IF(V168&lt;=ROUND(349*0.4,0),"بالا",IF(V168&lt;=ROUND(349*0.6,0),"متوسط",IF(V168&lt;=ROUND(349*0.8,0),"پایین","بسیار پایین"))))</f>
        <v>بالا</v>
      </c>
      <c r="H168" s="11" t="n">
        <f aca="false">(100-I168)*(100-L168)/100</f>
        <v>68.956692</v>
      </c>
      <c r="I168" s="11" t="n">
        <v>12.28</v>
      </c>
      <c r="J168" s="11" t="n">
        <v>34.95</v>
      </c>
      <c r="K168" s="11" t="n">
        <f aca="false">J168/(1-I168/100)</f>
        <v>39.8426812585499</v>
      </c>
      <c r="L168" s="11" t="n">
        <v>21.39</v>
      </c>
      <c r="M168" s="11" t="n">
        <v>37.52</v>
      </c>
      <c r="N168" s="11" t="n">
        <v>30.7</v>
      </c>
      <c r="O168" s="11" t="n">
        <v>5.2</v>
      </c>
      <c r="P168" s="10" t="n">
        <f aca="false">ROUND(E168*J168/100,0)</f>
        <v>13700</v>
      </c>
      <c r="Q168" s="10" t="n">
        <f aca="false">ROUND(P168*I168/(100-I168),0)</f>
        <v>1918</v>
      </c>
      <c r="R168" s="10" t="n">
        <f aca="false">ROUND(P168*(100-L168)/100,0)</f>
        <v>10770</v>
      </c>
      <c r="S168" s="10" t="n">
        <f aca="false">ROUND(P168*M168/100,0)</f>
        <v>5140</v>
      </c>
      <c r="T168" s="11" t="n">
        <v>68.8</v>
      </c>
      <c r="U168" s="11" t="n">
        <v>69.1</v>
      </c>
      <c r="V168" s="3" t="n">
        <f aca="false">RANK(F168,$F$2:$F$350,0)</f>
        <v>127</v>
      </c>
      <c r="W168" s="12" t="n">
        <v>141.5</v>
      </c>
      <c r="X168" s="10" t="n">
        <v>96</v>
      </c>
      <c r="Y168" s="3" t="s">
        <v>67</v>
      </c>
      <c r="Z168" s="3" t="s">
        <v>279</v>
      </c>
      <c r="AA168" s="13" t="s">
        <v>59</v>
      </c>
      <c r="AB168" s="11" t="n">
        <v>12.92</v>
      </c>
    </row>
    <row r="169" customFormat="false" ht="16.4" hidden="false" customHeight="false" outlineLevel="0" collapsed="false">
      <c r="A169" s="3" t="n">
        <v>168</v>
      </c>
      <c r="B169" s="3" t="n">
        <v>10</v>
      </c>
      <c r="C169" s="3" t="s">
        <v>280</v>
      </c>
      <c r="D169" s="10" t="n">
        <v>18763</v>
      </c>
      <c r="E169" s="10" t="n">
        <f aca="false">ROUND(D169*INDEX(مناطق!$AF$2:$AF$23,B169),0)</f>
        <v>16512</v>
      </c>
      <c r="F169" s="11" t="n">
        <f aca="false">ROUND(100*(راهنما!$B$4*(H169-MIN($H$2:$H$350))/(MAX($H$2:$H$350)-MIN($H$2:$H$350))+راهنما!$B$5*(N169-MIN($N$2:$N$350))/(MAX($N$2:$N$350)-MIN($N$2:$N$350))+راهنما!$B$6*(J169-MIN($J$2:$J$350))/(MAX($J$2:$J$350)-MIN($J$2:$J$350))+راهنما!$B$7*(MAX($I$2:$I$350)-I169)/(MAX($I$2:$I$350)-MIN($I$2:$I$350)))/راهنما!$B$8,1)</f>
        <v>55</v>
      </c>
      <c r="G169" s="3" t="str">
        <f aca="false">IF(V169&lt;=ROUND(349*0.2,0),"بسیار بالا",IF(V169&lt;=ROUND(349*0.4,0),"بالا",IF(V169&lt;=ROUND(349*0.6,0),"متوسط",IF(V169&lt;=ROUND(349*0.8,0),"پایین","بسیار پایین"))))</f>
        <v>بالا</v>
      </c>
      <c r="H169" s="11" t="n">
        <f aca="false">(100-I169)*(100-L169)/100</f>
        <v>68.886516</v>
      </c>
      <c r="I169" s="11" t="n">
        <v>12.28</v>
      </c>
      <c r="J169" s="11" t="n">
        <v>34.97</v>
      </c>
      <c r="K169" s="11" t="n">
        <f aca="false">J169/(1-I169/100)</f>
        <v>39.8654810761514</v>
      </c>
      <c r="L169" s="11" t="n">
        <v>21.47</v>
      </c>
      <c r="M169" s="11" t="n">
        <v>37.52</v>
      </c>
      <c r="N169" s="11" t="n">
        <v>30.37</v>
      </c>
      <c r="O169" s="11" t="n">
        <v>5.23</v>
      </c>
      <c r="P169" s="10" t="n">
        <f aca="false">ROUND(E169*J169/100,0)</f>
        <v>5774</v>
      </c>
      <c r="Q169" s="10" t="n">
        <f aca="false">ROUND(P169*I169/(100-I169),0)</f>
        <v>808</v>
      </c>
      <c r="R169" s="10" t="n">
        <f aca="false">ROUND(P169*(100-L169)/100,0)</f>
        <v>4534</v>
      </c>
      <c r="S169" s="10" t="n">
        <f aca="false">ROUND(P169*M169/100,0)</f>
        <v>2166</v>
      </c>
      <c r="T169" s="11" t="n">
        <v>68.71</v>
      </c>
      <c r="U169" s="11" t="n">
        <v>69.06</v>
      </c>
      <c r="V169" s="3" t="n">
        <f aca="false">RANK(F169,$F$2:$F$350,0)</f>
        <v>129</v>
      </c>
      <c r="W169" s="12" t="n">
        <v>145.1</v>
      </c>
      <c r="X169" s="10" t="n">
        <v>94</v>
      </c>
      <c r="Y169" s="3" t="s">
        <v>67</v>
      </c>
      <c r="Z169" s="3" t="s">
        <v>281</v>
      </c>
      <c r="AA169" s="13" t="s">
        <v>59</v>
      </c>
      <c r="AB169" s="11" t="n">
        <v>12.75</v>
      </c>
    </row>
    <row r="170" customFormat="false" ht="16.4" hidden="false" customHeight="false" outlineLevel="0" collapsed="false">
      <c r="A170" s="3" t="n">
        <v>169</v>
      </c>
      <c r="B170" s="3" t="n">
        <v>10</v>
      </c>
      <c r="C170" s="3" t="s">
        <v>282</v>
      </c>
      <c r="D170" s="10" t="n">
        <v>32285</v>
      </c>
      <c r="E170" s="10" t="n">
        <f aca="false">ROUND(D170*INDEX(مناطق!$AF$2:$AF$23,B170),0)</f>
        <v>28411</v>
      </c>
      <c r="F170" s="11" t="n">
        <f aca="false">ROUND(100*(راهنما!$B$4*(H170-MIN($H$2:$H$350))/(MAX($H$2:$H$350)-MIN($H$2:$H$350))+راهنما!$B$5*(N170-MIN($N$2:$N$350))/(MAX($N$2:$N$350)-MIN($N$2:$N$350))+راهنما!$B$6*(J170-MIN($J$2:$J$350))/(MAX($J$2:$J$350)-MIN($J$2:$J$350))+راهنما!$B$7*(MAX($I$2:$I$350)-I170)/(MAX($I$2:$I$350)-MIN($I$2:$I$350)))/راهنما!$B$8,1)</f>
        <v>53.7</v>
      </c>
      <c r="G170" s="3" t="str">
        <f aca="false">IF(V170&lt;=ROUND(349*0.2,0),"بسیار بالا",IF(V170&lt;=ROUND(349*0.4,0),"بالا",IF(V170&lt;=ROUND(349*0.6,0),"متوسط",IF(V170&lt;=ROUND(349*0.8,0),"پایین","بسیار پایین"))))</f>
        <v>بالا</v>
      </c>
      <c r="H170" s="11" t="n">
        <f aca="false">(100-I170)*(100-L170)/100</f>
        <v>68.535636</v>
      </c>
      <c r="I170" s="11" t="n">
        <v>12.28</v>
      </c>
      <c r="J170" s="11" t="n">
        <v>35.04</v>
      </c>
      <c r="K170" s="11" t="n">
        <f aca="false">J170/(1-I170/100)</f>
        <v>39.9452804377565</v>
      </c>
      <c r="L170" s="11" t="n">
        <v>21.87</v>
      </c>
      <c r="M170" s="11" t="n">
        <v>37.52</v>
      </c>
      <c r="N170" s="11" t="n">
        <v>28.62</v>
      </c>
      <c r="O170" s="11" t="n">
        <v>5.38</v>
      </c>
      <c r="P170" s="10" t="n">
        <f aca="false">ROUND(E170*J170/100,0)</f>
        <v>9955</v>
      </c>
      <c r="Q170" s="10" t="n">
        <f aca="false">ROUND(P170*I170/(100-I170),0)</f>
        <v>1394</v>
      </c>
      <c r="R170" s="10" t="n">
        <f aca="false">ROUND(P170*(100-L170)/100,0)</f>
        <v>7778</v>
      </c>
      <c r="S170" s="10" t="n">
        <f aca="false">ROUND(P170*M170/100,0)</f>
        <v>3735</v>
      </c>
      <c r="T170" s="11" t="n">
        <v>68.2</v>
      </c>
      <c r="U170" s="11" t="n">
        <v>68.86</v>
      </c>
      <c r="V170" s="3" t="n">
        <f aca="false">RANK(F170,$F$2:$F$350,0)</f>
        <v>139</v>
      </c>
      <c r="W170" s="12" t="n">
        <v>138.5</v>
      </c>
      <c r="X170" s="10" t="n">
        <v>85</v>
      </c>
      <c r="Y170" s="3" t="s">
        <v>58</v>
      </c>
      <c r="Z170" s="3" t="s">
        <v>282</v>
      </c>
      <c r="AA170" s="13" t="s">
        <v>59</v>
      </c>
      <c r="AB170" s="11" t="n">
        <v>11.89</v>
      </c>
    </row>
    <row r="171" customFormat="false" ht="16.4" hidden="false" customHeight="false" outlineLevel="0" collapsed="false">
      <c r="A171" s="3" t="n">
        <v>170</v>
      </c>
      <c r="B171" s="3" t="n">
        <v>11</v>
      </c>
      <c r="C171" s="3" t="s">
        <v>283</v>
      </c>
      <c r="D171" s="10" t="n">
        <v>12711</v>
      </c>
      <c r="E171" s="10" t="n">
        <f aca="false">ROUND(D171*INDEX(مناطق!$AF$2:$AF$23,B171),0)</f>
        <v>11239</v>
      </c>
      <c r="F171" s="11" t="n">
        <f aca="false">ROUND(100*(راهنما!$B$4*(H171-MIN($H$2:$H$350))/(MAX($H$2:$H$350)-MIN($H$2:$H$350))+راهنما!$B$5*(N171-MIN($N$2:$N$350))/(MAX($N$2:$N$350)-MIN($N$2:$N$350))+راهنما!$B$6*(J171-MIN($J$2:$J$350))/(MAX($J$2:$J$350)-MIN($J$2:$J$350))+راهنما!$B$7*(MAX($I$2:$I$350)-I171)/(MAX($I$2:$I$350)-MIN($I$2:$I$350)))/راهنما!$B$8,1)</f>
        <v>67.5</v>
      </c>
      <c r="G171" s="3" t="str">
        <f aca="false">IF(V171&lt;=ROUND(349*0.2,0),"بسیار بالا",IF(V171&lt;=ROUND(349*0.4,0),"بالا",IF(V171&lt;=ROUND(349*0.6,0),"متوسط",IF(V171&lt;=ROUND(349*0.8,0),"پایین","بسیار پایین"))))</f>
        <v>بسیار بالا</v>
      </c>
      <c r="H171" s="11" t="n">
        <f aca="false">(100-I171)*(100-L171)/100</f>
        <v>70.56201</v>
      </c>
      <c r="I171" s="11" t="n">
        <v>9.94</v>
      </c>
      <c r="J171" s="11" t="n">
        <v>34.88</v>
      </c>
      <c r="K171" s="11" t="n">
        <f aca="false">J171/(1-I171/100)</f>
        <v>38.7297357317344</v>
      </c>
      <c r="L171" s="11" t="n">
        <v>21.65</v>
      </c>
      <c r="M171" s="11" t="n">
        <v>37.03</v>
      </c>
      <c r="N171" s="11" t="n">
        <v>40.99</v>
      </c>
      <c r="O171" s="11" t="n">
        <v>4.88</v>
      </c>
      <c r="P171" s="10" t="n">
        <f aca="false">ROUND(E171*J171/100,0)</f>
        <v>3920</v>
      </c>
      <c r="Q171" s="10" t="n">
        <f aca="false">ROUND(P171*I171/(100-I171),0)</f>
        <v>433</v>
      </c>
      <c r="R171" s="10" t="n">
        <f aca="false">ROUND(P171*(100-L171)/100,0)</f>
        <v>3071</v>
      </c>
      <c r="S171" s="10" t="n">
        <f aca="false">ROUND(P171*M171/100,0)</f>
        <v>1452</v>
      </c>
      <c r="T171" s="11" t="n">
        <v>70.01</v>
      </c>
      <c r="U171" s="11" t="n">
        <v>71.11</v>
      </c>
      <c r="V171" s="3" t="n">
        <f aca="false">RANK(F171,$F$2:$F$350,0)</f>
        <v>24</v>
      </c>
      <c r="W171" s="12" t="n">
        <v>247.6</v>
      </c>
      <c r="X171" s="10" t="n">
        <v>81</v>
      </c>
      <c r="Y171" s="3" t="s">
        <v>58</v>
      </c>
      <c r="Z171" s="3" t="s">
        <v>284</v>
      </c>
      <c r="AA171" s="13" t="s">
        <v>59</v>
      </c>
      <c r="AB171" s="11" t="n">
        <v>18.98</v>
      </c>
    </row>
    <row r="172" customFormat="false" ht="16.4" hidden="false" customHeight="false" outlineLevel="0" collapsed="false">
      <c r="A172" s="3" t="n">
        <v>171</v>
      </c>
      <c r="B172" s="3" t="n">
        <v>11</v>
      </c>
      <c r="C172" s="3" t="s">
        <v>285</v>
      </c>
      <c r="D172" s="10" t="n">
        <v>12927</v>
      </c>
      <c r="E172" s="10" t="n">
        <f aca="false">ROUND(D172*INDEX(مناطق!$AF$2:$AF$23,B172),0)</f>
        <v>11430</v>
      </c>
      <c r="F172" s="11" t="n">
        <f aca="false">ROUND(100*(راهنما!$B$4*(H172-MIN($H$2:$H$350))/(MAX($H$2:$H$350)-MIN($H$2:$H$350))+راهنما!$B$5*(N172-MIN($N$2:$N$350))/(MAX($N$2:$N$350)-MIN($N$2:$N$350))+راهنما!$B$6*(J172-MIN($J$2:$J$350))/(MAX($J$2:$J$350)-MIN($J$2:$J$350))+راهنما!$B$7*(MAX($I$2:$I$350)-I172)/(MAX($I$2:$I$350)-MIN($I$2:$I$350)))/راهنما!$B$8,1)</f>
        <v>65.7</v>
      </c>
      <c r="G172" s="3" t="str">
        <f aca="false">IF(V172&lt;=ROUND(349*0.2,0),"بسیار بالا",IF(V172&lt;=ROUND(349*0.4,0),"بالا",IF(V172&lt;=ROUND(349*0.6,0),"متوسط",IF(V172&lt;=ROUND(349*0.8,0),"پایین","بسیار پایین"))))</f>
        <v>بسیار بالا</v>
      </c>
      <c r="H172" s="11" t="n">
        <f aca="false">(100-I172)*(100-L172)/100</f>
        <v>70.093698</v>
      </c>
      <c r="I172" s="11" t="n">
        <v>9.94</v>
      </c>
      <c r="J172" s="11" t="n">
        <v>34.97</v>
      </c>
      <c r="K172" s="11" t="n">
        <f aca="false">J172/(1-I172/100)</f>
        <v>38.8296691094826</v>
      </c>
      <c r="L172" s="11" t="n">
        <v>22.17</v>
      </c>
      <c r="M172" s="11" t="n">
        <v>37.03</v>
      </c>
      <c r="N172" s="11" t="n">
        <v>38.43</v>
      </c>
      <c r="O172" s="11" t="n">
        <v>5.06</v>
      </c>
      <c r="P172" s="10" t="n">
        <f aca="false">ROUND(E172*J172/100,0)</f>
        <v>3997</v>
      </c>
      <c r="Q172" s="10" t="n">
        <f aca="false">ROUND(P172*I172/(100-I172),0)</f>
        <v>441</v>
      </c>
      <c r="R172" s="10" t="n">
        <f aca="false">ROUND(P172*(100-L172)/100,0)</f>
        <v>3111</v>
      </c>
      <c r="S172" s="10" t="n">
        <f aca="false">ROUND(P172*M172/100,0)</f>
        <v>1480</v>
      </c>
      <c r="T172" s="11" t="n">
        <v>69.73</v>
      </c>
      <c r="U172" s="11" t="n">
        <v>70.45</v>
      </c>
      <c r="V172" s="3" t="n">
        <f aca="false">RANK(F172,$F$2:$F$350,0)</f>
        <v>30</v>
      </c>
      <c r="W172" s="12" t="n">
        <v>214.8</v>
      </c>
      <c r="X172" s="10" t="n">
        <v>90</v>
      </c>
      <c r="Y172" s="3" t="s">
        <v>58</v>
      </c>
      <c r="Z172" s="3" t="s">
        <v>285</v>
      </c>
      <c r="AA172" s="13" t="s">
        <v>59</v>
      </c>
      <c r="AB172" s="11" t="n">
        <v>17.47</v>
      </c>
    </row>
    <row r="173" customFormat="false" ht="16.4" hidden="false" customHeight="false" outlineLevel="0" collapsed="false">
      <c r="A173" s="3" t="n">
        <v>172</v>
      </c>
      <c r="B173" s="3" t="n">
        <v>11</v>
      </c>
      <c r="C173" s="3" t="s">
        <v>286</v>
      </c>
      <c r="D173" s="10" t="n">
        <v>12321</v>
      </c>
      <c r="E173" s="10" t="n">
        <f aca="false">ROUND(D173*INDEX(مناطق!$AF$2:$AF$23,B173),0)</f>
        <v>10894</v>
      </c>
      <c r="F173" s="11" t="n">
        <f aca="false">ROUND(100*(راهنما!$B$4*(H173-MIN($H$2:$H$350))/(MAX($H$2:$H$350)-MIN($H$2:$H$350))+راهنما!$B$5*(N173-MIN($N$2:$N$350))/(MAX($N$2:$N$350)-MIN($N$2:$N$350))+راهنما!$B$6*(J173-MIN($J$2:$J$350))/(MAX($J$2:$J$350)-MIN($J$2:$J$350))+راهنما!$B$7*(MAX($I$2:$I$350)-I173)/(MAX($I$2:$I$350)-MIN($I$2:$I$350)))/راهنما!$B$8,1)</f>
        <v>65.5</v>
      </c>
      <c r="G173" s="3" t="str">
        <f aca="false">IF(V173&lt;=ROUND(349*0.2,0),"بسیار بالا",IF(V173&lt;=ROUND(349*0.4,0),"بالا",IF(V173&lt;=ROUND(349*0.6,0),"متوسط",IF(V173&lt;=ROUND(349*0.8,0),"پایین","بسیار پایین"))))</f>
        <v>بسیار بالا</v>
      </c>
      <c r="H173" s="11" t="n">
        <f aca="false">(100-I173)*(100-L173)/100</f>
        <v>70.057674</v>
      </c>
      <c r="I173" s="11" t="n">
        <v>9.94</v>
      </c>
      <c r="J173" s="11" t="n">
        <v>34.98</v>
      </c>
      <c r="K173" s="11" t="n">
        <f aca="false">J173/(1-I173/100)</f>
        <v>38.8407728181212</v>
      </c>
      <c r="L173" s="11" t="n">
        <v>22.21</v>
      </c>
      <c r="M173" s="11" t="n">
        <v>37.03</v>
      </c>
      <c r="N173" s="11" t="n">
        <v>38.24</v>
      </c>
      <c r="O173" s="11" t="n">
        <v>5.07</v>
      </c>
      <c r="P173" s="10" t="n">
        <f aca="false">ROUND(E173*J173/100,0)</f>
        <v>3811</v>
      </c>
      <c r="Q173" s="10" t="n">
        <f aca="false">ROUND(P173*I173/(100-I173),0)</f>
        <v>421</v>
      </c>
      <c r="R173" s="10" t="n">
        <f aca="false">ROUND(P173*(100-L173)/100,0)</f>
        <v>2965</v>
      </c>
      <c r="S173" s="10" t="n">
        <f aca="false">ROUND(P173*M173/100,0)</f>
        <v>1411</v>
      </c>
      <c r="T173" s="11" t="n">
        <v>69.71</v>
      </c>
      <c r="U173" s="11" t="n">
        <v>70.4</v>
      </c>
      <c r="V173" s="3" t="n">
        <f aca="false">RANK(F173,$F$2:$F$350,0)</f>
        <v>31</v>
      </c>
      <c r="W173" s="12" t="n">
        <v>200</v>
      </c>
      <c r="X173" s="10" t="n">
        <v>89</v>
      </c>
      <c r="Y173" s="3" t="s">
        <v>67</v>
      </c>
      <c r="Z173" s="3" t="s">
        <v>287</v>
      </c>
      <c r="AA173" s="13" t="s">
        <v>59</v>
      </c>
      <c r="AB173" s="11" t="n">
        <v>17.36</v>
      </c>
    </row>
    <row r="174" customFormat="false" ht="16.4" hidden="false" customHeight="false" outlineLevel="0" collapsed="false">
      <c r="A174" s="3" t="n">
        <v>173</v>
      </c>
      <c r="B174" s="3" t="n">
        <v>11</v>
      </c>
      <c r="C174" s="3" t="s">
        <v>288</v>
      </c>
      <c r="D174" s="10" t="n">
        <v>12840</v>
      </c>
      <c r="E174" s="10" t="n">
        <f aca="false">ROUND(D174*INDEX(مناطق!$AF$2:$AF$23,B174),0)</f>
        <v>11353</v>
      </c>
      <c r="F174" s="11" t="n">
        <f aca="false">ROUND(100*(راهنما!$B$4*(H174-MIN($H$2:$H$350))/(MAX($H$2:$H$350)-MIN($H$2:$H$350))+راهنما!$B$5*(N174-MIN($N$2:$N$350))/(MAX($N$2:$N$350)-MIN($N$2:$N$350))+راهنما!$B$6*(J174-MIN($J$2:$J$350))/(MAX($J$2:$J$350)-MIN($J$2:$J$350))+راهنما!$B$7*(MAX($I$2:$I$350)-I174)/(MAX($I$2:$I$350)-MIN($I$2:$I$350)))/راهنما!$B$8,1)</f>
        <v>65.2</v>
      </c>
      <c r="G174" s="3" t="str">
        <f aca="false">IF(V174&lt;=ROUND(349*0.2,0),"بسیار بالا",IF(V174&lt;=ROUND(349*0.4,0),"بالا",IF(V174&lt;=ROUND(349*0.6,0),"متوسط",IF(V174&lt;=ROUND(349*0.8,0),"پایین","بسیار پایین"))))</f>
        <v>بسیار بالا</v>
      </c>
      <c r="H174" s="11" t="n">
        <f aca="false">(100-I174)*(100-L174)/100</f>
        <v>69.97662</v>
      </c>
      <c r="I174" s="11" t="n">
        <v>9.94</v>
      </c>
      <c r="J174" s="11" t="n">
        <v>34.99</v>
      </c>
      <c r="K174" s="11" t="n">
        <f aca="false">J174/(1-I174/100)</f>
        <v>38.8518765267599</v>
      </c>
      <c r="L174" s="11" t="n">
        <v>22.3</v>
      </c>
      <c r="M174" s="11" t="n">
        <v>37.03</v>
      </c>
      <c r="N174" s="11" t="n">
        <v>37.79</v>
      </c>
      <c r="O174" s="11" t="n">
        <v>5.11</v>
      </c>
      <c r="P174" s="10" t="n">
        <f aca="false">ROUND(E174*J174/100,0)</f>
        <v>3972</v>
      </c>
      <c r="Q174" s="10" t="n">
        <f aca="false">ROUND(P174*I174/(100-I174),0)</f>
        <v>438</v>
      </c>
      <c r="R174" s="10" t="n">
        <f aca="false">ROUND(P174*(100-L174)/100,0)</f>
        <v>3086</v>
      </c>
      <c r="S174" s="10" t="n">
        <f aca="false">ROUND(P174*M174/100,0)</f>
        <v>1471</v>
      </c>
      <c r="T174" s="11" t="n">
        <v>69.66</v>
      </c>
      <c r="U174" s="11" t="n">
        <v>70.29</v>
      </c>
      <c r="V174" s="3" t="n">
        <f aca="false">RANK(F174,$F$2:$F$350,0)</f>
        <v>37</v>
      </c>
      <c r="W174" s="12" t="n">
        <v>210.3</v>
      </c>
      <c r="X174" s="10" t="n">
        <v>89</v>
      </c>
      <c r="Y174" s="3" t="s">
        <v>67</v>
      </c>
      <c r="Z174" s="3" t="s">
        <v>224</v>
      </c>
      <c r="AA174" s="13" t="s">
        <v>59</v>
      </c>
      <c r="AB174" s="11" t="n">
        <v>17.1</v>
      </c>
    </row>
    <row r="175" customFormat="false" ht="16.4" hidden="false" customHeight="false" outlineLevel="0" collapsed="false">
      <c r="A175" s="3" t="n">
        <v>174</v>
      </c>
      <c r="B175" s="3" t="n">
        <v>11</v>
      </c>
      <c r="C175" s="3" t="s">
        <v>289</v>
      </c>
      <c r="D175" s="10" t="n">
        <v>26997</v>
      </c>
      <c r="E175" s="10" t="n">
        <f aca="false">ROUND(D175*INDEX(مناطق!$AF$2:$AF$23,B175),0)</f>
        <v>23870</v>
      </c>
      <c r="F175" s="11" t="n">
        <f aca="false">ROUND(100*(راهنما!$B$4*(H175-MIN($H$2:$H$350))/(MAX($H$2:$H$350)-MIN($H$2:$H$350))+راهنما!$B$5*(N175-MIN($N$2:$N$350))/(MAX($N$2:$N$350)-MIN($N$2:$N$350))+راهنما!$B$6*(J175-MIN($J$2:$J$350))/(MAX($J$2:$J$350)-MIN($J$2:$J$350))+راهنما!$B$7*(MAX($I$2:$I$350)-I175)/(MAX($I$2:$I$350)-MIN($I$2:$I$350)))/راهنما!$B$8,1)</f>
        <v>65</v>
      </c>
      <c r="G175" s="3" t="str">
        <f aca="false">IF(V175&lt;=ROUND(349*0.2,0),"بسیار بالا",IF(V175&lt;=ROUND(349*0.4,0),"بالا",IF(V175&lt;=ROUND(349*0.6,0),"متوسط",IF(V175&lt;=ROUND(349*0.8,0),"پایین","بسیار پایین"))))</f>
        <v>بسیار بالا</v>
      </c>
      <c r="H175" s="11" t="n">
        <f aca="false">(100-I175)*(100-L175)/100</f>
        <v>69.913578</v>
      </c>
      <c r="I175" s="11" t="n">
        <v>9.94</v>
      </c>
      <c r="J175" s="11" t="n">
        <v>35.01</v>
      </c>
      <c r="K175" s="11" t="n">
        <f aca="false">J175/(1-I175/100)</f>
        <v>38.8740839440373</v>
      </c>
      <c r="L175" s="11" t="n">
        <v>22.37</v>
      </c>
      <c r="M175" s="11" t="n">
        <v>37.03</v>
      </c>
      <c r="N175" s="11" t="n">
        <v>37.48</v>
      </c>
      <c r="O175" s="11" t="n">
        <v>5.13</v>
      </c>
      <c r="P175" s="10" t="n">
        <f aca="false">ROUND(E175*J175/100,0)</f>
        <v>8357</v>
      </c>
      <c r="Q175" s="10" t="n">
        <f aca="false">ROUND(P175*I175/(100-I175),0)</f>
        <v>922</v>
      </c>
      <c r="R175" s="10" t="n">
        <f aca="false">ROUND(P175*(100-L175)/100,0)</f>
        <v>6488</v>
      </c>
      <c r="S175" s="10" t="n">
        <f aca="false">ROUND(P175*M175/100,0)</f>
        <v>3095</v>
      </c>
      <c r="T175" s="11" t="n">
        <v>69.63</v>
      </c>
      <c r="U175" s="11" t="n">
        <v>70.2</v>
      </c>
      <c r="V175" s="3" t="n">
        <f aca="false">RANK(F175,$F$2:$F$350,0)</f>
        <v>38</v>
      </c>
      <c r="W175" s="12" t="n">
        <v>200</v>
      </c>
      <c r="X175" s="10" t="n">
        <v>91</v>
      </c>
      <c r="Y175" s="3" t="s">
        <v>58</v>
      </c>
      <c r="Z175" s="3" t="s">
        <v>289</v>
      </c>
      <c r="AA175" s="13" t="s">
        <v>59</v>
      </c>
      <c r="AB175" s="11" t="n">
        <v>16.92</v>
      </c>
    </row>
    <row r="176" customFormat="false" ht="16.4" hidden="false" customHeight="false" outlineLevel="0" collapsed="false">
      <c r="A176" s="3" t="n">
        <v>175</v>
      </c>
      <c r="B176" s="3" t="n">
        <v>11</v>
      </c>
      <c r="C176" s="3" t="s">
        <v>290</v>
      </c>
      <c r="D176" s="10" t="n">
        <v>31062</v>
      </c>
      <c r="E176" s="10" t="n">
        <f aca="false">ROUND(D176*INDEX(مناطق!$AF$2:$AF$23,B176),0)</f>
        <v>27465</v>
      </c>
      <c r="F176" s="11" t="n">
        <f aca="false">ROUND(100*(راهنما!$B$4*(H176-MIN($H$2:$H$350))/(MAX($H$2:$H$350)-MIN($H$2:$H$350))+راهنما!$B$5*(N176-MIN($N$2:$N$350))/(MAX($N$2:$N$350)-MIN($N$2:$N$350))+راهنما!$B$6*(J176-MIN($J$2:$J$350))/(MAX($J$2:$J$350)-MIN($J$2:$J$350))+راهنما!$B$7*(MAX($I$2:$I$350)-I176)/(MAX($I$2:$I$350)-MIN($I$2:$I$350)))/راهنما!$B$8,1)</f>
        <v>64</v>
      </c>
      <c r="G176" s="3" t="str">
        <f aca="false">IF(V176&lt;=ROUND(349*0.2,0),"بسیار بالا",IF(V176&lt;=ROUND(349*0.4,0),"بالا",IF(V176&lt;=ROUND(349*0.6,0),"متوسط",IF(V176&lt;=ROUND(349*0.8,0),"پایین","بسیار پایین"))))</f>
        <v>بسیار بالا</v>
      </c>
      <c r="H176" s="11" t="n">
        <f aca="false">(100-I176)*(100-L176)/100</f>
        <v>69.652404</v>
      </c>
      <c r="I176" s="11" t="n">
        <v>9.94</v>
      </c>
      <c r="J176" s="11" t="n">
        <v>35.06</v>
      </c>
      <c r="K176" s="11" t="n">
        <f aca="false">J176/(1-I176/100)</f>
        <v>38.9296024872307</v>
      </c>
      <c r="L176" s="11" t="n">
        <v>22.66</v>
      </c>
      <c r="M176" s="11" t="n">
        <v>37.03</v>
      </c>
      <c r="N176" s="11" t="n">
        <v>36.12</v>
      </c>
      <c r="O176" s="11" t="n">
        <v>5.23</v>
      </c>
      <c r="P176" s="10" t="n">
        <f aca="false">ROUND(E176*J176/100,0)</f>
        <v>9629</v>
      </c>
      <c r="Q176" s="10" t="n">
        <f aca="false">ROUND(P176*I176/(100-I176),0)</f>
        <v>1063</v>
      </c>
      <c r="R176" s="10" t="n">
        <f aca="false">ROUND(P176*(100-L176)/100,0)</f>
        <v>7447</v>
      </c>
      <c r="S176" s="10" t="n">
        <f aca="false">ROUND(P176*M176/100,0)</f>
        <v>3566</v>
      </c>
      <c r="T176" s="11" t="n">
        <v>69.48</v>
      </c>
      <c r="U176" s="11" t="n">
        <v>69.84</v>
      </c>
      <c r="V176" s="3" t="n">
        <f aca="false">RANK(F176,$F$2:$F$350,0)</f>
        <v>47</v>
      </c>
      <c r="W176" s="12" t="n">
        <v>194.3</v>
      </c>
      <c r="X176" s="10" t="n">
        <v>92</v>
      </c>
      <c r="Y176" s="3" t="s">
        <v>58</v>
      </c>
      <c r="Z176" s="3" t="s">
        <v>290</v>
      </c>
      <c r="AA176" s="13" t="s">
        <v>59</v>
      </c>
      <c r="AB176" s="11" t="n">
        <v>16.16</v>
      </c>
    </row>
    <row r="177" customFormat="false" ht="16.4" hidden="false" customHeight="false" outlineLevel="0" collapsed="false">
      <c r="A177" s="3" t="n">
        <v>176</v>
      </c>
      <c r="B177" s="3" t="n">
        <v>11</v>
      </c>
      <c r="C177" s="3" t="s">
        <v>291</v>
      </c>
      <c r="D177" s="10" t="n">
        <v>17882</v>
      </c>
      <c r="E177" s="10" t="n">
        <f aca="false">ROUND(D177*INDEX(مناطق!$AF$2:$AF$23,B177),0)</f>
        <v>15811</v>
      </c>
      <c r="F177" s="11" t="n">
        <f aca="false">ROUND(100*(راهنما!$B$4*(H177-MIN($H$2:$H$350))/(MAX($H$2:$H$350)-MIN($H$2:$H$350))+راهنما!$B$5*(N177-MIN($N$2:$N$350))/(MAX($N$2:$N$350)-MIN($N$2:$N$350))+راهنما!$B$6*(J177-MIN($J$2:$J$350))/(MAX($J$2:$J$350)-MIN($J$2:$J$350))+راهنما!$B$7*(MAX($I$2:$I$350)-I177)/(MAX($I$2:$I$350)-MIN($I$2:$I$350)))/راهنما!$B$8,1)</f>
        <v>62.4</v>
      </c>
      <c r="G177" s="3" t="str">
        <f aca="false">IF(V177&lt;=ROUND(349*0.2,0),"بسیار بالا",IF(V177&lt;=ROUND(349*0.4,0),"بالا",IF(V177&lt;=ROUND(349*0.6,0),"متوسط",IF(V177&lt;=ROUND(349*0.8,0),"پایین","بسیار پایین"))))</f>
        <v>بسیار بالا</v>
      </c>
      <c r="H177" s="11" t="n">
        <f aca="false">(100-I177)*(100-L177)/100</f>
        <v>69.238128</v>
      </c>
      <c r="I177" s="11" t="n">
        <v>9.94</v>
      </c>
      <c r="J177" s="11" t="n">
        <v>35.14</v>
      </c>
      <c r="K177" s="11" t="n">
        <f aca="false">J177/(1-I177/100)</f>
        <v>39.0184321563402</v>
      </c>
      <c r="L177" s="11" t="n">
        <v>23.12</v>
      </c>
      <c r="M177" s="11" t="n">
        <v>37.03</v>
      </c>
      <c r="N177" s="11" t="n">
        <v>34</v>
      </c>
      <c r="O177" s="11" t="n">
        <v>5.4</v>
      </c>
      <c r="P177" s="10" t="n">
        <f aca="false">ROUND(E177*J177/100,0)</f>
        <v>5556</v>
      </c>
      <c r="Q177" s="10" t="n">
        <f aca="false">ROUND(P177*I177/(100-I177),0)</f>
        <v>613</v>
      </c>
      <c r="R177" s="10" t="n">
        <f aca="false">ROUND(P177*(100-L177)/100,0)</f>
        <v>4271</v>
      </c>
      <c r="S177" s="10" t="n">
        <f aca="false">ROUND(P177*M177/100,0)</f>
        <v>2057</v>
      </c>
      <c r="T177" s="11" t="n">
        <v>69.23</v>
      </c>
      <c r="U177" s="11" t="n">
        <v>69.25</v>
      </c>
      <c r="V177" s="3" t="n">
        <f aca="false">RANK(F177,$F$2:$F$350,0)</f>
        <v>60</v>
      </c>
      <c r="W177" s="12"/>
      <c r="X177" s="10" t="n">
        <v>0</v>
      </c>
      <c r="Y177" s="3" t="s">
        <v>77</v>
      </c>
      <c r="Z177" s="13" t="s">
        <v>78</v>
      </c>
      <c r="AA177" s="13" t="s">
        <v>79</v>
      </c>
      <c r="AB177" s="11" t="n">
        <v>15</v>
      </c>
    </row>
    <row r="178" customFormat="false" ht="16.4" hidden="false" customHeight="false" outlineLevel="0" collapsed="false">
      <c r="A178" s="3" t="n">
        <v>177</v>
      </c>
      <c r="B178" s="3" t="n">
        <v>11</v>
      </c>
      <c r="C178" s="3" t="s">
        <v>292</v>
      </c>
      <c r="D178" s="10" t="n">
        <v>17407</v>
      </c>
      <c r="E178" s="10" t="n">
        <f aca="false">ROUND(D178*INDEX(مناطق!$AF$2:$AF$23,B178),0)</f>
        <v>15391</v>
      </c>
      <c r="F178" s="11" t="n">
        <f aca="false">ROUND(100*(راهنما!$B$4*(H178-MIN($H$2:$H$350))/(MAX($H$2:$H$350)-MIN($H$2:$H$350))+راهنما!$B$5*(N178-MIN($N$2:$N$350))/(MAX($N$2:$N$350)-MIN($N$2:$N$350))+راهنما!$B$6*(J178-MIN($J$2:$J$350))/(MAX($J$2:$J$350)-MIN($J$2:$J$350))+راهنما!$B$7*(MAX($I$2:$I$350)-I178)/(MAX($I$2:$I$350)-MIN($I$2:$I$350)))/راهنما!$B$8,1)</f>
        <v>62.4</v>
      </c>
      <c r="G178" s="3" t="str">
        <f aca="false">IF(V178&lt;=ROUND(349*0.2,0),"بسیار بالا",IF(V178&lt;=ROUND(349*0.4,0),"بالا",IF(V178&lt;=ROUND(349*0.6,0),"متوسط",IF(V178&lt;=ROUND(349*0.8,0),"پایین","بسیار پایین"))))</f>
        <v>بسیار بالا</v>
      </c>
      <c r="H178" s="11" t="n">
        <f aca="false">(100-I178)*(100-L178)/100</f>
        <v>69.238128</v>
      </c>
      <c r="I178" s="11" t="n">
        <v>9.94</v>
      </c>
      <c r="J178" s="11" t="n">
        <v>35.14</v>
      </c>
      <c r="K178" s="11" t="n">
        <f aca="false">J178/(1-I178/100)</f>
        <v>39.0184321563402</v>
      </c>
      <c r="L178" s="11" t="n">
        <v>23.12</v>
      </c>
      <c r="M178" s="11" t="n">
        <v>37.03</v>
      </c>
      <c r="N178" s="11" t="n">
        <v>34</v>
      </c>
      <c r="O178" s="11" t="n">
        <v>5.4</v>
      </c>
      <c r="P178" s="10" t="n">
        <f aca="false">ROUND(E178*J178/100,0)</f>
        <v>5408</v>
      </c>
      <c r="Q178" s="10" t="n">
        <f aca="false">ROUND(P178*I178/(100-I178),0)</f>
        <v>597</v>
      </c>
      <c r="R178" s="10" t="n">
        <f aca="false">ROUND(P178*(100-L178)/100,0)</f>
        <v>4158</v>
      </c>
      <c r="S178" s="10" t="n">
        <f aca="false">ROUND(P178*M178/100,0)</f>
        <v>2003</v>
      </c>
      <c r="T178" s="11" t="n">
        <v>69.23</v>
      </c>
      <c r="U178" s="11" t="n">
        <v>69.25</v>
      </c>
      <c r="V178" s="3" t="n">
        <f aca="false">RANK(F178,$F$2:$F$350,0)</f>
        <v>60</v>
      </c>
      <c r="W178" s="12"/>
      <c r="X178" s="10" t="n">
        <v>0</v>
      </c>
      <c r="Y178" s="3" t="s">
        <v>77</v>
      </c>
      <c r="Z178" s="13" t="s">
        <v>78</v>
      </c>
      <c r="AA178" s="13" t="s">
        <v>79</v>
      </c>
      <c r="AB178" s="11" t="n">
        <v>15</v>
      </c>
    </row>
    <row r="179" customFormat="false" ht="16.4" hidden="false" customHeight="false" outlineLevel="0" collapsed="false">
      <c r="A179" s="3" t="n">
        <v>178</v>
      </c>
      <c r="B179" s="3" t="n">
        <v>11</v>
      </c>
      <c r="C179" s="3" t="s">
        <v>293</v>
      </c>
      <c r="D179" s="10" t="n">
        <v>15941</v>
      </c>
      <c r="E179" s="10" t="n">
        <f aca="false">ROUND(D179*INDEX(مناطق!$AF$2:$AF$23,B179),0)</f>
        <v>14095</v>
      </c>
      <c r="F179" s="11" t="n">
        <f aca="false">ROUND(100*(راهنما!$B$4*(H179-MIN($H$2:$H$350))/(MAX($H$2:$H$350)-MIN($H$2:$H$350))+راهنما!$B$5*(N179-MIN($N$2:$N$350))/(MAX($N$2:$N$350)-MIN($N$2:$N$350))+راهنما!$B$6*(J179-MIN($J$2:$J$350))/(MAX($J$2:$J$350)-MIN($J$2:$J$350))+راهنما!$B$7*(MAX($I$2:$I$350)-I179)/(MAX($I$2:$I$350)-MIN($I$2:$I$350)))/راهنما!$B$8,1)</f>
        <v>62.4</v>
      </c>
      <c r="G179" s="3" t="str">
        <f aca="false">IF(V179&lt;=ROUND(349*0.2,0),"بسیار بالا",IF(V179&lt;=ROUND(349*0.4,0),"بالا",IF(V179&lt;=ROUND(349*0.6,0),"متوسط",IF(V179&lt;=ROUND(349*0.8,0),"پایین","بسیار پایین"))))</f>
        <v>بسیار بالا</v>
      </c>
      <c r="H179" s="11" t="n">
        <f aca="false">(100-I179)*(100-L179)/100</f>
        <v>69.238128</v>
      </c>
      <c r="I179" s="11" t="n">
        <v>9.94</v>
      </c>
      <c r="J179" s="11" t="n">
        <v>35.14</v>
      </c>
      <c r="K179" s="11" t="n">
        <f aca="false">J179/(1-I179/100)</f>
        <v>39.0184321563402</v>
      </c>
      <c r="L179" s="11" t="n">
        <v>23.12</v>
      </c>
      <c r="M179" s="11" t="n">
        <v>37.03</v>
      </c>
      <c r="N179" s="11" t="n">
        <v>34</v>
      </c>
      <c r="O179" s="11" t="n">
        <v>5.4</v>
      </c>
      <c r="P179" s="10" t="n">
        <f aca="false">ROUND(E179*J179/100,0)</f>
        <v>4953</v>
      </c>
      <c r="Q179" s="10" t="n">
        <f aca="false">ROUND(P179*I179/(100-I179),0)</f>
        <v>547</v>
      </c>
      <c r="R179" s="10" t="n">
        <f aca="false">ROUND(P179*(100-L179)/100,0)</f>
        <v>3808</v>
      </c>
      <c r="S179" s="10" t="n">
        <f aca="false">ROUND(P179*M179/100,0)</f>
        <v>1834</v>
      </c>
      <c r="T179" s="11" t="n">
        <v>69.23</v>
      </c>
      <c r="U179" s="11" t="n">
        <v>69.25</v>
      </c>
      <c r="V179" s="3" t="n">
        <f aca="false">RANK(F179,$F$2:$F$350,0)</f>
        <v>60</v>
      </c>
      <c r="W179" s="12"/>
      <c r="X179" s="10" t="n">
        <v>0</v>
      </c>
      <c r="Y179" s="3" t="s">
        <v>77</v>
      </c>
      <c r="Z179" s="13" t="s">
        <v>78</v>
      </c>
      <c r="AA179" s="13" t="s">
        <v>79</v>
      </c>
      <c r="AB179" s="11" t="n">
        <v>15</v>
      </c>
    </row>
    <row r="180" customFormat="false" ht="16.4" hidden="false" customHeight="false" outlineLevel="0" collapsed="false">
      <c r="A180" s="3" t="n">
        <v>179</v>
      </c>
      <c r="B180" s="3" t="n">
        <v>11</v>
      </c>
      <c r="C180" s="3" t="s">
        <v>294</v>
      </c>
      <c r="D180" s="10" t="n">
        <v>12430</v>
      </c>
      <c r="E180" s="10" t="n">
        <f aca="false">ROUND(D180*INDEX(مناطق!$AF$2:$AF$23,B180),0)</f>
        <v>10990</v>
      </c>
      <c r="F180" s="11" t="n">
        <f aca="false">ROUND(100*(راهنما!$B$4*(H180-MIN($H$2:$H$350))/(MAX($H$2:$H$350)-MIN($H$2:$H$350))+راهنما!$B$5*(N180-MIN($N$2:$N$350))/(MAX($N$2:$N$350)-MIN($N$2:$N$350))+راهنما!$B$6*(J180-MIN($J$2:$J$350))/(MAX($J$2:$J$350)-MIN($J$2:$J$350))+راهنما!$B$7*(MAX($I$2:$I$350)-I180)/(MAX($I$2:$I$350)-MIN($I$2:$I$350)))/راهنما!$B$8,1)</f>
        <v>62.4</v>
      </c>
      <c r="G180" s="3" t="str">
        <f aca="false">IF(V180&lt;=ROUND(349*0.2,0),"بسیار بالا",IF(V180&lt;=ROUND(349*0.4,0),"بالا",IF(V180&lt;=ROUND(349*0.6,0),"متوسط",IF(V180&lt;=ROUND(349*0.8,0),"پایین","بسیار پایین"))))</f>
        <v>بسیار بالا</v>
      </c>
      <c r="H180" s="11" t="n">
        <f aca="false">(100-I180)*(100-L180)/100</f>
        <v>69.238128</v>
      </c>
      <c r="I180" s="11" t="n">
        <v>9.94</v>
      </c>
      <c r="J180" s="11" t="n">
        <v>35.14</v>
      </c>
      <c r="K180" s="11" t="n">
        <f aca="false">J180/(1-I180/100)</f>
        <v>39.0184321563402</v>
      </c>
      <c r="L180" s="11" t="n">
        <v>23.12</v>
      </c>
      <c r="M180" s="11" t="n">
        <v>37.03</v>
      </c>
      <c r="N180" s="11" t="n">
        <v>34</v>
      </c>
      <c r="O180" s="11" t="n">
        <v>5.4</v>
      </c>
      <c r="P180" s="10" t="n">
        <f aca="false">ROUND(E180*J180/100,0)</f>
        <v>3862</v>
      </c>
      <c r="Q180" s="10" t="n">
        <f aca="false">ROUND(P180*I180/(100-I180),0)</f>
        <v>426</v>
      </c>
      <c r="R180" s="10" t="n">
        <f aca="false">ROUND(P180*(100-L180)/100,0)</f>
        <v>2969</v>
      </c>
      <c r="S180" s="10" t="n">
        <f aca="false">ROUND(P180*M180/100,0)</f>
        <v>1430</v>
      </c>
      <c r="T180" s="11" t="n">
        <v>69.23</v>
      </c>
      <c r="U180" s="11" t="n">
        <v>69.25</v>
      </c>
      <c r="V180" s="3" t="n">
        <f aca="false">RANK(F180,$F$2:$F$350,0)</f>
        <v>60</v>
      </c>
      <c r="W180" s="12"/>
      <c r="X180" s="10" t="n">
        <v>0</v>
      </c>
      <c r="Y180" s="3" t="s">
        <v>77</v>
      </c>
      <c r="Z180" s="13" t="s">
        <v>78</v>
      </c>
      <c r="AA180" s="13" t="s">
        <v>79</v>
      </c>
      <c r="AB180" s="11" t="n">
        <v>15</v>
      </c>
    </row>
    <row r="181" customFormat="false" ht="16.4" hidden="false" customHeight="false" outlineLevel="0" collapsed="false">
      <c r="A181" s="3" t="n">
        <v>180</v>
      </c>
      <c r="B181" s="3" t="n">
        <v>11</v>
      </c>
      <c r="C181" s="3" t="s">
        <v>295</v>
      </c>
      <c r="D181" s="10" t="n">
        <v>11793</v>
      </c>
      <c r="E181" s="10" t="n">
        <f aca="false">ROUND(D181*INDEX(مناطق!$AF$2:$AF$23,B181),0)</f>
        <v>10427</v>
      </c>
      <c r="F181" s="11" t="n">
        <f aca="false">ROUND(100*(راهنما!$B$4*(H181-MIN($H$2:$H$350))/(MAX($H$2:$H$350)-MIN($H$2:$H$350))+راهنما!$B$5*(N181-MIN($N$2:$N$350))/(MAX($N$2:$N$350)-MIN($N$2:$N$350))+راهنما!$B$6*(J181-MIN($J$2:$J$350))/(MAX($J$2:$J$350)-MIN($J$2:$J$350))+راهنما!$B$7*(MAX($I$2:$I$350)-I181)/(MAX($I$2:$I$350)-MIN($I$2:$I$350)))/راهنما!$B$8,1)</f>
        <v>62.4</v>
      </c>
      <c r="G181" s="3" t="str">
        <f aca="false">IF(V181&lt;=ROUND(349*0.2,0),"بسیار بالا",IF(V181&lt;=ROUND(349*0.4,0),"بالا",IF(V181&lt;=ROUND(349*0.6,0),"متوسط",IF(V181&lt;=ROUND(349*0.8,0),"پایین","بسیار پایین"))))</f>
        <v>بسیار بالا</v>
      </c>
      <c r="H181" s="11" t="n">
        <f aca="false">(100-I181)*(100-L181)/100</f>
        <v>69.238128</v>
      </c>
      <c r="I181" s="11" t="n">
        <v>9.94</v>
      </c>
      <c r="J181" s="11" t="n">
        <v>35.14</v>
      </c>
      <c r="K181" s="11" t="n">
        <f aca="false">J181/(1-I181/100)</f>
        <v>39.0184321563402</v>
      </c>
      <c r="L181" s="11" t="n">
        <v>23.12</v>
      </c>
      <c r="M181" s="11" t="n">
        <v>37.03</v>
      </c>
      <c r="N181" s="11" t="n">
        <v>34</v>
      </c>
      <c r="O181" s="11" t="n">
        <v>5.4</v>
      </c>
      <c r="P181" s="10" t="n">
        <f aca="false">ROUND(E181*J181/100,0)</f>
        <v>3664</v>
      </c>
      <c r="Q181" s="10" t="n">
        <f aca="false">ROUND(P181*I181/(100-I181),0)</f>
        <v>404</v>
      </c>
      <c r="R181" s="10" t="n">
        <f aca="false">ROUND(P181*(100-L181)/100,0)</f>
        <v>2817</v>
      </c>
      <c r="S181" s="10" t="n">
        <f aca="false">ROUND(P181*M181/100,0)</f>
        <v>1357</v>
      </c>
      <c r="T181" s="11" t="n">
        <v>69.23</v>
      </c>
      <c r="U181" s="11" t="n">
        <v>69.25</v>
      </c>
      <c r="V181" s="3" t="n">
        <f aca="false">RANK(F181,$F$2:$F$350,0)</f>
        <v>60</v>
      </c>
      <c r="W181" s="12"/>
      <c r="X181" s="10" t="n">
        <v>0</v>
      </c>
      <c r="Y181" s="3" t="s">
        <v>77</v>
      </c>
      <c r="Z181" s="13" t="s">
        <v>78</v>
      </c>
      <c r="AA181" s="13" t="s">
        <v>79</v>
      </c>
      <c r="AB181" s="11" t="n">
        <v>15</v>
      </c>
    </row>
    <row r="182" customFormat="false" ht="16.4" hidden="false" customHeight="false" outlineLevel="0" collapsed="false">
      <c r="A182" s="3" t="n">
        <v>181</v>
      </c>
      <c r="B182" s="3" t="n">
        <v>11</v>
      </c>
      <c r="C182" s="3" t="s">
        <v>296</v>
      </c>
      <c r="D182" s="10" t="n">
        <v>30541</v>
      </c>
      <c r="E182" s="10" t="n">
        <f aca="false">ROUND(D182*INDEX(مناطق!$AF$2:$AF$23,B182),0)</f>
        <v>27004</v>
      </c>
      <c r="F182" s="11" t="n">
        <f aca="false">ROUND(100*(راهنما!$B$4*(H182-MIN($H$2:$H$350))/(MAX($H$2:$H$350)-MIN($H$2:$H$350))+راهنما!$B$5*(N182-MIN($N$2:$N$350))/(MAX($N$2:$N$350)-MIN($N$2:$N$350))+راهنما!$B$6*(J182-MIN($J$2:$J$350))/(MAX($J$2:$J$350)-MIN($J$2:$J$350))+راهنما!$B$7*(MAX($I$2:$I$350)-I182)/(MAX($I$2:$I$350)-MIN($I$2:$I$350)))/راهنما!$B$8,1)</f>
        <v>62.3</v>
      </c>
      <c r="G182" s="3" t="str">
        <f aca="false">IF(V182&lt;=ROUND(349*0.2,0),"بسیار بالا",IF(V182&lt;=ROUND(349*0.4,0),"بالا",IF(V182&lt;=ROUND(349*0.6,0),"متوسط",IF(V182&lt;=ROUND(349*0.8,0),"پایین","بسیار پایین"))))</f>
        <v>بسیار بالا</v>
      </c>
      <c r="H182" s="11" t="n">
        <f aca="false">(100-I182)*(100-L182)/100</f>
        <v>69.220116</v>
      </c>
      <c r="I182" s="11" t="n">
        <v>9.94</v>
      </c>
      <c r="J182" s="11" t="n">
        <v>35.14</v>
      </c>
      <c r="K182" s="11" t="n">
        <f aca="false">J182/(1-I182/100)</f>
        <v>39.0184321563402</v>
      </c>
      <c r="L182" s="11" t="n">
        <v>23.14</v>
      </c>
      <c r="M182" s="11" t="n">
        <v>37.03</v>
      </c>
      <c r="N182" s="11" t="n">
        <v>33.92</v>
      </c>
      <c r="O182" s="11" t="n">
        <v>5.4</v>
      </c>
      <c r="P182" s="10" t="n">
        <f aca="false">ROUND(E182*J182/100,0)</f>
        <v>9489</v>
      </c>
      <c r="Q182" s="10" t="n">
        <f aca="false">ROUND(P182*I182/(100-I182),0)</f>
        <v>1047</v>
      </c>
      <c r="R182" s="10" t="n">
        <f aca="false">ROUND(P182*(100-L182)/100,0)</f>
        <v>7293</v>
      </c>
      <c r="S182" s="10" t="n">
        <f aca="false">ROUND(P182*M182/100,0)</f>
        <v>3514</v>
      </c>
      <c r="T182" s="11" t="n">
        <v>69.22</v>
      </c>
      <c r="U182" s="11" t="n">
        <v>69.22</v>
      </c>
      <c r="V182" s="3" t="n">
        <f aca="false">RANK(F182,$F$2:$F$350,0)</f>
        <v>65</v>
      </c>
      <c r="W182" s="12" t="n">
        <v>182.9</v>
      </c>
      <c r="X182" s="10" t="n">
        <v>85</v>
      </c>
      <c r="Y182" s="3" t="s">
        <v>58</v>
      </c>
      <c r="Z182" s="3" t="s">
        <v>296</v>
      </c>
      <c r="AA182" s="13" t="s">
        <v>59</v>
      </c>
      <c r="AB182" s="11" t="n">
        <v>14.96</v>
      </c>
    </row>
    <row r="183" customFormat="false" ht="16.4" hidden="false" customHeight="false" outlineLevel="0" collapsed="false">
      <c r="A183" s="3" t="n">
        <v>182</v>
      </c>
      <c r="B183" s="3" t="n">
        <v>11</v>
      </c>
      <c r="C183" s="3" t="s">
        <v>297</v>
      </c>
      <c r="D183" s="10" t="n">
        <v>16444</v>
      </c>
      <c r="E183" s="10" t="n">
        <f aca="false">ROUND(D183*INDEX(مناطق!$AF$2:$AF$23,B183),0)</f>
        <v>14540</v>
      </c>
      <c r="F183" s="11" t="n">
        <f aca="false">ROUND(100*(راهنما!$B$4*(H183-MIN($H$2:$H$350))/(MAX($H$2:$H$350)-MIN($H$2:$H$350))+راهنما!$B$5*(N183-MIN($N$2:$N$350))/(MAX($N$2:$N$350)-MIN($N$2:$N$350))+راهنما!$B$6*(J183-MIN($J$2:$J$350))/(MAX($J$2:$J$350)-MIN($J$2:$J$350))+راهنما!$B$7*(MAX($I$2:$I$350)-I183)/(MAX($I$2:$I$350)-MIN($I$2:$I$350)))/راهنما!$B$8,1)</f>
        <v>61.9</v>
      </c>
      <c r="G183" s="3" t="str">
        <f aca="false">IF(V183&lt;=ROUND(349*0.2,0),"بسیار بالا",IF(V183&lt;=ROUND(349*0.4,0),"بالا",IF(V183&lt;=ROUND(349*0.6,0),"متوسط",IF(V183&lt;=ROUND(349*0.8,0),"پایین","بسیار پایین"))))</f>
        <v>بسیار بالا</v>
      </c>
      <c r="H183" s="11" t="n">
        <f aca="false">(100-I183)*(100-L183)/100</f>
        <v>69.112044</v>
      </c>
      <c r="I183" s="11" t="n">
        <v>9.94</v>
      </c>
      <c r="J183" s="11" t="n">
        <v>35.16</v>
      </c>
      <c r="K183" s="11" t="n">
        <f aca="false">J183/(1-I183/100)</f>
        <v>39.0406395736176</v>
      </c>
      <c r="L183" s="11" t="n">
        <v>23.26</v>
      </c>
      <c r="M183" s="11" t="n">
        <v>37.03</v>
      </c>
      <c r="N183" s="11" t="n">
        <v>33.4</v>
      </c>
      <c r="O183" s="11" t="n">
        <v>5.45</v>
      </c>
      <c r="P183" s="10" t="n">
        <f aca="false">ROUND(E183*J183/100,0)</f>
        <v>5112</v>
      </c>
      <c r="Q183" s="10" t="n">
        <f aca="false">ROUND(P183*I183/(100-I183),0)</f>
        <v>564</v>
      </c>
      <c r="R183" s="10" t="n">
        <f aca="false">ROUND(P183*(100-L183)/100,0)</f>
        <v>3923</v>
      </c>
      <c r="S183" s="10" t="n">
        <f aca="false">ROUND(P183*M183/100,0)</f>
        <v>1893</v>
      </c>
      <c r="T183" s="11" t="n">
        <v>69.07</v>
      </c>
      <c r="U183" s="11" t="n">
        <v>69.16</v>
      </c>
      <c r="V183" s="3" t="n">
        <f aca="false">RANK(F183,$F$2:$F$350,0)</f>
        <v>68</v>
      </c>
      <c r="W183" s="12" t="n">
        <v>176.9</v>
      </c>
      <c r="X183" s="10" t="n">
        <v>83</v>
      </c>
      <c r="Y183" s="3" t="s">
        <v>58</v>
      </c>
      <c r="Z183" s="3" t="s">
        <v>297</v>
      </c>
      <c r="AA183" s="13" t="s">
        <v>59</v>
      </c>
      <c r="AB183" s="11" t="n">
        <v>14.68</v>
      </c>
    </row>
    <row r="184" customFormat="false" ht="16.4" hidden="false" customHeight="false" outlineLevel="0" collapsed="false">
      <c r="A184" s="3" t="n">
        <v>183</v>
      </c>
      <c r="B184" s="3" t="n">
        <v>11</v>
      </c>
      <c r="C184" s="3" t="s">
        <v>298</v>
      </c>
      <c r="D184" s="10" t="n">
        <v>18600</v>
      </c>
      <c r="E184" s="10" t="n">
        <f aca="false">ROUND(D184*INDEX(مناطق!$AF$2:$AF$23,B184),0)</f>
        <v>16446</v>
      </c>
      <c r="F184" s="11" t="n">
        <f aca="false">ROUND(100*(راهنما!$B$4*(H184-MIN($H$2:$H$350))/(MAX($H$2:$H$350)-MIN($H$2:$H$350))+راهنما!$B$5*(N184-MIN($N$2:$N$350))/(MAX($N$2:$N$350)-MIN($N$2:$N$350))+راهنما!$B$6*(J184-MIN($J$2:$J$350))/(MAX($J$2:$J$350)-MIN($J$2:$J$350))+راهنما!$B$7*(MAX($I$2:$I$350)-I184)/(MAX($I$2:$I$350)-MIN($I$2:$I$350)))/راهنما!$B$8,1)</f>
        <v>60.3</v>
      </c>
      <c r="G184" s="3" t="str">
        <f aca="false">IF(V184&lt;=ROUND(349*0.2,0),"بسیار بالا",IF(V184&lt;=ROUND(349*0.4,0),"بالا",IF(V184&lt;=ROUND(349*0.6,0),"متوسط",IF(V184&lt;=ROUND(349*0.8,0),"پایین","بسیار پایین"))))</f>
        <v>بالا</v>
      </c>
      <c r="H184" s="11" t="n">
        <f aca="false">(100-I184)*(100-L184)/100</f>
        <v>68.67075</v>
      </c>
      <c r="I184" s="11" t="n">
        <v>9.94</v>
      </c>
      <c r="J184" s="11" t="n">
        <v>35.24</v>
      </c>
      <c r="K184" s="11" t="n">
        <f aca="false">J184/(1-I184/100)</f>
        <v>39.1294692427271</v>
      </c>
      <c r="L184" s="11" t="n">
        <v>23.75</v>
      </c>
      <c r="M184" s="11" t="n">
        <v>37.03</v>
      </c>
      <c r="N184" s="11" t="n">
        <v>31.29</v>
      </c>
      <c r="O184" s="11" t="n">
        <v>5.62</v>
      </c>
      <c r="P184" s="10" t="n">
        <f aca="false">ROUND(E184*J184/100,0)</f>
        <v>5796</v>
      </c>
      <c r="Q184" s="10" t="n">
        <f aca="false">ROUND(P184*I184/(100-I184),0)</f>
        <v>640</v>
      </c>
      <c r="R184" s="10" t="n">
        <f aca="false">ROUND(P184*(100-L184)/100,0)</f>
        <v>4419</v>
      </c>
      <c r="S184" s="10" t="n">
        <f aca="false">ROUND(P184*M184/100,0)</f>
        <v>2146</v>
      </c>
      <c r="T184" s="11" t="n">
        <v>68.44</v>
      </c>
      <c r="U184" s="11" t="n">
        <v>68.91</v>
      </c>
      <c r="V184" s="3" t="n">
        <f aca="false">RANK(F184,$F$2:$F$350,0)</f>
        <v>78</v>
      </c>
      <c r="W184" s="12" t="n">
        <v>166.3</v>
      </c>
      <c r="X184" s="10" t="n">
        <v>89</v>
      </c>
      <c r="Y184" s="3" t="s">
        <v>58</v>
      </c>
      <c r="Z184" s="3" t="s">
        <v>298</v>
      </c>
      <c r="AA184" s="13" t="s">
        <v>59</v>
      </c>
      <c r="AB184" s="11" t="n">
        <v>13.58</v>
      </c>
    </row>
    <row r="185" customFormat="false" ht="16.4" hidden="false" customHeight="false" outlineLevel="0" collapsed="false">
      <c r="A185" s="3" t="n">
        <v>184</v>
      </c>
      <c r="B185" s="3" t="n">
        <v>11</v>
      </c>
      <c r="C185" s="3" t="s">
        <v>299</v>
      </c>
      <c r="D185" s="10" t="n">
        <v>24934</v>
      </c>
      <c r="E185" s="10" t="n">
        <f aca="false">ROUND(D185*INDEX(مناطق!$AF$2:$AF$23,B185),0)</f>
        <v>22046</v>
      </c>
      <c r="F185" s="11" t="n">
        <f aca="false">ROUND(100*(راهنما!$B$4*(H185-MIN($H$2:$H$350))/(MAX($H$2:$H$350)-MIN($H$2:$H$350))+راهنما!$B$5*(N185-MIN($N$2:$N$350))/(MAX($N$2:$N$350)-MIN($N$2:$N$350))+راهنما!$B$6*(J185-MIN($J$2:$J$350))/(MAX($J$2:$J$350)-MIN($J$2:$J$350))+راهنما!$B$7*(MAX($I$2:$I$350)-I185)/(MAX($I$2:$I$350)-MIN($I$2:$I$350)))/راهنما!$B$8,1)</f>
        <v>59.1</v>
      </c>
      <c r="G185" s="3" t="str">
        <f aca="false">IF(V185&lt;=ROUND(349*0.2,0),"بسیار بالا",IF(V185&lt;=ROUND(349*0.4,0),"بالا",IF(V185&lt;=ROUND(349*0.6,0),"متوسط",IF(V185&lt;=ROUND(349*0.8,0),"پایین","بسیار پایین"))))</f>
        <v>بالا</v>
      </c>
      <c r="H185" s="11" t="n">
        <f aca="false">(100-I185)*(100-L185)/100</f>
        <v>68.346534</v>
      </c>
      <c r="I185" s="11" t="n">
        <v>9.94</v>
      </c>
      <c r="J185" s="11" t="n">
        <v>35.3</v>
      </c>
      <c r="K185" s="11" t="n">
        <f aca="false">J185/(1-I185/100)</f>
        <v>39.1960914945592</v>
      </c>
      <c r="L185" s="11" t="n">
        <v>24.11</v>
      </c>
      <c r="M185" s="11" t="n">
        <v>37.03</v>
      </c>
      <c r="N185" s="11" t="n">
        <v>29.8</v>
      </c>
      <c r="O185" s="11" t="n">
        <v>5.76</v>
      </c>
      <c r="P185" s="10" t="n">
        <f aca="false">ROUND(E185*J185/100,0)</f>
        <v>7782</v>
      </c>
      <c r="Q185" s="10" t="n">
        <f aca="false">ROUND(P185*I185/(100-I185),0)</f>
        <v>859</v>
      </c>
      <c r="R185" s="10" t="n">
        <f aca="false">ROUND(P185*(100-L185)/100,0)</f>
        <v>5906</v>
      </c>
      <c r="S185" s="10" t="n">
        <f aca="false">ROUND(P185*M185/100,0)</f>
        <v>2882</v>
      </c>
      <c r="T185" s="11" t="n">
        <v>67.98</v>
      </c>
      <c r="U185" s="11" t="n">
        <v>68.72</v>
      </c>
      <c r="V185" s="3" t="n">
        <f aca="false">RANK(F185,$F$2:$F$350,0)</f>
        <v>92</v>
      </c>
      <c r="W185" s="12" t="n">
        <v>160.5</v>
      </c>
      <c r="X185" s="10" t="n">
        <v>82</v>
      </c>
      <c r="Y185" s="3" t="s">
        <v>67</v>
      </c>
      <c r="Z185" s="3" t="s">
        <v>300</v>
      </c>
      <c r="AA185" s="13" t="s">
        <v>59</v>
      </c>
      <c r="AB185" s="11" t="n">
        <v>12.82</v>
      </c>
    </row>
    <row r="186" customFormat="false" ht="16.4" hidden="false" customHeight="false" outlineLevel="0" collapsed="false">
      <c r="A186" s="3" t="n">
        <v>185</v>
      </c>
      <c r="B186" s="3" t="n">
        <v>11</v>
      </c>
      <c r="C186" s="3" t="s">
        <v>301</v>
      </c>
      <c r="D186" s="10" t="n">
        <v>13184</v>
      </c>
      <c r="E186" s="10" t="n">
        <f aca="false">ROUND(D186*INDEX(مناطق!$AF$2:$AF$23,B186),0)</f>
        <v>11657</v>
      </c>
      <c r="F186" s="11" t="n">
        <f aca="false">ROUND(100*(راهنما!$B$4*(H186-MIN($H$2:$H$350))/(MAX($H$2:$H$350)-MIN($H$2:$H$350))+راهنما!$B$5*(N186-MIN($N$2:$N$350))/(MAX($N$2:$N$350)-MIN($N$2:$N$350))+راهنما!$B$6*(J186-MIN($J$2:$J$350))/(MAX($J$2:$J$350)-MIN($J$2:$J$350))+راهنما!$B$7*(MAX($I$2:$I$350)-I186)/(MAX($I$2:$I$350)-MIN($I$2:$I$350)))/راهنما!$B$8,1)</f>
        <v>57.3</v>
      </c>
      <c r="G186" s="3" t="str">
        <f aca="false">IF(V186&lt;=ROUND(349*0.2,0),"بسیار بالا",IF(V186&lt;=ROUND(349*0.4,0),"بالا",IF(V186&lt;=ROUND(349*0.6,0),"متوسط",IF(V186&lt;=ROUND(349*0.8,0),"پایین","بسیار پایین"))))</f>
        <v>بالا</v>
      </c>
      <c r="H186" s="11" t="n">
        <f aca="false">(100-I186)*(100-L186)/100</f>
        <v>67.833192</v>
      </c>
      <c r="I186" s="11" t="n">
        <v>9.94</v>
      </c>
      <c r="J186" s="11" t="n">
        <v>35.4</v>
      </c>
      <c r="K186" s="11" t="n">
        <f aca="false">J186/(1-I186/100)</f>
        <v>39.307128580946</v>
      </c>
      <c r="L186" s="11" t="n">
        <v>24.68</v>
      </c>
      <c r="M186" s="11" t="n">
        <v>37.03</v>
      </c>
      <c r="N186" s="11" t="n">
        <v>27.54</v>
      </c>
      <c r="O186" s="11" t="n">
        <v>5.98</v>
      </c>
      <c r="P186" s="10" t="n">
        <f aca="false">ROUND(E186*J186/100,0)</f>
        <v>4127</v>
      </c>
      <c r="Q186" s="10" t="n">
        <f aca="false">ROUND(P186*I186/(100-I186),0)</f>
        <v>456</v>
      </c>
      <c r="R186" s="10" t="n">
        <f aca="false">ROUND(P186*(100-L186)/100,0)</f>
        <v>3108</v>
      </c>
      <c r="S186" s="10" t="n">
        <f aca="false">ROUND(P186*M186/100,0)</f>
        <v>1528</v>
      </c>
      <c r="T186" s="11" t="n">
        <v>67.23</v>
      </c>
      <c r="U186" s="11" t="n">
        <v>68.42</v>
      </c>
      <c r="V186" s="3" t="n">
        <f aca="false">RANK(F186,$F$2:$F$350,0)</f>
        <v>108</v>
      </c>
      <c r="W186" s="12" t="n">
        <v>146.2</v>
      </c>
      <c r="X186" s="10" t="n">
        <v>69</v>
      </c>
      <c r="Y186" s="3" t="s">
        <v>58</v>
      </c>
      <c r="Z186" s="3" t="s">
        <v>301</v>
      </c>
      <c r="AA186" s="13" t="s">
        <v>59</v>
      </c>
      <c r="AB186" s="11" t="n">
        <v>11.69</v>
      </c>
    </row>
    <row r="187" customFormat="false" ht="16.4" hidden="false" customHeight="false" outlineLevel="0" collapsed="false">
      <c r="A187" s="3" t="n">
        <v>186</v>
      </c>
      <c r="B187" s="3" t="n">
        <v>11</v>
      </c>
      <c r="C187" s="3" t="s">
        <v>302</v>
      </c>
      <c r="D187" s="10" t="n">
        <v>19455</v>
      </c>
      <c r="E187" s="10" t="n">
        <f aca="false">ROUND(D187*INDEX(مناطق!$AF$2:$AF$23,B187),0)</f>
        <v>17202</v>
      </c>
      <c r="F187" s="11" t="n">
        <f aca="false">ROUND(100*(راهنما!$B$4*(H187-MIN($H$2:$H$350))/(MAX($H$2:$H$350)-MIN($H$2:$H$350))+راهنما!$B$5*(N187-MIN($N$2:$N$350))/(MAX($N$2:$N$350)-MIN($N$2:$N$350))+راهنما!$B$6*(J187-MIN($J$2:$J$350))/(MAX($J$2:$J$350)-MIN($J$2:$J$350))+راهنما!$B$7*(MAX($I$2:$I$350)-I187)/(MAX($I$2:$I$350)-MIN($I$2:$I$350)))/راهنما!$B$8,1)</f>
        <v>57.2</v>
      </c>
      <c r="G187" s="3" t="str">
        <f aca="false">IF(V187&lt;=ROUND(349*0.2,0),"بسیار بالا",IF(V187&lt;=ROUND(349*0.4,0),"بالا",IF(V187&lt;=ROUND(349*0.6,0),"متوسط",IF(V187&lt;=ROUND(349*0.8,0),"پایین","بسیار پایین"))))</f>
        <v>بالا</v>
      </c>
      <c r="H187" s="11" t="n">
        <f aca="false">(100-I187)*(100-L187)/100</f>
        <v>67.81518</v>
      </c>
      <c r="I187" s="11" t="n">
        <v>9.94</v>
      </c>
      <c r="J187" s="11" t="n">
        <v>35.4</v>
      </c>
      <c r="K187" s="11" t="n">
        <f aca="false">J187/(1-I187/100)</f>
        <v>39.307128580946</v>
      </c>
      <c r="L187" s="11" t="n">
        <v>24.7</v>
      </c>
      <c r="M187" s="11" t="n">
        <v>37.03</v>
      </c>
      <c r="N187" s="11" t="n">
        <v>27.49</v>
      </c>
      <c r="O187" s="11" t="n">
        <v>5.98</v>
      </c>
      <c r="P187" s="10" t="n">
        <f aca="false">ROUND(E187*J187/100,0)</f>
        <v>6090</v>
      </c>
      <c r="Q187" s="10" t="n">
        <f aca="false">ROUND(P187*I187/(100-I187),0)</f>
        <v>672</v>
      </c>
      <c r="R187" s="10" t="n">
        <f aca="false">ROUND(P187*(100-L187)/100,0)</f>
        <v>4586</v>
      </c>
      <c r="S187" s="10" t="n">
        <f aca="false">ROUND(P187*M187/100,0)</f>
        <v>2255</v>
      </c>
      <c r="T187" s="11" t="n">
        <v>67.21</v>
      </c>
      <c r="U187" s="11" t="n">
        <v>68.41</v>
      </c>
      <c r="V187" s="3" t="n">
        <f aca="false">RANK(F187,$F$2:$F$350,0)</f>
        <v>110</v>
      </c>
      <c r="W187" s="12" t="n">
        <v>142.4</v>
      </c>
      <c r="X187" s="10" t="n">
        <v>86</v>
      </c>
      <c r="Y187" s="3" t="s">
        <v>58</v>
      </c>
      <c r="Z187" s="3" t="s">
        <v>302</v>
      </c>
      <c r="AA187" s="13" t="s">
        <v>59</v>
      </c>
      <c r="AB187" s="11" t="n">
        <v>11.67</v>
      </c>
    </row>
    <row r="188" customFormat="false" ht="16.4" hidden="false" customHeight="false" outlineLevel="0" collapsed="false">
      <c r="A188" s="3" t="n">
        <v>187</v>
      </c>
      <c r="B188" s="3" t="n">
        <v>12</v>
      </c>
      <c r="C188" s="3" t="s">
        <v>303</v>
      </c>
      <c r="D188" s="10" t="n">
        <v>4273</v>
      </c>
      <c r="E188" s="10" t="n">
        <f aca="false">ROUND(D188*INDEX(مناطق!$AF$2:$AF$23,B188),0)</f>
        <v>3696</v>
      </c>
      <c r="F188" s="11" t="n">
        <f aca="false">ROUND(100*(راهنما!$B$4*(H188-MIN($H$2:$H$350))/(MAX($H$2:$H$350)-MIN($H$2:$H$350))+راهنما!$B$5*(N188-MIN($N$2:$N$350))/(MAX($N$2:$N$350)-MIN($N$2:$N$350))+راهنما!$B$6*(J188-MIN($J$2:$J$350))/(MAX($J$2:$J$350)-MIN($J$2:$J$350))+راهنما!$B$7*(MAX($I$2:$I$350)-I188)/(MAX($I$2:$I$350)-MIN($I$2:$I$350)))/راهنما!$B$8,1)</f>
        <v>58.2</v>
      </c>
      <c r="G188" s="3" t="str">
        <f aca="false">IF(V188&lt;=ROUND(349*0.2,0),"بسیار بالا",IF(V188&lt;=ROUND(349*0.4,0),"بالا",IF(V188&lt;=ROUND(349*0.6,0),"متوسط",IF(V188&lt;=ROUND(349*0.8,0),"پایین","بسیار پایین"))))</f>
        <v>بالا</v>
      </c>
      <c r="H188" s="11" t="n">
        <f aca="false">(100-I188)*(100-L188)/100</f>
        <v>67.99193</v>
      </c>
      <c r="I188" s="11" t="n">
        <v>8.49</v>
      </c>
      <c r="J188" s="11" t="n">
        <v>34.15</v>
      </c>
      <c r="K188" s="11" t="n">
        <f aca="false">J188/(1-I188/100)</f>
        <v>37.3183258660256</v>
      </c>
      <c r="L188" s="11" t="n">
        <v>25.7</v>
      </c>
      <c r="M188" s="11" t="n">
        <v>22.87</v>
      </c>
      <c r="N188" s="11" t="n">
        <v>36.39</v>
      </c>
      <c r="O188" s="11" t="n">
        <v>9.05</v>
      </c>
      <c r="P188" s="10" t="n">
        <f aca="false">ROUND(E188*J188/100,0)</f>
        <v>1262</v>
      </c>
      <c r="Q188" s="10" t="n">
        <f aca="false">ROUND(P188*I188/(100-I188),0)</f>
        <v>117</v>
      </c>
      <c r="R188" s="10" t="n">
        <f aca="false">ROUND(P188*(100-L188)/100,0)</f>
        <v>938</v>
      </c>
      <c r="S188" s="10" t="n">
        <f aca="false">ROUND(P188*M188/100,0)</f>
        <v>289</v>
      </c>
      <c r="T188" s="11" t="n">
        <v>66.58</v>
      </c>
      <c r="U188" s="11" t="n">
        <v>69.37</v>
      </c>
      <c r="V188" s="3" t="n">
        <f aca="false">RANK(F188,$F$2:$F$350,0)</f>
        <v>102</v>
      </c>
      <c r="W188" s="12" t="n">
        <v>423.1</v>
      </c>
      <c r="X188" s="10" t="n">
        <v>3</v>
      </c>
      <c r="Y188" s="3" t="s">
        <v>58</v>
      </c>
      <c r="Z188" s="3" t="s">
        <v>303</v>
      </c>
      <c r="AA188" s="13" t="s">
        <v>125</v>
      </c>
      <c r="AB188" s="11" t="n">
        <v>17.9</v>
      </c>
    </row>
    <row r="189" customFormat="false" ht="16.4" hidden="false" customHeight="false" outlineLevel="0" collapsed="false">
      <c r="A189" s="3" t="n">
        <v>188</v>
      </c>
      <c r="B189" s="3" t="n">
        <v>12</v>
      </c>
      <c r="C189" s="3" t="s">
        <v>304</v>
      </c>
      <c r="D189" s="10" t="n">
        <v>22600</v>
      </c>
      <c r="E189" s="10" t="n">
        <f aca="false">ROUND(D189*INDEX(مناطق!$AF$2:$AF$23,B189),0)</f>
        <v>19551</v>
      </c>
      <c r="F189" s="11" t="n">
        <f aca="false">ROUND(100*(راهنما!$B$4*(H189-MIN($H$2:$H$350))/(MAX($H$2:$H$350)-MIN($H$2:$H$350))+راهنما!$B$5*(N189-MIN($N$2:$N$350))/(MAX($N$2:$N$350)-MIN($N$2:$N$350))+راهنما!$B$6*(J189-MIN($J$2:$J$350))/(MAX($J$2:$J$350)-MIN($J$2:$J$350))+راهنما!$B$7*(MAX($I$2:$I$350)-I189)/(MAX($I$2:$I$350)-MIN($I$2:$I$350)))/راهنما!$B$8,1)</f>
        <v>56.9</v>
      </c>
      <c r="G189" s="3" t="str">
        <f aca="false">IF(V189&lt;=ROUND(349*0.2,0),"بسیار بالا",IF(V189&lt;=ROUND(349*0.4,0),"بالا",IF(V189&lt;=ROUND(349*0.6,0),"متوسط",IF(V189&lt;=ROUND(349*0.8,0),"پایین","بسیار پایین"))))</f>
        <v>بالا</v>
      </c>
      <c r="H189" s="11" t="n">
        <f aca="false">(100-I189)*(100-L189)/100</f>
        <v>67.671645</v>
      </c>
      <c r="I189" s="11" t="n">
        <v>8.49</v>
      </c>
      <c r="J189" s="11" t="n">
        <v>34.2</v>
      </c>
      <c r="K189" s="11" t="n">
        <f aca="false">J189/(1-I189/100)</f>
        <v>37.3729647033111</v>
      </c>
      <c r="L189" s="11" t="n">
        <v>26.05</v>
      </c>
      <c r="M189" s="11" t="n">
        <v>22.87</v>
      </c>
      <c r="N189" s="11" t="n">
        <v>34.88</v>
      </c>
      <c r="O189" s="11" t="n">
        <v>9.24</v>
      </c>
      <c r="P189" s="10" t="n">
        <f aca="false">ROUND(E189*J189/100,0)</f>
        <v>6686</v>
      </c>
      <c r="Q189" s="10" t="n">
        <f aca="false">ROUND(P189*I189/(100-I189),0)</f>
        <v>620</v>
      </c>
      <c r="R189" s="10" t="n">
        <f aca="false">ROUND(P189*(100-L189)/100,0)</f>
        <v>4944</v>
      </c>
      <c r="S189" s="10" t="n">
        <f aca="false">ROUND(P189*M189/100,0)</f>
        <v>1529</v>
      </c>
      <c r="T189" s="11" t="n">
        <v>66.38</v>
      </c>
      <c r="U189" s="11" t="n">
        <v>68.92</v>
      </c>
      <c r="V189" s="3" t="n">
        <f aca="false">RANK(F189,$F$2:$F$350,0)</f>
        <v>113</v>
      </c>
      <c r="W189" s="12" t="n">
        <v>270</v>
      </c>
      <c r="X189" s="10" t="n">
        <v>75</v>
      </c>
      <c r="Y189" s="3" t="s">
        <v>58</v>
      </c>
      <c r="Z189" s="3" t="s">
        <v>304</v>
      </c>
      <c r="AA189" s="13" t="s">
        <v>59</v>
      </c>
      <c r="AB189" s="11" t="n">
        <v>17.01</v>
      </c>
    </row>
    <row r="190" customFormat="false" ht="16.4" hidden="false" customHeight="false" outlineLevel="0" collapsed="false">
      <c r="A190" s="3" t="n">
        <v>189</v>
      </c>
      <c r="B190" s="3" t="n">
        <v>12</v>
      </c>
      <c r="C190" s="3" t="s">
        <v>305</v>
      </c>
      <c r="D190" s="10" t="n">
        <v>33637</v>
      </c>
      <c r="E190" s="10" t="n">
        <f aca="false">ROUND(D190*INDEX(مناطق!$AF$2:$AF$23,B190),0)</f>
        <v>29099</v>
      </c>
      <c r="F190" s="11" t="n">
        <f aca="false">ROUND(100*(راهنما!$B$4*(H190-MIN($H$2:$H$350))/(MAX($H$2:$H$350)-MIN($H$2:$H$350))+راهنما!$B$5*(N190-MIN($N$2:$N$350))/(MAX($N$2:$N$350)-MIN($N$2:$N$350))+راهنما!$B$6*(J190-MIN($J$2:$J$350))/(MAX($J$2:$J$350)-MIN($J$2:$J$350))+راهنما!$B$7*(MAX($I$2:$I$350)-I190)/(MAX($I$2:$I$350)-MIN($I$2:$I$350)))/راهنما!$B$8,1)</f>
        <v>51.2</v>
      </c>
      <c r="G190" s="3" t="str">
        <f aca="false">IF(V190&lt;=ROUND(349*0.2,0),"بسیار بالا",IF(V190&lt;=ROUND(349*0.4,0),"بالا",IF(V190&lt;=ROUND(349*0.6,0),"متوسط",IF(V190&lt;=ROUND(349*0.8,0),"پایین","بسیار پایین"))))</f>
        <v>متوسط</v>
      </c>
      <c r="H190" s="11" t="n">
        <f aca="false">(100-I190)*(100-L190)/100</f>
        <v>66.061069</v>
      </c>
      <c r="I190" s="11" t="n">
        <v>8.49</v>
      </c>
      <c r="J190" s="11" t="n">
        <v>34.47</v>
      </c>
      <c r="K190" s="11" t="n">
        <f aca="false">J190/(1-I190/100)</f>
        <v>37.668014424653</v>
      </c>
      <c r="L190" s="11" t="n">
        <v>27.81</v>
      </c>
      <c r="M190" s="11" t="n">
        <v>22.87</v>
      </c>
      <c r="N190" s="11" t="n">
        <v>28.09</v>
      </c>
      <c r="O190" s="11" t="n">
        <v>10.23</v>
      </c>
      <c r="P190" s="10" t="n">
        <f aca="false">ROUND(E190*J190/100,0)</f>
        <v>10030</v>
      </c>
      <c r="Q190" s="10" t="n">
        <f aca="false">ROUND(P190*I190/(100-I190),0)</f>
        <v>931</v>
      </c>
      <c r="R190" s="10" t="n">
        <f aca="false">ROUND(P190*(100-L190)/100,0)</f>
        <v>7241</v>
      </c>
      <c r="S190" s="10" t="n">
        <f aca="false">ROUND(P190*M190/100,0)</f>
        <v>2294</v>
      </c>
      <c r="T190" s="11" t="n">
        <v>65.42</v>
      </c>
      <c r="U190" s="11" t="n">
        <v>66.7</v>
      </c>
      <c r="V190" s="3" t="n">
        <f aca="false">RANK(F190,$F$2:$F$350,0)</f>
        <v>158</v>
      </c>
      <c r="W190" s="12" t="n">
        <v>216.5</v>
      </c>
      <c r="X190" s="10" t="n">
        <v>85</v>
      </c>
      <c r="Y190" s="3" t="s">
        <v>58</v>
      </c>
      <c r="Z190" s="3" t="s">
        <v>305</v>
      </c>
      <c r="AA190" s="13" t="s">
        <v>59</v>
      </c>
      <c r="AB190" s="11" t="n">
        <v>13.19</v>
      </c>
    </row>
    <row r="191" customFormat="false" ht="16.4" hidden="false" customHeight="false" outlineLevel="0" collapsed="false">
      <c r="A191" s="3" t="n">
        <v>190</v>
      </c>
      <c r="B191" s="3" t="n">
        <v>12</v>
      </c>
      <c r="C191" s="3" t="s">
        <v>306</v>
      </c>
      <c r="D191" s="10" t="n">
        <v>7637</v>
      </c>
      <c r="E191" s="10" t="n">
        <f aca="false">ROUND(D191*INDEX(مناطق!$AF$2:$AF$23,B191),0)</f>
        <v>6607</v>
      </c>
      <c r="F191" s="11" t="n">
        <f aca="false">ROUND(100*(راهنما!$B$4*(H191-MIN($H$2:$H$350))/(MAX($H$2:$H$350)-MIN($H$2:$H$350))+راهنما!$B$5*(N191-MIN($N$2:$N$350))/(MAX($N$2:$N$350)-MIN($N$2:$N$350))+راهنما!$B$6*(J191-MIN($J$2:$J$350))/(MAX($J$2:$J$350)-MIN($J$2:$J$350))+راهنما!$B$7*(MAX($I$2:$I$350)-I191)/(MAX($I$2:$I$350)-MIN($I$2:$I$350)))/راهنما!$B$8,1)</f>
        <v>48.9</v>
      </c>
      <c r="G191" s="3" t="str">
        <f aca="false">IF(V191&lt;=ROUND(349*0.2,0),"بسیار بالا",IF(V191&lt;=ROUND(349*0.4,0),"بالا",IF(V191&lt;=ROUND(349*0.6,0),"متوسط",IF(V191&lt;=ROUND(349*0.8,0),"پایین","بسیار پایین"))))</f>
        <v>متوسط</v>
      </c>
      <c r="H191" s="11" t="n">
        <f aca="false">(100-I191)*(100-L191)/100</f>
        <v>65.365593</v>
      </c>
      <c r="I191" s="11" t="n">
        <v>8.49</v>
      </c>
      <c r="J191" s="11" t="n">
        <v>34.59</v>
      </c>
      <c r="K191" s="11" t="n">
        <f aca="false">J191/(1-I191/100)</f>
        <v>37.7991476341384</v>
      </c>
      <c r="L191" s="11" t="n">
        <v>28.57</v>
      </c>
      <c r="M191" s="11" t="n">
        <v>22.87</v>
      </c>
      <c r="N191" s="11" t="n">
        <v>25.5</v>
      </c>
      <c r="O191" s="11" t="n">
        <v>10.67</v>
      </c>
      <c r="P191" s="10" t="n">
        <f aca="false">ROUND(E191*J191/100,0)</f>
        <v>2285</v>
      </c>
      <c r="Q191" s="10" t="n">
        <f aca="false">ROUND(P191*I191/(100-I191),0)</f>
        <v>212</v>
      </c>
      <c r="R191" s="10" t="n">
        <f aca="false">ROUND(P191*(100-L191)/100,0)</f>
        <v>1632</v>
      </c>
      <c r="S191" s="10" t="n">
        <f aca="false">ROUND(P191*M191/100,0)</f>
        <v>523</v>
      </c>
      <c r="T191" s="11" t="n">
        <v>65.02</v>
      </c>
      <c r="U191" s="11" t="n">
        <v>65.73</v>
      </c>
      <c r="V191" s="3" t="n">
        <f aca="false">RANK(F191,$F$2:$F$350,0)</f>
        <v>182</v>
      </c>
      <c r="W191" s="12" t="n">
        <v>182.6</v>
      </c>
      <c r="X191" s="10" t="n">
        <v>26</v>
      </c>
      <c r="Y191" s="3" t="s">
        <v>58</v>
      </c>
      <c r="Z191" s="3" t="s">
        <v>306</v>
      </c>
      <c r="AA191" s="13" t="s">
        <v>63</v>
      </c>
      <c r="AB191" s="11" t="n">
        <v>11.83</v>
      </c>
    </row>
    <row r="192" customFormat="false" ht="16.4" hidden="false" customHeight="false" outlineLevel="0" collapsed="false">
      <c r="A192" s="3" t="n">
        <v>191</v>
      </c>
      <c r="B192" s="3" t="n">
        <v>12</v>
      </c>
      <c r="C192" s="3" t="s">
        <v>307</v>
      </c>
      <c r="D192" s="10" t="n">
        <v>24186</v>
      </c>
      <c r="E192" s="10" t="n">
        <f aca="false">ROUND(D192*INDEX(مناطق!$AF$2:$AF$23,B192),0)</f>
        <v>20923</v>
      </c>
      <c r="F192" s="11" t="n">
        <f aca="false">ROUND(100*(راهنما!$B$4*(H192-MIN($H$2:$H$350))/(MAX($H$2:$H$350)-MIN($H$2:$H$350))+راهنما!$B$5*(N192-MIN($N$2:$N$350))/(MAX($N$2:$N$350)-MIN($N$2:$N$350))+راهنما!$B$6*(J192-MIN($J$2:$J$350))/(MAX($J$2:$J$350)-MIN($J$2:$J$350))+راهنما!$B$7*(MAX($I$2:$I$350)-I192)/(MAX($I$2:$I$350)-MIN($I$2:$I$350)))/راهنما!$B$8,1)</f>
        <v>48.1</v>
      </c>
      <c r="G192" s="3" t="str">
        <f aca="false">IF(V192&lt;=ROUND(349*0.2,0),"بسیار بالا",IF(V192&lt;=ROUND(349*0.4,0),"بالا",IF(V192&lt;=ROUND(349*0.6,0),"متوسط",IF(V192&lt;=ROUND(349*0.8,0),"پایین","بسیار پایین"))))</f>
        <v>متوسط</v>
      </c>
      <c r="H192" s="11" t="n">
        <f aca="false">(100-I192)*(100-L192)/100</f>
        <v>65.118516</v>
      </c>
      <c r="I192" s="11" t="n">
        <v>8.49</v>
      </c>
      <c r="J192" s="11" t="n">
        <v>34.63</v>
      </c>
      <c r="K192" s="11" t="n">
        <f aca="false">J192/(1-I192/100)</f>
        <v>37.8428587039668</v>
      </c>
      <c r="L192" s="11" t="n">
        <v>28.84</v>
      </c>
      <c r="M192" s="11" t="n">
        <v>22.87</v>
      </c>
      <c r="N192" s="11" t="n">
        <v>24.62</v>
      </c>
      <c r="O192" s="11" t="n">
        <v>10.83</v>
      </c>
      <c r="P192" s="10" t="n">
        <f aca="false">ROUND(E192*J192/100,0)</f>
        <v>7246</v>
      </c>
      <c r="Q192" s="10" t="n">
        <f aca="false">ROUND(P192*I192/(100-I192),0)</f>
        <v>672</v>
      </c>
      <c r="R192" s="10" t="n">
        <f aca="false">ROUND(P192*(100-L192)/100,0)</f>
        <v>5156</v>
      </c>
      <c r="S192" s="10" t="n">
        <f aca="false">ROUND(P192*M192/100,0)</f>
        <v>1657</v>
      </c>
      <c r="T192" s="11" t="n">
        <v>64.87</v>
      </c>
      <c r="U192" s="11" t="n">
        <v>65.38</v>
      </c>
      <c r="V192" s="3" t="n">
        <f aca="false">RANK(F192,$F$2:$F$350,0)</f>
        <v>191</v>
      </c>
      <c r="W192" s="12" t="n">
        <v>179.7</v>
      </c>
      <c r="X192" s="10" t="n">
        <v>72</v>
      </c>
      <c r="Y192" s="3" t="s">
        <v>67</v>
      </c>
      <c r="Z192" s="3" t="s">
        <v>308</v>
      </c>
      <c r="AA192" s="13" t="s">
        <v>59</v>
      </c>
      <c r="AB192" s="11" t="n">
        <v>11.38</v>
      </c>
    </row>
    <row r="193" customFormat="false" ht="16.4" hidden="false" customHeight="false" outlineLevel="0" collapsed="false">
      <c r="A193" s="3" t="n">
        <v>192</v>
      </c>
      <c r="B193" s="3" t="n">
        <v>12</v>
      </c>
      <c r="C193" s="3" t="s">
        <v>309</v>
      </c>
      <c r="D193" s="10" t="n">
        <v>15128</v>
      </c>
      <c r="E193" s="10" t="n">
        <f aca="false">ROUND(D193*INDEX(مناطق!$AF$2:$AF$23,B193),0)</f>
        <v>13087</v>
      </c>
      <c r="F193" s="11" t="n">
        <f aca="false">ROUND(100*(راهنما!$B$4*(H193-MIN($H$2:$H$350))/(MAX($H$2:$H$350)-MIN($H$2:$H$350))+راهنما!$B$5*(N193-MIN($N$2:$N$350))/(MAX($N$2:$N$350)-MIN($N$2:$N$350))+راهنما!$B$6*(J193-MIN($J$2:$J$350))/(MAX($J$2:$J$350)-MIN($J$2:$J$350))+راهنما!$B$7*(MAX($I$2:$I$350)-I193)/(MAX($I$2:$I$350)-MIN($I$2:$I$350)))/راهنما!$B$8,1)</f>
        <v>47.4</v>
      </c>
      <c r="G193" s="3" t="str">
        <f aca="false">IF(V193&lt;=ROUND(349*0.2,0),"بسیار بالا",IF(V193&lt;=ROUND(349*0.4,0),"بالا",IF(V193&lt;=ROUND(349*0.6,0),"متوسط",IF(V193&lt;=ROUND(349*0.8,0),"پایین","بسیار پایین"))))</f>
        <v>متوسط</v>
      </c>
      <c r="H193" s="11" t="n">
        <f aca="false">(100-I193)*(100-L193)/100</f>
        <v>64.908043</v>
      </c>
      <c r="I193" s="11" t="n">
        <v>8.49</v>
      </c>
      <c r="J193" s="11" t="n">
        <v>34.66</v>
      </c>
      <c r="K193" s="11" t="n">
        <f aca="false">J193/(1-I193/100)</f>
        <v>37.8756420063381</v>
      </c>
      <c r="L193" s="11" t="n">
        <v>29.07</v>
      </c>
      <c r="M193" s="11" t="n">
        <v>22.87</v>
      </c>
      <c r="N193" s="11" t="n">
        <v>23.9</v>
      </c>
      <c r="O193" s="11" t="n">
        <v>10.96</v>
      </c>
      <c r="P193" s="10" t="n">
        <f aca="false">ROUND(E193*J193/100,0)</f>
        <v>4536</v>
      </c>
      <c r="Q193" s="10" t="n">
        <f aca="false">ROUND(P193*I193/(100-I193),0)</f>
        <v>421</v>
      </c>
      <c r="R193" s="10" t="n">
        <f aca="false">ROUND(P193*(100-L193)/100,0)</f>
        <v>3217</v>
      </c>
      <c r="S193" s="10" t="n">
        <f aca="false">ROUND(P193*M193/100,0)</f>
        <v>1037</v>
      </c>
      <c r="T193" s="11" t="n">
        <v>64.75</v>
      </c>
      <c r="U193" s="11" t="n">
        <v>65.09</v>
      </c>
      <c r="V193" s="3" t="n">
        <f aca="false">RANK(F193,$F$2:$F$350,0)</f>
        <v>197</v>
      </c>
      <c r="W193" s="12" t="n">
        <v>179.5</v>
      </c>
      <c r="X193" s="10" t="n">
        <v>57</v>
      </c>
      <c r="Y193" s="3" t="s">
        <v>58</v>
      </c>
      <c r="Z193" s="3" t="s">
        <v>309</v>
      </c>
      <c r="AA193" s="13" t="s">
        <v>59</v>
      </c>
      <c r="AB193" s="11" t="n">
        <v>11.01</v>
      </c>
    </row>
    <row r="194" customFormat="false" ht="16.4" hidden="false" customHeight="false" outlineLevel="0" collapsed="false">
      <c r="A194" s="3" t="n">
        <v>193</v>
      </c>
      <c r="B194" s="3" t="n">
        <v>12</v>
      </c>
      <c r="C194" s="3" t="s">
        <v>310</v>
      </c>
      <c r="D194" s="10" t="n">
        <v>24479</v>
      </c>
      <c r="E194" s="10" t="n">
        <f aca="false">ROUND(D194*INDEX(مناطق!$AF$2:$AF$23,B194),0)</f>
        <v>21176</v>
      </c>
      <c r="F194" s="11" t="n">
        <f aca="false">ROUND(100*(راهنما!$B$4*(H194-MIN($H$2:$H$350))/(MAX($H$2:$H$350)-MIN($H$2:$H$350))+راهنما!$B$5*(N194-MIN($N$2:$N$350))/(MAX($N$2:$N$350)-MIN($N$2:$N$350))+راهنما!$B$6*(J194-MIN($J$2:$J$350))/(MAX($J$2:$J$350)-MIN($J$2:$J$350))+راهنما!$B$7*(MAX($I$2:$I$350)-I194)/(MAX($I$2:$I$350)-MIN($I$2:$I$350)))/راهنما!$B$8,1)</f>
        <v>46.4</v>
      </c>
      <c r="G194" s="3" t="str">
        <f aca="false">IF(V194&lt;=ROUND(349*0.2,0),"بسیار بالا",IF(V194&lt;=ROUND(349*0.4,0),"بالا",IF(V194&lt;=ROUND(349*0.6,0),"متوسط",IF(V194&lt;=ROUND(349*0.8,0),"پایین","بسیار پایین"))))</f>
        <v>متوسط</v>
      </c>
      <c r="H194" s="11" t="n">
        <f aca="false">(100-I194)*(100-L194)/100</f>
        <v>64.569456</v>
      </c>
      <c r="I194" s="11" t="n">
        <v>8.49</v>
      </c>
      <c r="J194" s="11" t="n">
        <v>34.72</v>
      </c>
      <c r="K194" s="11" t="n">
        <f aca="false">J194/(1-I194/100)</f>
        <v>37.9412086110808</v>
      </c>
      <c r="L194" s="11" t="n">
        <v>29.44</v>
      </c>
      <c r="M194" s="11" t="n">
        <v>22.87</v>
      </c>
      <c r="N194" s="11" t="n">
        <v>22.77</v>
      </c>
      <c r="O194" s="11" t="n">
        <v>11.18</v>
      </c>
      <c r="P194" s="10" t="n">
        <f aca="false">ROUND(E194*J194/100,0)</f>
        <v>7352</v>
      </c>
      <c r="Q194" s="10" t="n">
        <f aca="false">ROUND(P194*I194/(100-I194),0)</f>
        <v>682</v>
      </c>
      <c r="R194" s="10" t="n">
        <f aca="false">ROUND(P194*(100-L194)/100,0)</f>
        <v>5188</v>
      </c>
      <c r="S194" s="10" t="n">
        <f aca="false">ROUND(P194*M194/100,0)</f>
        <v>1681</v>
      </c>
      <c r="T194" s="11" t="n">
        <v>64.55</v>
      </c>
      <c r="U194" s="11" t="n">
        <v>64.61</v>
      </c>
      <c r="V194" s="3" t="n">
        <f aca="false">RANK(F194,$F$2:$F$350,0)</f>
        <v>202</v>
      </c>
      <c r="W194" s="12"/>
      <c r="X194" s="10" t="n">
        <v>0</v>
      </c>
      <c r="Y194" s="3" t="s">
        <v>77</v>
      </c>
      <c r="Z194" s="13" t="s">
        <v>78</v>
      </c>
      <c r="AA194" s="13" t="s">
        <v>79</v>
      </c>
      <c r="AB194" s="11" t="n">
        <v>10.44</v>
      </c>
    </row>
    <row r="195" customFormat="false" ht="16.4" hidden="false" customHeight="false" outlineLevel="0" collapsed="false">
      <c r="A195" s="3" t="n">
        <v>194</v>
      </c>
      <c r="B195" s="3" t="n">
        <v>12</v>
      </c>
      <c r="C195" s="3" t="s">
        <v>311</v>
      </c>
      <c r="D195" s="10" t="n">
        <v>11318</v>
      </c>
      <c r="E195" s="10" t="n">
        <f aca="false">ROUND(D195*INDEX(مناطق!$AF$2:$AF$23,B195),0)</f>
        <v>9791</v>
      </c>
      <c r="F195" s="11" t="n">
        <f aca="false">ROUND(100*(راهنما!$B$4*(H195-MIN($H$2:$H$350))/(MAX($H$2:$H$350)-MIN($H$2:$H$350))+راهنما!$B$5*(N195-MIN($N$2:$N$350))/(MAX($N$2:$N$350)-MIN($N$2:$N$350))+راهنما!$B$6*(J195-MIN($J$2:$J$350))/(MAX($J$2:$J$350)-MIN($J$2:$J$350))+راهنما!$B$7*(MAX($I$2:$I$350)-I195)/(MAX($I$2:$I$350)-MIN($I$2:$I$350)))/راهنما!$B$8,1)</f>
        <v>46.4</v>
      </c>
      <c r="G195" s="3" t="str">
        <f aca="false">IF(V195&lt;=ROUND(349*0.2,0),"بسیار بالا",IF(V195&lt;=ROUND(349*0.4,0),"بالا",IF(V195&lt;=ROUND(349*0.6,0),"متوسط",IF(V195&lt;=ROUND(349*0.8,0),"پایین","بسیار پایین"))))</f>
        <v>متوسط</v>
      </c>
      <c r="H195" s="11" t="n">
        <f aca="false">(100-I195)*(100-L195)/100</f>
        <v>64.569456</v>
      </c>
      <c r="I195" s="11" t="n">
        <v>8.49</v>
      </c>
      <c r="J195" s="11" t="n">
        <v>34.72</v>
      </c>
      <c r="K195" s="11" t="n">
        <f aca="false">J195/(1-I195/100)</f>
        <v>37.9412086110808</v>
      </c>
      <c r="L195" s="11" t="n">
        <v>29.44</v>
      </c>
      <c r="M195" s="11" t="n">
        <v>22.87</v>
      </c>
      <c r="N195" s="11" t="n">
        <v>22.77</v>
      </c>
      <c r="O195" s="11" t="n">
        <v>11.18</v>
      </c>
      <c r="P195" s="10" t="n">
        <f aca="false">ROUND(E195*J195/100,0)</f>
        <v>3399</v>
      </c>
      <c r="Q195" s="10" t="n">
        <f aca="false">ROUND(P195*I195/(100-I195),0)</f>
        <v>315</v>
      </c>
      <c r="R195" s="10" t="n">
        <f aca="false">ROUND(P195*(100-L195)/100,0)</f>
        <v>2398</v>
      </c>
      <c r="S195" s="10" t="n">
        <f aca="false">ROUND(P195*M195/100,0)</f>
        <v>777</v>
      </c>
      <c r="T195" s="11" t="n">
        <v>64.55</v>
      </c>
      <c r="U195" s="11" t="n">
        <v>64.61</v>
      </c>
      <c r="V195" s="3" t="n">
        <f aca="false">RANK(F195,$F$2:$F$350,0)</f>
        <v>202</v>
      </c>
      <c r="W195" s="12"/>
      <c r="X195" s="10" t="n">
        <v>0</v>
      </c>
      <c r="Y195" s="3" t="s">
        <v>77</v>
      </c>
      <c r="Z195" s="13" t="s">
        <v>78</v>
      </c>
      <c r="AA195" s="13" t="s">
        <v>79</v>
      </c>
      <c r="AB195" s="11" t="n">
        <v>10.44</v>
      </c>
    </row>
    <row r="196" customFormat="false" ht="16.4" hidden="false" customHeight="false" outlineLevel="0" collapsed="false">
      <c r="A196" s="3" t="n">
        <v>195</v>
      </c>
      <c r="B196" s="3" t="n">
        <v>12</v>
      </c>
      <c r="C196" s="3" t="s">
        <v>312</v>
      </c>
      <c r="D196" s="10" t="n">
        <v>19355</v>
      </c>
      <c r="E196" s="10" t="n">
        <f aca="false">ROUND(D196*INDEX(مناطق!$AF$2:$AF$23,B196),0)</f>
        <v>16744</v>
      </c>
      <c r="F196" s="11" t="n">
        <f aca="false">ROUND(100*(راهنما!$B$4*(H196-MIN($H$2:$H$350))/(MAX($H$2:$H$350)-MIN($H$2:$H$350))+راهنما!$B$5*(N196-MIN($N$2:$N$350))/(MAX($N$2:$N$350)-MIN($N$2:$N$350))+راهنما!$B$6*(J196-MIN($J$2:$J$350))/(MAX($J$2:$J$350)-MIN($J$2:$J$350))+راهنما!$B$7*(MAX($I$2:$I$350)-I196)/(MAX($I$2:$I$350)-MIN($I$2:$I$350)))/راهنما!$B$8,1)</f>
        <v>44.8</v>
      </c>
      <c r="G196" s="3" t="str">
        <f aca="false">IF(V196&lt;=ROUND(349*0.2,0),"بسیار بالا",IF(V196&lt;=ROUND(349*0.4,0),"بالا",IF(V196&lt;=ROUND(349*0.6,0),"متوسط",IF(V196&lt;=ROUND(349*0.8,0),"پایین","بسیار پایین"))))</f>
        <v>پایین</v>
      </c>
      <c r="H196" s="11" t="n">
        <f aca="false">(100-I196)*(100-L196)/100</f>
        <v>64.047849</v>
      </c>
      <c r="I196" s="11" t="n">
        <v>8.49</v>
      </c>
      <c r="J196" s="11" t="n">
        <v>34.8</v>
      </c>
      <c r="K196" s="11" t="n">
        <f aca="false">J196/(1-I196/100)</f>
        <v>38.0286307507376</v>
      </c>
      <c r="L196" s="11" t="n">
        <v>30.01</v>
      </c>
      <c r="M196" s="11" t="n">
        <v>22.87</v>
      </c>
      <c r="N196" s="11" t="n">
        <v>21.12</v>
      </c>
      <c r="O196" s="11" t="n">
        <v>11.53</v>
      </c>
      <c r="P196" s="10" t="n">
        <f aca="false">ROUND(E196*J196/100,0)</f>
        <v>5827</v>
      </c>
      <c r="Q196" s="10" t="n">
        <f aca="false">ROUND(P196*I196/(100-I196),0)</f>
        <v>541</v>
      </c>
      <c r="R196" s="10" t="n">
        <f aca="false">ROUND(P196*(100-L196)/100,0)</f>
        <v>4078</v>
      </c>
      <c r="S196" s="10" t="n">
        <f aca="false">ROUND(P196*M196/100,0)</f>
        <v>1333</v>
      </c>
      <c r="T196" s="11" t="n">
        <v>63.87</v>
      </c>
      <c r="U196" s="11" t="n">
        <v>64.25</v>
      </c>
      <c r="V196" s="3" t="n">
        <f aca="false">RANK(F196,$F$2:$F$350,0)</f>
        <v>212</v>
      </c>
      <c r="W196" s="12" t="n">
        <v>162.9</v>
      </c>
      <c r="X196" s="10" t="n">
        <v>47</v>
      </c>
      <c r="Y196" s="3" t="s">
        <v>58</v>
      </c>
      <c r="Z196" s="3" t="s">
        <v>312</v>
      </c>
      <c r="AA196" s="13" t="s">
        <v>59</v>
      </c>
      <c r="AB196" s="11" t="n">
        <v>9.61</v>
      </c>
    </row>
    <row r="197" customFormat="false" ht="16.4" hidden="false" customHeight="false" outlineLevel="0" collapsed="false">
      <c r="A197" s="3" t="n">
        <v>196</v>
      </c>
      <c r="B197" s="3" t="n">
        <v>12</v>
      </c>
      <c r="C197" s="3" t="s">
        <v>313</v>
      </c>
      <c r="D197" s="10" t="n">
        <v>24584</v>
      </c>
      <c r="E197" s="10" t="n">
        <f aca="false">ROUND(D197*INDEX(مناطق!$AF$2:$AF$23,B197),0)</f>
        <v>21267</v>
      </c>
      <c r="F197" s="11" t="n">
        <f aca="false">ROUND(100*(راهنما!$B$4*(H197-MIN($H$2:$H$350))/(MAX($H$2:$H$350)-MIN($H$2:$H$350))+راهنما!$B$5*(N197-MIN($N$2:$N$350))/(MAX($N$2:$N$350)-MIN($N$2:$N$350))+راهنما!$B$6*(J197-MIN($J$2:$J$350))/(MAX($J$2:$J$350)-MIN($J$2:$J$350))+راهنما!$B$7*(MAX($I$2:$I$350)-I197)/(MAX($I$2:$I$350)-MIN($I$2:$I$350)))/راهنما!$B$8,1)</f>
        <v>44.6</v>
      </c>
      <c r="G197" s="3" t="str">
        <f aca="false">IF(V197&lt;=ROUND(349*0.2,0),"بسیار بالا",IF(V197&lt;=ROUND(349*0.4,0),"بالا",IF(V197&lt;=ROUND(349*0.6,0),"متوسط",IF(V197&lt;=ROUND(349*0.8,0),"پایین","بسیار پایین"))))</f>
        <v>پایین</v>
      </c>
      <c r="H197" s="11" t="n">
        <f aca="false">(100-I197)*(100-L197)/100</f>
        <v>64.002094</v>
      </c>
      <c r="I197" s="11" t="n">
        <v>8.49</v>
      </c>
      <c r="J197" s="11" t="n">
        <v>34.81</v>
      </c>
      <c r="K197" s="11" t="n">
        <f aca="false">J197/(1-I197/100)</f>
        <v>38.0395585181947</v>
      </c>
      <c r="L197" s="11" t="n">
        <v>30.06</v>
      </c>
      <c r="M197" s="11" t="n">
        <v>22.87</v>
      </c>
      <c r="N197" s="11" t="n">
        <v>20.97</v>
      </c>
      <c r="O197" s="11" t="n">
        <v>11.56</v>
      </c>
      <c r="P197" s="10" t="n">
        <f aca="false">ROUND(E197*J197/100,0)</f>
        <v>7403</v>
      </c>
      <c r="Q197" s="10" t="n">
        <f aca="false">ROUND(P197*I197/(100-I197),0)</f>
        <v>687</v>
      </c>
      <c r="R197" s="10" t="n">
        <f aca="false">ROUND(P197*(100-L197)/100,0)</f>
        <v>5178</v>
      </c>
      <c r="S197" s="10" t="n">
        <f aca="false">ROUND(P197*M197/100,0)</f>
        <v>1693</v>
      </c>
      <c r="T197" s="11" t="n">
        <v>63.8</v>
      </c>
      <c r="U197" s="11" t="n">
        <v>64.22</v>
      </c>
      <c r="V197" s="3" t="n">
        <f aca="false">RANK(F197,$F$2:$F$350,0)</f>
        <v>214</v>
      </c>
      <c r="W197" s="12" t="n">
        <v>161.9</v>
      </c>
      <c r="X197" s="10" t="n">
        <v>71</v>
      </c>
      <c r="Y197" s="3" t="s">
        <v>67</v>
      </c>
      <c r="Z197" s="3" t="s">
        <v>314</v>
      </c>
      <c r="AA197" s="13" t="s">
        <v>59</v>
      </c>
      <c r="AB197" s="11" t="n">
        <v>9.54</v>
      </c>
    </row>
    <row r="198" customFormat="false" ht="16.4" hidden="false" customHeight="false" outlineLevel="0" collapsed="false">
      <c r="A198" s="3" t="n">
        <v>197</v>
      </c>
      <c r="B198" s="3" t="n">
        <v>12</v>
      </c>
      <c r="C198" s="3" t="s">
        <v>315</v>
      </c>
      <c r="D198" s="10" t="n">
        <v>26623</v>
      </c>
      <c r="E198" s="10" t="n">
        <f aca="false">ROUND(D198*INDEX(مناطق!$AF$2:$AF$23,B198),0)</f>
        <v>23031</v>
      </c>
      <c r="F198" s="11" t="n">
        <f aca="false">ROUND(100*(راهنما!$B$4*(H198-MIN($H$2:$H$350))/(MAX($H$2:$H$350)-MIN($H$2:$H$350))+راهنما!$B$5*(N198-MIN($N$2:$N$350))/(MAX($N$2:$N$350)-MIN($N$2:$N$350))+راهنما!$B$6*(J198-MIN($J$2:$J$350))/(MAX($J$2:$J$350)-MIN($J$2:$J$350))+راهنما!$B$7*(MAX($I$2:$I$350)-I198)/(MAX($I$2:$I$350)-MIN($I$2:$I$350)))/راهنما!$B$8,1)</f>
        <v>39.9</v>
      </c>
      <c r="G198" s="3" t="str">
        <f aca="false">IF(V198&lt;=ROUND(349*0.2,0),"بسیار بالا",IF(V198&lt;=ROUND(349*0.4,0),"بالا",IF(V198&lt;=ROUND(349*0.6,0),"متوسط",IF(V198&lt;=ROUND(349*0.8,0),"پایین","بسیار پایین"))))</f>
        <v>پایین</v>
      </c>
      <c r="H198" s="11" t="n">
        <f aca="false">(100-I198)*(100-L198)/100</f>
        <v>62.382367</v>
      </c>
      <c r="I198" s="11" t="n">
        <v>8.49</v>
      </c>
      <c r="J198" s="11" t="n">
        <v>35.06</v>
      </c>
      <c r="K198" s="11" t="n">
        <f aca="false">J198/(1-I198/100)</f>
        <v>38.3127527046225</v>
      </c>
      <c r="L198" s="11" t="n">
        <v>31.83</v>
      </c>
      <c r="M198" s="11" t="n">
        <v>22.87</v>
      </c>
      <c r="N198" s="11" t="n">
        <v>16.52</v>
      </c>
      <c r="O198" s="11" t="n">
        <v>12.67</v>
      </c>
      <c r="P198" s="10" t="n">
        <f aca="false">ROUND(E198*J198/100,0)</f>
        <v>8075</v>
      </c>
      <c r="Q198" s="10" t="n">
        <f aca="false">ROUND(P198*I198/(100-I198),0)</f>
        <v>749</v>
      </c>
      <c r="R198" s="10" t="n">
        <f aca="false">ROUND(P198*(100-L198)/100,0)</f>
        <v>5505</v>
      </c>
      <c r="S198" s="10" t="n">
        <f aca="false">ROUND(P198*M198/100,0)</f>
        <v>1847</v>
      </c>
      <c r="T198" s="11" t="n">
        <v>61.48</v>
      </c>
      <c r="U198" s="11" t="n">
        <v>63.29</v>
      </c>
      <c r="V198" s="3" t="n">
        <f aca="false">RANK(F198,$F$2:$F$350,0)</f>
        <v>258</v>
      </c>
      <c r="W198" s="12" t="n">
        <v>128.6</v>
      </c>
      <c r="X198" s="10" t="n">
        <v>75</v>
      </c>
      <c r="Y198" s="3" t="s">
        <v>58</v>
      </c>
      <c r="Z198" s="3" t="s">
        <v>315</v>
      </c>
      <c r="AA198" s="13" t="s">
        <v>59</v>
      </c>
      <c r="AB198" s="11" t="n">
        <v>7.4</v>
      </c>
    </row>
    <row r="199" customFormat="false" ht="16.4" hidden="false" customHeight="false" outlineLevel="0" collapsed="false">
      <c r="A199" s="3" t="n">
        <v>198</v>
      </c>
      <c r="B199" s="3" t="n">
        <v>12</v>
      </c>
      <c r="C199" s="3" t="s">
        <v>316</v>
      </c>
      <c r="D199" s="10" t="n">
        <v>25040</v>
      </c>
      <c r="E199" s="10" t="n">
        <f aca="false">ROUND(D199*INDEX(مناطق!$AF$2:$AF$23,B199),0)</f>
        <v>21662</v>
      </c>
      <c r="F199" s="11" t="n">
        <f aca="false">ROUND(100*(راهنما!$B$4*(H199-MIN($H$2:$H$350))/(MAX($H$2:$H$350)-MIN($H$2:$H$350))+راهنما!$B$5*(N199-MIN($N$2:$N$350))/(MAX($N$2:$N$350)-MIN($N$2:$N$350))+راهنما!$B$6*(J199-MIN($J$2:$J$350))/(MAX($J$2:$J$350)-MIN($J$2:$J$350))+راهنما!$B$7*(MAX($I$2:$I$350)-I199)/(MAX($I$2:$I$350)-MIN($I$2:$I$350)))/راهنما!$B$8,1)</f>
        <v>37.4</v>
      </c>
      <c r="G199" s="3" t="str">
        <f aca="false">IF(V199&lt;=ROUND(349*0.2,0),"بسیار بالا",IF(V199&lt;=ROUND(349*0.4,0),"بالا",IF(V199&lt;=ROUND(349*0.6,0),"متوسط",IF(V199&lt;=ROUND(349*0.8,0),"پایین","بسیار پایین"))))</f>
        <v>بسیار پایین</v>
      </c>
      <c r="H199" s="11" t="n">
        <f aca="false">(100-I199)*(100-L199)/100</f>
        <v>61.49472</v>
      </c>
      <c r="I199" s="11" t="n">
        <v>8.49</v>
      </c>
      <c r="J199" s="11" t="n">
        <v>35.2</v>
      </c>
      <c r="K199" s="11" t="n">
        <f aca="false">J199/(1-I199/100)</f>
        <v>38.465741449022</v>
      </c>
      <c r="L199" s="11" t="n">
        <v>32.8</v>
      </c>
      <c r="M199" s="11" t="n">
        <v>22.87</v>
      </c>
      <c r="N199" s="11" t="n">
        <v>14.47</v>
      </c>
      <c r="O199" s="11" t="n">
        <v>13.3</v>
      </c>
      <c r="P199" s="10" t="n">
        <f aca="false">ROUND(E199*J199/100,0)</f>
        <v>7625</v>
      </c>
      <c r="Q199" s="10" t="n">
        <f aca="false">ROUND(P199*I199/(100-I199),0)</f>
        <v>707</v>
      </c>
      <c r="R199" s="10" t="n">
        <f aca="false">ROUND(P199*(100-L199)/100,0)</f>
        <v>5124</v>
      </c>
      <c r="S199" s="10" t="n">
        <f aca="false">ROUND(P199*M199/100,0)</f>
        <v>1744</v>
      </c>
      <c r="T199" s="11" t="n">
        <v>60.19</v>
      </c>
      <c r="U199" s="11" t="n">
        <v>62.78</v>
      </c>
      <c r="V199" s="3" t="n">
        <f aca="false">RANK(F199,$F$2:$F$350,0)</f>
        <v>293</v>
      </c>
      <c r="W199" s="12" t="n">
        <v>116</v>
      </c>
      <c r="X199" s="10" t="n">
        <v>67</v>
      </c>
      <c r="Y199" s="3" t="s">
        <v>58</v>
      </c>
      <c r="Z199" s="3" t="s">
        <v>317</v>
      </c>
      <c r="AA199" s="13" t="s">
        <v>59</v>
      </c>
      <c r="AB199" s="11" t="n">
        <v>6.45</v>
      </c>
    </row>
    <row r="200" customFormat="false" ht="16.4" hidden="false" customHeight="false" outlineLevel="0" collapsed="false">
      <c r="A200" s="3" t="n">
        <v>199</v>
      </c>
      <c r="B200" s="3" t="n">
        <v>12</v>
      </c>
      <c r="C200" s="3" t="s">
        <v>318</v>
      </c>
      <c r="D200" s="10" t="n">
        <v>2049</v>
      </c>
      <c r="E200" s="10" t="n">
        <f aca="false">ROUND(D200*INDEX(مناطق!$AF$2:$AF$23,B200),0)</f>
        <v>1773</v>
      </c>
      <c r="F200" s="11" t="n">
        <f aca="false">ROUND(100*(راهنما!$B$4*(H200-MIN($H$2:$H$350))/(MAX($H$2:$H$350)-MIN($H$2:$H$350))+راهنما!$B$5*(N200-MIN($N$2:$N$350))/(MAX($N$2:$N$350)-MIN($N$2:$N$350))+راهنما!$B$6*(J200-MIN($J$2:$J$350))/(MAX($J$2:$J$350)-MIN($J$2:$J$350))+راهنما!$B$7*(MAX($I$2:$I$350)-I200)/(MAX($I$2:$I$350)-MIN($I$2:$I$350)))/راهنما!$B$8,1)</f>
        <v>35.9</v>
      </c>
      <c r="G200" s="3" t="str">
        <f aca="false">IF(V200&lt;=ROUND(349*0.2,0),"بسیار بالا",IF(V200&lt;=ROUND(349*0.4,0),"بالا",IF(V200&lt;=ROUND(349*0.6,0),"متوسط",IF(V200&lt;=ROUND(349*0.8,0),"پایین","بسیار پایین"))))</f>
        <v>بسیار پایین</v>
      </c>
      <c r="H200" s="11" t="n">
        <f aca="false">(100-I200)*(100-L200)/100</f>
        <v>60.918207</v>
      </c>
      <c r="I200" s="11" t="n">
        <v>8.49</v>
      </c>
      <c r="J200" s="11" t="n">
        <v>35.28</v>
      </c>
      <c r="K200" s="11" t="n">
        <f aca="false">J200/(1-I200/100)</f>
        <v>38.5531635886788</v>
      </c>
      <c r="L200" s="11" t="n">
        <v>33.43</v>
      </c>
      <c r="M200" s="11" t="n">
        <v>22.87</v>
      </c>
      <c r="N200" s="11" t="n">
        <v>13.28</v>
      </c>
      <c r="O200" s="11" t="n">
        <v>13.71</v>
      </c>
      <c r="P200" s="10" t="n">
        <f aca="false">ROUND(E200*J200/100,0)</f>
        <v>626</v>
      </c>
      <c r="Q200" s="10" t="n">
        <f aca="false">ROUND(P200*I200/(100-I200),0)</f>
        <v>58</v>
      </c>
      <c r="R200" s="10" t="n">
        <f aca="false">ROUND(P200*(100-L200)/100,0)</f>
        <v>417</v>
      </c>
      <c r="S200" s="10" t="n">
        <f aca="false">ROUND(P200*M200/100,0)</f>
        <v>143</v>
      </c>
      <c r="T200" s="11" t="n">
        <v>59.36</v>
      </c>
      <c r="U200" s="11" t="n">
        <v>62.46</v>
      </c>
      <c r="V200" s="3" t="n">
        <f aca="false">RANK(F200,$F$2:$F$350,0)</f>
        <v>307</v>
      </c>
      <c r="W200" s="12" t="n">
        <v>92.8</v>
      </c>
      <c r="X200" s="10" t="n">
        <v>2</v>
      </c>
      <c r="Y200" s="3" t="s">
        <v>67</v>
      </c>
      <c r="Z200" s="3" t="s">
        <v>319</v>
      </c>
      <c r="AA200" s="13" t="s">
        <v>125</v>
      </c>
      <c r="AB200" s="11" t="n">
        <v>5.9</v>
      </c>
    </row>
    <row r="201" customFormat="false" ht="16.4" hidden="false" customHeight="false" outlineLevel="0" collapsed="false">
      <c r="A201" s="3" t="n">
        <v>200</v>
      </c>
      <c r="B201" s="3" t="n">
        <v>13</v>
      </c>
      <c r="C201" s="3" t="s">
        <v>320</v>
      </c>
      <c r="D201" s="10" t="n">
        <v>26396</v>
      </c>
      <c r="E201" s="10" t="n">
        <f aca="false">ROUND(D201*INDEX(مناطق!$AF$2:$AF$23,B201),0)</f>
        <v>23913</v>
      </c>
      <c r="F201" s="11" t="n">
        <f aca="false">ROUND(100*(راهنما!$B$4*(H201-MIN($H$2:$H$350))/(MAX($H$2:$H$350)-MIN($H$2:$H$350))+راهنما!$B$5*(N201-MIN($N$2:$N$350))/(MAX($N$2:$N$350)-MIN($N$2:$N$350))+راهنما!$B$6*(J201-MIN($J$2:$J$350))/(MAX($J$2:$J$350)-MIN($J$2:$J$350))+راهنما!$B$7*(MAX($I$2:$I$350)-I201)/(MAX($I$2:$I$350)-MIN($I$2:$I$350)))/راهنما!$B$8,1)</f>
        <v>42.8</v>
      </c>
      <c r="G201" s="3" t="str">
        <f aca="false">IF(V201&lt;=ROUND(349*0.2,0),"بسیار بالا",IF(V201&lt;=ROUND(349*0.4,0),"بالا",IF(V201&lt;=ROUND(349*0.6,0),"متوسط",IF(V201&lt;=ROUND(349*0.8,0),"پایین","بسیار پایین"))))</f>
        <v>پایین</v>
      </c>
      <c r="H201" s="11" t="n">
        <f aca="false">(100-I201)*(100-L201)/100</f>
        <v>68.563516</v>
      </c>
      <c r="I201" s="11" t="n">
        <v>11.94</v>
      </c>
      <c r="J201" s="11" t="n">
        <v>31.55</v>
      </c>
      <c r="K201" s="11" t="n">
        <f aca="false">J201/(1-I201/100)</f>
        <v>35.8278446513741</v>
      </c>
      <c r="L201" s="11" t="n">
        <v>22.14</v>
      </c>
      <c r="M201" s="11" t="n">
        <v>34.97</v>
      </c>
      <c r="N201" s="11" t="n">
        <v>40.54</v>
      </c>
      <c r="O201" s="11" t="n">
        <v>4.06</v>
      </c>
      <c r="P201" s="10" t="n">
        <f aca="false">ROUND(E201*J201/100,0)</f>
        <v>7545</v>
      </c>
      <c r="Q201" s="10" t="n">
        <f aca="false">ROUND(P201*I201/(100-I201),0)</f>
        <v>1023</v>
      </c>
      <c r="R201" s="10" t="n">
        <f aca="false">ROUND(P201*(100-L201)/100,0)</f>
        <v>5875</v>
      </c>
      <c r="S201" s="10" t="n">
        <f aca="false">ROUND(P201*M201/100,0)</f>
        <v>2638</v>
      </c>
      <c r="T201" s="11" t="n">
        <v>68.02</v>
      </c>
      <c r="U201" s="11" t="n">
        <v>69.1</v>
      </c>
      <c r="V201" s="3" t="n">
        <f aca="false">RANK(F201,$F$2:$F$350,0)</f>
        <v>235</v>
      </c>
      <c r="W201" s="12" t="n">
        <v>249.8</v>
      </c>
      <c r="X201" s="10" t="n">
        <v>91</v>
      </c>
      <c r="Y201" s="3" t="s">
        <v>58</v>
      </c>
      <c r="Z201" s="3" t="s">
        <v>321</v>
      </c>
      <c r="AA201" s="13" t="s">
        <v>59</v>
      </c>
      <c r="AB201" s="11" t="n">
        <v>19.61</v>
      </c>
    </row>
    <row r="202" customFormat="false" ht="16.4" hidden="false" customHeight="false" outlineLevel="0" collapsed="false">
      <c r="A202" s="3" t="n">
        <v>201</v>
      </c>
      <c r="B202" s="3" t="n">
        <v>13</v>
      </c>
      <c r="C202" s="3" t="s">
        <v>322</v>
      </c>
      <c r="D202" s="10" t="n">
        <v>20504</v>
      </c>
      <c r="E202" s="10" t="n">
        <f aca="false">ROUND(D202*INDEX(مناطق!$AF$2:$AF$23,B202),0)</f>
        <v>18576</v>
      </c>
      <c r="F202" s="11" t="n">
        <f aca="false">ROUND(100*(راهنما!$B$4*(H202-MIN($H$2:$H$350))/(MAX($H$2:$H$350)-MIN($H$2:$H$350))+راهنما!$B$5*(N202-MIN($N$2:$N$350))/(MAX($N$2:$N$350)-MIN($N$2:$N$350))+راهنما!$B$6*(J202-MIN($J$2:$J$350))/(MAX($J$2:$J$350)-MIN($J$2:$J$350))+راهنما!$B$7*(MAX($I$2:$I$350)-I202)/(MAX($I$2:$I$350)-MIN($I$2:$I$350)))/راهنما!$B$8,1)</f>
        <v>42.8</v>
      </c>
      <c r="G202" s="3" t="str">
        <f aca="false">IF(V202&lt;=ROUND(349*0.2,0),"بسیار بالا",IF(V202&lt;=ROUND(349*0.4,0),"بالا",IF(V202&lt;=ROUND(349*0.6,0),"متوسط",IF(V202&lt;=ROUND(349*0.8,0),"پایین","بسیار پایین"))))</f>
        <v>پایین</v>
      </c>
      <c r="H202" s="11" t="n">
        <f aca="false">(100-I202)*(100-L202)/100</f>
        <v>68.563516</v>
      </c>
      <c r="I202" s="11" t="n">
        <v>11.94</v>
      </c>
      <c r="J202" s="11" t="n">
        <v>31.55</v>
      </c>
      <c r="K202" s="11" t="n">
        <f aca="false">J202/(1-I202/100)</f>
        <v>35.8278446513741</v>
      </c>
      <c r="L202" s="11" t="n">
        <v>22.14</v>
      </c>
      <c r="M202" s="11" t="n">
        <v>34.97</v>
      </c>
      <c r="N202" s="11" t="n">
        <v>40.54</v>
      </c>
      <c r="O202" s="11" t="n">
        <v>4.06</v>
      </c>
      <c r="P202" s="10" t="n">
        <f aca="false">ROUND(E202*J202/100,0)</f>
        <v>5861</v>
      </c>
      <c r="Q202" s="10" t="n">
        <f aca="false">ROUND(P202*I202/(100-I202),0)</f>
        <v>795</v>
      </c>
      <c r="R202" s="10" t="n">
        <f aca="false">ROUND(P202*(100-L202)/100,0)</f>
        <v>4563</v>
      </c>
      <c r="S202" s="10" t="n">
        <f aca="false">ROUND(P202*M202/100,0)</f>
        <v>2050</v>
      </c>
      <c r="T202" s="11" t="n">
        <v>68.02</v>
      </c>
      <c r="U202" s="11" t="n">
        <v>69.1</v>
      </c>
      <c r="V202" s="3" t="n">
        <f aca="false">RANK(F202,$F$2:$F$350,0)</f>
        <v>235</v>
      </c>
      <c r="W202" s="12" t="n">
        <v>249.8</v>
      </c>
      <c r="X202" s="10" t="n">
        <v>91</v>
      </c>
      <c r="Y202" s="3" t="s">
        <v>58</v>
      </c>
      <c r="Z202" s="3" t="s">
        <v>321</v>
      </c>
      <c r="AA202" s="13" t="s">
        <v>59</v>
      </c>
      <c r="AB202" s="11" t="n">
        <v>19.61</v>
      </c>
    </row>
    <row r="203" customFormat="false" ht="16.4" hidden="false" customHeight="false" outlineLevel="0" collapsed="false">
      <c r="A203" s="3" t="n">
        <v>202</v>
      </c>
      <c r="B203" s="3" t="n">
        <v>13</v>
      </c>
      <c r="C203" s="3" t="s">
        <v>323</v>
      </c>
      <c r="D203" s="10" t="n">
        <v>22585</v>
      </c>
      <c r="E203" s="10" t="n">
        <f aca="false">ROUND(D203*INDEX(مناطق!$AF$2:$AF$23,B203),0)</f>
        <v>20461</v>
      </c>
      <c r="F203" s="11" t="n">
        <f aca="false">ROUND(100*(راهنما!$B$4*(H203-MIN($H$2:$H$350))/(MAX($H$2:$H$350)-MIN($H$2:$H$350))+راهنما!$B$5*(N203-MIN($N$2:$N$350))/(MAX($N$2:$N$350)-MIN($N$2:$N$350))+راهنما!$B$6*(J203-MIN($J$2:$J$350))/(MAX($J$2:$J$350)-MIN($J$2:$J$350))+راهنما!$B$7*(MAX($I$2:$I$350)-I203)/(MAX($I$2:$I$350)-MIN($I$2:$I$350)))/راهنما!$B$8,1)</f>
        <v>40</v>
      </c>
      <c r="G203" s="3" t="str">
        <f aca="false">IF(V203&lt;=ROUND(349*0.2,0),"بسیار بالا",IF(V203&lt;=ROUND(349*0.4,0),"بالا",IF(V203&lt;=ROUND(349*0.6,0),"متوسط",IF(V203&lt;=ROUND(349*0.8,0),"پایین","بسیار پایین"))))</f>
        <v>پایین</v>
      </c>
      <c r="H203" s="11" t="n">
        <f aca="false">(100-I203)*(100-L203)/100</f>
        <v>67.841424</v>
      </c>
      <c r="I203" s="11" t="n">
        <v>11.94</v>
      </c>
      <c r="J203" s="11" t="n">
        <v>31.69</v>
      </c>
      <c r="K203" s="11" t="n">
        <f aca="false">J203/(1-I203/100)</f>
        <v>35.9868271632978</v>
      </c>
      <c r="L203" s="11" t="n">
        <v>22.96</v>
      </c>
      <c r="M203" s="11" t="n">
        <v>34.97</v>
      </c>
      <c r="N203" s="11" t="n">
        <v>36.59</v>
      </c>
      <c r="O203" s="11" t="n">
        <v>4.3</v>
      </c>
      <c r="P203" s="10" t="n">
        <f aca="false">ROUND(E203*J203/100,0)</f>
        <v>6484</v>
      </c>
      <c r="Q203" s="10" t="n">
        <f aca="false">ROUND(P203*I203/(100-I203),0)</f>
        <v>879</v>
      </c>
      <c r="R203" s="10" t="n">
        <f aca="false">ROUND(P203*(100-L203)/100,0)</f>
        <v>4995</v>
      </c>
      <c r="S203" s="10" t="n">
        <f aca="false">ROUND(P203*M203/100,0)</f>
        <v>2267</v>
      </c>
      <c r="T203" s="11" t="n">
        <v>67.59</v>
      </c>
      <c r="U203" s="11" t="n">
        <v>68.08</v>
      </c>
      <c r="V203" s="3" t="n">
        <f aca="false">RANK(F203,$F$2:$F$350,0)</f>
        <v>256</v>
      </c>
      <c r="W203" s="12" t="n">
        <v>225.6</v>
      </c>
      <c r="X203" s="10" t="n">
        <v>78</v>
      </c>
      <c r="Y203" s="3" t="s">
        <v>58</v>
      </c>
      <c r="Z203" s="3" t="s">
        <v>323</v>
      </c>
      <c r="AA203" s="13" t="s">
        <v>59</v>
      </c>
      <c r="AB203" s="11" t="n">
        <v>17.24</v>
      </c>
    </row>
    <row r="204" customFormat="false" ht="16.4" hidden="false" customHeight="false" outlineLevel="0" collapsed="false">
      <c r="A204" s="3" t="n">
        <v>203</v>
      </c>
      <c r="B204" s="3" t="n">
        <v>13</v>
      </c>
      <c r="C204" s="3" t="s">
        <v>324</v>
      </c>
      <c r="D204" s="10" t="n">
        <v>32812</v>
      </c>
      <c r="E204" s="10" t="n">
        <f aca="false">ROUND(D204*INDEX(مناطق!$AF$2:$AF$23,B204),0)</f>
        <v>29726</v>
      </c>
      <c r="F204" s="11" t="n">
        <f aca="false">ROUND(100*(راهنما!$B$4*(H204-MIN($H$2:$H$350))/(MAX($H$2:$H$350)-MIN($H$2:$H$350))+راهنما!$B$5*(N204-MIN($N$2:$N$350))/(MAX($N$2:$N$350)-MIN($N$2:$N$350))+راهنما!$B$6*(J204-MIN($J$2:$J$350))/(MAX($J$2:$J$350)-MIN($J$2:$J$350))+راهنما!$B$7*(MAX($I$2:$I$350)-I204)/(MAX($I$2:$I$350)-MIN($I$2:$I$350)))/راهنما!$B$8,1)</f>
        <v>38.8</v>
      </c>
      <c r="G204" s="3" t="str">
        <f aca="false">IF(V204&lt;=ROUND(349*0.2,0),"بسیار بالا",IF(V204&lt;=ROUND(349*0.4,0),"بالا",IF(V204&lt;=ROUND(349*0.6,0),"متوسط",IF(V204&lt;=ROUND(349*0.8,0),"پایین","بسیار پایین"))))</f>
        <v>پایین</v>
      </c>
      <c r="H204" s="11" t="n">
        <f aca="false">(100-I204)*(100-L204)/100</f>
        <v>67.550826</v>
      </c>
      <c r="I204" s="11" t="n">
        <v>11.94</v>
      </c>
      <c r="J204" s="11" t="n">
        <v>31.74</v>
      </c>
      <c r="K204" s="11" t="n">
        <f aca="false">J204/(1-I204/100)</f>
        <v>36.0436066318419</v>
      </c>
      <c r="L204" s="11" t="n">
        <v>23.29</v>
      </c>
      <c r="M204" s="11" t="n">
        <v>34.97</v>
      </c>
      <c r="N204" s="11" t="n">
        <v>35.12</v>
      </c>
      <c r="O204" s="11" t="n">
        <v>4.4</v>
      </c>
      <c r="P204" s="10" t="n">
        <f aca="false">ROUND(E204*J204/100,0)</f>
        <v>9435</v>
      </c>
      <c r="Q204" s="10" t="n">
        <f aca="false">ROUND(P204*I204/(100-I204),0)</f>
        <v>1279</v>
      </c>
      <c r="R204" s="10" t="n">
        <f aca="false">ROUND(P204*(100-L204)/100,0)</f>
        <v>7238</v>
      </c>
      <c r="S204" s="10" t="n">
        <f aca="false">ROUND(P204*M204/100,0)</f>
        <v>3299</v>
      </c>
      <c r="T204" s="11" t="n">
        <v>67.42</v>
      </c>
      <c r="U204" s="11" t="n">
        <v>67.68</v>
      </c>
      <c r="V204" s="3" t="n">
        <f aca="false">RANK(F204,$F$2:$F$350,0)</f>
        <v>276</v>
      </c>
      <c r="W204" s="12" t="n">
        <v>214.7</v>
      </c>
      <c r="X204" s="10" t="n">
        <v>82</v>
      </c>
      <c r="Y204" s="3" t="s">
        <v>58</v>
      </c>
      <c r="Z204" s="3" t="s">
        <v>324</v>
      </c>
      <c r="AA204" s="13" t="s">
        <v>59</v>
      </c>
      <c r="AB204" s="11" t="n">
        <v>16.39</v>
      </c>
    </row>
    <row r="205" customFormat="false" ht="16.4" hidden="false" customHeight="false" outlineLevel="0" collapsed="false">
      <c r="A205" s="3" t="n">
        <v>204</v>
      </c>
      <c r="B205" s="3" t="n">
        <v>13</v>
      </c>
      <c r="C205" s="3" t="s">
        <v>325</v>
      </c>
      <c r="D205" s="10" t="n">
        <v>17131</v>
      </c>
      <c r="E205" s="10" t="n">
        <f aca="false">ROUND(D205*INDEX(مناطق!$AF$2:$AF$23,B205),0)</f>
        <v>15520</v>
      </c>
      <c r="F205" s="11" t="n">
        <f aca="false">ROUND(100*(راهنما!$B$4*(H205-MIN($H$2:$H$350))/(MAX($H$2:$H$350)-MIN($H$2:$H$350))+راهنما!$B$5*(N205-MIN($N$2:$N$350))/(MAX($N$2:$N$350)-MIN($N$2:$N$350))+راهنما!$B$6*(J205-MIN($J$2:$J$350))/(MAX($J$2:$J$350)-MIN($J$2:$J$350))+راهنما!$B$7*(MAX($I$2:$I$350)-I205)/(MAX($I$2:$I$350)-MIN($I$2:$I$350)))/راهنما!$B$8,1)</f>
        <v>38.7</v>
      </c>
      <c r="G205" s="3" t="str">
        <f aca="false">IF(V205&lt;=ROUND(349*0.2,0),"بسیار بالا",IF(V205&lt;=ROUND(349*0.4,0),"بالا",IF(V205&lt;=ROUND(349*0.6,0),"متوسط",IF(V205&lt;=ROUND(349*0.8,0),"پایین","بسیار پایین"))))</f>
        <v>پایین</v>
      </c>
      <c r="H205" s="11" t="n">
        <f aca="false">(100-I205)*(100-L205)/100</f>
        <v>67.515602</v>
      </c>
      <c r="I205" s="11" t="n">
        <v>11.94</v>
      </c>
      <c r="J205" s="11" t="n">
        <v>31.75</v>
      </c>
      <c r="K205" s="11" t="n">
        <f aca="false">J205/(1-I205/100)</f>
        <v>36.0549625255508</v>
      </c>
      <c r="L205" s="11" t="n">
        <v>23.33</v>
      </c>
      <c r="M205" s="11" t="n">
        <v>34.97</v>
      </c>
      <c r="N205" s="11" t="n">
        <v>34.93</v>
      </c>
      <c r="O205" s="11" t="n">
        <v>4.41</v>
      </c>
      <c r="P205" s="10" t="n">
        <f aca="false">ROUND(E205*J205/100,0)</f>
        <v>4928</v>
      </c>
      <c r="Q205" s="10" t="n">
        <f aca="false">ROUND(P205*I205/(100-I205),0)</f>
        <v>668</v>
      </c>
      <c r="R205" s="10" t="n">
        <f aca="false">ROUND(P205*(100-L205)/100,0)</f>
        <v>3778</v>
      </c>
      <c r="S205" s="10" t="n">
        <f aca="false">ROUND(P205*M205/100,0)</f>
        <v>1723</v>
      </c>
      <c r="T205" s="11" t="n">
        <v>67.4</v>
      </c>
      <c r="U205" s="11" t="n">
        <v>67.63</v>
      </c>
      <c r="V205" s="3" t="n">
        <f aca="false">RANK(F205,$F$2:$F$350,0)</f>
        <v>278</v>
      </c>
      <c r="W205" s="12" t="n">
        <v>219.7</v>
      </c>
      <c r="X205" s="10" t="n">
        <v>90</v>
      </c>
      <c r="Y205" s="3" t="s">
        <v>58</v>
      </c>
      <c r="Z205" s="3" t="s">
        <v>164</v>
      </c>
      <c r="AA205" s="13" t="s">
        <v>59</v>
      </c>
      <c r="AB205" s="11" t="n">
        <v>16.29</v>
      </c>
    </row>
    <row r="206" customFormat="false" ht="16.4" hidden="false" customHeight="false" outlineLevel="0" collapsed="false">
      <c r="A206" s="3" t="n">
        <v>205</v>
      </c>
      <c r="B206" s="3" t="n">
        <v>13</v>
      </c>
      <c r="C206" s="3" t="s">
        <v>326</v>
      </c>
      <c r="D206" s="10" t="n">
        <v>22750</v>
      </c>
      <c r="E206" s="10" t="n">
        <f aca="false">ROUND(D206*INDEX(مناطق!$AF$2:$AF$23,B206),0)</f>
        <v>20610</v>
      </c>
      <c r="F206" s="11" t="n">
        <f aca="false">ROUND(100*(راهنما!$B$4*(H206-MIN($H$2:$H$350))/(MAX($H$2:$H$350)-MIN($H$2:$H$350))+راهنما!$B$5*(N206-MIN($N$2:$N$350))/(MAX($N$2:$N$350)-MIN($N$2:$N$350))+راهنما!$B$6*(J206-MIN($J$2:$J$350))/(MAX($J$2:$J$350)-MIN($J$2:$J$350))+راهنما!$B$7*(MAX($I$2:$I$350)-I206)/(MAX($I$2:$I$350)-MIN($I$2:$I$350)))/راهنما!$B$8,1)</f>
        <v>38.5</v>
      </c>
      <c r="G206" s="3" t="str">
        <f aca="false">IF(V206&lt;=ROUND(349*0.2,0),"بسیار بالا",IF(V206&lt;=ROUND(349*0.4,0),"بالا",IF(V206&lt;=ROUND(349*0.6,0),"متوسط",IF(V206&lt;=ROUND(349*0.8,0),"پایین","بسیار پایین"))))</f>
        <v>بسیار پایین</v>
      </c>
      <c r="H206" s="11" t="n">
        <f aca="false">(100-I206)*(100-L206)/100</f>
        <v>67.45396</v>
      </c>
      <c r="I206" s="11" t="n">
        <v>11.94</v>
      </c>
      <c r="J206" s="11" t="n">
        <v>31.76</v>
      </c>
      <c r="K206" s="11" t="n">
        <f aca="false">J206/(1-I206/100)</f>
        <v>36.0663184192596</v>
      </c>
      <c r="L206" s="11" t="n">
        <v>23.4</v>
      </c>
      <c r="M206" s="11" t="n">
        <v>34.97</v>
      </c>
      <c r="N206" s="11" t="n">
        <v>34.62</v>
      </c>
      <c r="O206" s="11" t="n">
        <v>4.43</v>
      </c>
      <c r="P206" s="10" t="n">
        <f aca="false">ROUND(E206*J206/100,0)</f>
        <v>6546</v>
      </c>
      <c r="Q206" s="10" t="n">
        <f aca="false">ROUND(P206*I206/(100-I206),0)</f>
        <v>888</v>
      </c>
      <c r="R206" s="10" t="n">
        <f aca="false">ROUND(P206*(100-L206)/100,0)</f>
        <v>5014</v>
      </c>
      <c r="S206" s="10" t="n">
        <f aca="false">ROUND(P206*M206/100,0)</f>
        <v>2289</v>
      </c>
      <c r="T206" s="11" t="n">
        <v>67.37</v>
      </c>
      <c r="U206" s="11" t="n">
        <v>67.54</v>
      </c>
      <c r="V206" s="3" t="n">
        <f aca="false">RANK(F206,$F$2:$F$350,0)</f>
        <v>281</v>
      </c>
      <c r="W206" s="12" t="n">
        <v>210.4</v>
      </c>
      <c r="X206" s="10" t="n">
        <v>80</v>
      </c>
      <c r="Y206" s="3" t="s">
        <v>58</v>
      </c>
      <c r="Z206" s="3" t="s">
        <v>326</v>
      </c>
      <c r="AA206" s="13" t="s">
        <v>59</v>
      </c>
      <c r="AB206" s="11" t="n">
        <v>16.11</v>
      </c>
    </row>
    <row r="207" customFormat="false" ht="16.4" hidden="false" customHeight="false" outlineLevel="0" collapsed="false">
      <c r="A207" s="3" t="n">
        <v>206</v>
      </c>
      <c r="B207" s="3" t="n">
        <v>13</v>
      </c>
      <c r="C207" s="3" t="s">
        <v>327</v>
      </c>
      <c r="D207" s="10" t="n">
        <v>19915</v>
      </c>
      <c r="E207" s="10" t="n">
        <f aca="false">ROUND(D207*INDEX(مناطق!$AF$2:$AF$23,B207),0)</f>
        <v>18042</v>
      </c>
      <c r="F207" s="11" t="n">
        <f aca="false">ROUND(100*(راهنما!$B$4*(H207-MIN($H$2:$H$350))/(MAX($H$2:$H$350)-MIN($H$2:$H$350))+راهنما!$B$5*(N207-MIN($N$2:$N$350))/(MAX($N$2:$N$350)-MIN($N$2:$N$350))+راهنما!$B$6*(J207-MIN($J$2:$J$350))/(MAX($J$2:$J$350)-MIN($J$2:$J$350))+راهنما!$B$7*(MAX($I$2:$I$350)-I207)/(MAX($I$2:$I$350)-MIN($I$2:$I$350)))/راهنما!$B$8,1)</f>
        <v>38</v>
      </c>
      <c r="G207" s="3" t="str">
        <f aca="false">IF(V207&lt;=ROUND(349*0.2,0),"بسیار بالا",IF(V207&lt;=ROUND(349*0.4,0),"بالا",IF(V207&lt;=ROUND(349*0.6,0),"متوسط",IF(V207&lt;=ROUND(349*0.8,0),"پایین","بسیار پایین"))))</f>
        <v>بسیار پایین</v>
      </c>
      <c r="H207" s="11" t="n">
        <f aca="false">(100-I207)*(100-L207)/100</f>
        <v>67.32187</v>
      </c>
      <c r="I207" s="11" t="n">
        <v>11.94</v>
      </c>
      <c r="J207" s="11" t="n">
        <v>31.79</v>
      </c>
      <c r="K207" s="11" t="n">
        <f aca="false">J207/(1-I207/100)</f>
        <v>36.1003861003861</v>
      </c>
      <c r="L207" s="11" t="n">
        <v>23.55</v>
      </c>
      <c r="M207" s="11" t="n">
        <v>34.97</v>
      </c>
      <c r="N207" s="11" t="n">
        <v>33.93</v>
      </c>
      <c r="O207" s="11" t="n">
        <v>4.48</v>
      </c>
      <c r="P207" s="10" t="n">
        <f aca="false">ROUND(E207*J207/100,0)</f>
        <v>5736</v>
      </c>
      <c r="Q207" s="10" t="n">
        <f aca="false">ROUND(P207*I207/(100-I207),0)</f>
        <v>778</v>
      </c>
      <c r="R207" s="10" t="n">
        <f aca="false">ROUND(P207*(100-L207)/100,0)</f>
        <v>4385</v>
      </c>
      <c r="S207" s="10" t="n">
        <f aca="false">ROUND(P207*M207/100,0)</f>
        <v>2006</v>
      </c>
      <c r="T207" s="11" t="n">
        <v>67.29</v>
      </c>
      <c r="U207" s="11" t="n">
        <v>67.35</v>
      </c>
      <c r="V207" s="3" t="n">
        <f aca="false">RANK(F207,$F$2:$F$350,0)</f>
        <v>285</v>
      </c>
      <c r="W207" s="12" t="n">
        <v>207.1</v>
      </c>
      <c r="X207" s="10" t="n">
        <v>85</v>
      </c>
      <c r="Y207" s="3" t="s">
        <v>58</v>
      </c>
      <c r="Z207" s="3" t="s">
        <v>327</v>
      </c>
      <c r="AA207" s="13" t="s">
        <v>59</v>
      </c>
      <c r="AB207" s="11" t="n">
        <v>15.72</v>
      </c>
    </row>
    <row r="208" customFormat="false" ht="16.4" hidden="false" customHeight="false" outlineLevel="0" collapsed="false">
      <c r="A208" s="3" t="n">
        <v>207</v>
      </c>
      <c r="B208" s="3" t="n">
        <v>13</v>
      </c>
      <c r="C208" s="3" t="s">
        <v>328</v>
      </c>
      <c r="D208" s="10" t="n">
        <v>26706</v>
      </c>
      <c r="E208" s="10" t="n">
        <f aca="false">ROUND(D208*INDEX(مناطق!$AF$2:$AF$23,B208),0)</f>
        <v>24194</v>
      </c>
      <c r="F208" s="11" t="n">
        <f aca="false">ROUND(100*(راهنما!$B$4*(H208-MIN($H$2:$H$350))/(MAX($H$2:$H$350)-MIN($H$2:$H$350))+راهنما!$B$5*(N208-MIN($N$2:$N$350))/(MAX($N$2:$N$350)-MIN($N$2:$N$350))+راهنما!$B$6*(J208-MIN($J$2:$J$350))/(MAX($J$2:$J$350)-MIN($J$2:$J$350))+راهنما!$B$7*(MAX($I$2:$I$350)-I208)/(MAX($I$2:$I$350)-MIN($I$2:$I$350)))/راهنما!$B$8,1)</f>
        <v>37.8</v>
      </c>
      <c r="G208" s="3" t="str">
        <f aca="false">IF(V208&lt;=ROUND(349*0.2,0),"بسیار بالا",IF(V208&lt;=ROUND(349*0.4,0),"بالا",IF(V208&lt;=ROUND(349*0.6,0),"متوسط",IF(V208&lt;=ROUND(349*0.8,0),"پایین","بسیار پایین"))))</f>
        <v>بسیار پایین</v>
      </c>
      <c r="H208" s="11" t="n">
        <f aca="false">(100-I208)*(100-L208)/100</f>
        <v>67.27784</v>
      </c>
      <c r="I208" s="11" t="n">
        <v>11.94</v>
      </c>
      <c r="J208" s="11" t="n">
        <v>31.79</v>
      </c>
      <c r="K208" s="11" t="n">
        <f aca="false">J208/(1-I208/100)</f>
        <v>36.1003861003861</v>
      </c>
      <c r="L208" s="11" t="n">
        <v>23.6</v>
      </c>
      <c r="M208" s="11" t="n">
        <v>34.97</v>
      </c>
      <c r="N208" s="11" t="n">
        <v>33.72</v>
      </c>
      <c r="O208" s="11" t="n">
        <v>4.49</v>
      </c>
      <c r="P208" s="10" t="n">
        <f aca="false">ROUND(E208*J208/100,0)</f>
        <v>7691</v>
      </c>
      <c r="Q208" s="10" t="n">
        <f aca="false">ROUND(P208*I208/(100-I208),0)</f>
        <v>1043</v>
      </c>
      <c r="R208" s="10" t="n">
        <f aca="false">ROUND(P208*(100-L208)/100,0)</f>
        <v>5876</v>
      </c>
      <c r="S208" s="10" t="n">
        <f aca="false">ROUND(P208*M208/100,0)</f>
        <v>2690</v>
      </c>
      <c r="T208" s="11" t="n">
        <v>67.26</v>
      </c>
      <c r="U208" s="11" t="n">
        <v>67.29</v>
      </c>
      <c r="V208" s="3" t="n">
        <f aca="false">RANK(F208,$F$2:$F$350,0)</f>
        <v>288</v>
      </c>
      <c r="W208" s="12"/>
      <c r="X208" s="10" t="n">
        <v>0</v>
      </c>
      <c r="Y208" s="3" t="s">
        <v>77</v>
      </c>
      <c r="Z208" s="13" t="s">
        <v>78</v>
      </c>
      <c r="AA208" s="13" t="s">
        <v>79</v>
      </c>
      <c r="AB208" s="11" t="n">
        <v>15.6</v>
      </c>
    </row>
    <row r="209" customFormat="false" ht="16.4" hidden="false" customHeight="false" outlineLevel="0" collapsed="false">
      <c r="A209" s="3" t="n">
        <v>208</v>
      </c>
      <c r="B209" s="3" t="n">
        <v>13</v>
      </c>
      <c r="C209" s="3" t="s">
        <v>329</v>
      </c>
      <c r="D209" s="10" t="n">
        <v>3459</v>
      </c>
      <c r="E209" s="10" t="n">
        <f aca="false">ROUND(D209*INDEX(مناطق!$AF$2:$AF$23,B209),0)</f>
        <v>3134</v>
      </c>
      <c r="F209" s="11" t="n">
        <f aca="false">ROUND(100*(راهنما!$B$4*(H209-MIN($H$2:$H$350))/(MAX($H$2:$H$350)-MIN($H$2:$H$350))+راهنما!$B$5*(N209-MIN($N$2:$N$350))/(MAX($N$2:$N$350)-MIN($N$2:$N$350))+راهنما!$B$6*(J209-MIN($J$2:$J$350))/(MAX($J$2:$J$350)-MIN($J$2:$J$350))+راهنما!$B$7*(MAX($I$2:$I$350)-I209)/(MAX($I$2:$I$350)-MIN($I$2:$I$350)))/راهنما!$B$8,1)</f>
        <v>37.8</v>
      </c>
      <c r="G209" s="3" t="str">
        <f aca="false">IF(V209&lt;=ROUND(349*0.2,0),"بسیار بالا",IF(V209&lt;=ROUND(349*0.4,0),"بالا",IF(V209&lt;=ROUND(349*0.6,0),"متوسط",IF(V209&lt;=ROUND(349*0.8,0),"پایین","بسیار پایین"))))</f>
        <v>بسیار پایین</v>
      </c>
      <c r="H209" s="11" t="n">
        <f aca="false">(100-I209)*(100-L209)/100</f>
        <v>67.27784</v>
      </c>
      <c r="I209" s="11" t="n">
        <v>11.94</v>
      </c>
      <c r="J209" s="11" t="n">
        <v>31.79</v>
      </c>
      <c r="K209" s="11" t="n">
        <f aca="false">J209/(1-I209/100)</f>
        <v>36.1003861003861</v>
      </c>
      <c r="L209" s="11" t="n">
        <v>23.6</v>
      </c>
      <c r="M209" s="11" t="n">
        <v>34.97</v>
      </c>
      <c r="N209" s="11" t="n">
        <v>33.72</v>
      </c>
      <c r="O209" s="11" t="n">
        <v>4.49</v>
      </c>
      <c r="P209" s="10" t="n">
        <f aca="false">ROUND(E209*J209/100,0)</f>
        <v>996</v>
      </c>
      <c r="Q209" s="10" t="n">
        <f aca="false">ROUND(P209*I209/(100-I209),0)</f>
        <v>135</v>
      </c>
      <c r="R209" s="10" t="n">
        <f aca="false">ROUND(P209*(100-L209)/100,0)</f>
        <v>761</v>
      </c>
      <c r="S209" s="10" t="n">
        <f aca="false">ROUND(P209*M209/100,0)</f>
        <v>348</v>
      </c>
      <c r="T209" s="11" t="n">
        <v>67.26</v>
      </c>
      <c r="U209" s="11" t="n">
        <v>67.29</v>
      </c>
      <c r="V209" s="3" t="n">
        <f aca="false">RANK(F209,$F$2:$F$350,0)</f>
        <v>288</v>
      </c>
      <c r="W209" s="12"/>
      <c r="X209" s="10" t="n">
        <v>0</v>
      </c>
      <c r="Y209" s="3" t="s">
        <v>77</v>
      </c>
      <c r="Z209" s="13" t="s">
        <v>78</v>
      </c>
      <c r="AA209" s="13" t="s">
        <v>79</v>
      </c>
      <c r="AB209" s="11" t="n">
        <v>15.6</v>
      </c>
    </row>
    <row r="210" customFormat="false" ht="16.4" hidden="false" customHeight="false" outlineLevel="0" collapsed="false">
      <c r="A210" s="3" t="n">
        <v>209</v>
      </c>
      <c r="B210" s="3" t="n">
        <v>13</v>
      </c>
      <c r="C210" s="3" t="s">
        <v>330</v>
      </c>
      <c r="D210" s="10" t="n">
        <v>1415</v>
      </c>
      <c r="E210" s="10" t="n">
        <f aca="false">ROUND(D210*INDEX(مناطق!$AF$2:$AF$23,B210),0)</f>
        <v>1282</v>
      </c>
      <c r="F210" s="11" t="n">
        <f aca="false">ROUND(100*(راهنما!$B$4*(H210-MIN($H$2:$H$350))/(MAX($H$2:$H$350)-MIN($H$2:$H$350))+راهنما!$B$5*(N210-MIN($N$2:$N$350))/(MAX($N$2:$N$350)-MIN($N$2:$N$350))+راهنما!$B$6*(J210-MIN($J$2:$J$350))/(MAX($J$2:$J$350)-MIN($J$2:$J$350))+راهنما!$B$7*(MAX($I$2:$I$350)-I210)/(MAX($I$2:$I$350)-MIN($I$2:$I$350)))/راهنما!$B$8,1)</f>
        <v>35.1</v>
      </c>
      <c r="G210" s="3" t="str">
        <f aca="false">IF(V210&lt;=ROUND(349*0.2,0),"بسیار بالا",IF(V210&lt;=ROUND(349*0.4,0),"بالا",IF(V210&lt;=ROUND(349*0.6,0),"متوسط",IF(V210&lt;=ROUND(349*0.8,0),"پایین","بسیار پایین"))))</f>
        <v>بسیار پایین</v>
      </c>
      <c r="H210" s="11" t="n">
        <f aca="false">(100-I210)*(100-L210)/100</f>
        <v>66.564554</v>
      </c>
      <c r="I210" s="11" t="n">
        <v>11.94</v>
      </c>
      <c r="J210" s="11" t="n">
        <v>31.92</v>
      </c>
      <c r="K210" s="11" t="n">
        <f aca="false">J210/(1-I210/100)</f>
        <v>36.248012718601</v>
      </c>
      <c r="L210" s="11" t="n">
        <v>24.41</v>
      </c>
      <c r="M210" s="11" t="n">
        <v>34.97</v>
      </c>
      <c r="N210" s="11" t="n">
        <v>30.31</v>
      </c>
      <c r="O210" s="11" t="n">
        <v>4.73</v>
      </c>
      <c r="P210" s="10" t="n">
        <f aca="false">ROUND(E210*J210/100,0)</f>
        <v>409</v>
      </c>
      <c r="Q210" s="10" t="n">
        <f aca="false">ROUND(P210*I210/(100-I210),0)</f>
        <v>55</v>
      </c>
      <c r="R210" s="10" t="n">
        <f aca="false">ROUND(P210*(100-L210)/100,0)</f>
        <v>309</v>
      </c>
      <c r="S210" s="10" t="n">
        <f aca="false">ROUND(P210*M210/100,0)</f>
        <v>143</v>
      </c>
      <c r="T210" s="11" t="n">
        <v>66.28</v>
      </c>
      <c r="U210" s="11" t="n">
        <v>66.85</v>
      </c>
      <c r="V210" s="3" t="n">
        <f aca="false">RANK(F210,$F$2:$F$350,0)</f>
        <v>316</v>
      </c>
      <c r="W210" s="12" t="n">
        <v>160</v>
      </c>
      <c r="X210" s="10" t="n">
        <v>9</v>
      </c>
      <c r="Y210" s="3" t="s">
        <v>67</v>
      </c>
      <c r="Z210" s="3" t="s">
        <v>331</v>
      </c>
      <c r="AA210" s="13" t="s">
        <v>125</v>
      </c>
      <c r="AB210" s="11" t="n">
        <v>13.75</v>
      </c>
    </row>
    <row r="211" customFormat="false" ht="16.4" hidden="false" customHeight="false" outlineLevel="0" collapsed="false">
      <c r="A211" s="3" t="n">
        <v>210</v>
      </c>
      <c r="B211" s="3" t="n">
        <v>13</v>
      </c>
      <c r="C211" s="3" t="s">
        <v>332</v>
      </c>
      <c r="D211" s="10" t="n">
        <v>16578</v>
      </c>
      <c r="E211" s="10" t="n">
        <f aca="false">ROUND(D211*INDEX(مناطق!$AF$2:$AF$23,B211),0)</f>
        <v>15019</v>
      </c>
      <c r="F211" s="11" t="n">
        <f aca="false">ROUND(100*(راهنما!$B$4*(H211-MIN($H$2:$H$350))/(MAX($H$2:$H$350)-MIN($H$2:$H$350))+راهنما!$B$5*(N211-MIN($N$2:$N$350))/(MAX($N$2:$N$350)-MIN($N$2:$N$350))+راهنما!$B$6*(J211-MIN($J$2:$J$350))/(MAX($J$2:$J$350)-MIN($J$2:$J$350))+راهنما!$B$7*(MAX($I$2:$I$350)-I211)/(MAX($I$2:$I$350)-MIN($I$2:$I$350)))/راهنما!$B$8,1)</f>
        <v>32.7</v>
      </c>
      <c r="G211" s="3" t="str">
        <f aca="false">IF(V211&lt;=ROUND(349*0.2,0),"بسیار بالا",IF(V211&lt;=ROUND(349*0.4,0),"بالا",IF(V211&lt;=ROUND(349*0.6,0),"متوسط",IF(V211&lt;=ROUND(349*0.8,0),"پایین","بسیار پایین"))))</f>
        <v>بسیار پایین</v>
      </c>
      <c r="H211" s="11" t="n">
        <f aca="false">(100-I211)*(100-L211)/100</f>
        <v>65.895298</v>
      </c>
      <c r="I211" s="11" t="n">
        <v>11.94</v>
      </c>
      <c r="J211" s="11" t="n">
        <v>32.04</v>
      </c>
      <c r="K211" s="11" t="n">
        <f aca="false">J211/(1-I211/100)</f>
        <v>36.384283443107</v>
      </c>
      <c r="L211" s="11" t="n">
        <v>25.17</v>
      </c>
      <c r="M211" s="11" t="n">
        <v>34.97</v>
      </c>
      <c r="N211" s="11" t="n">
        <v>27.36</v>
      </c>
      <c r="O211" s="11" t="n">
        <v>4.97</v>
      </c>
      <c r="P211" s="10" t="n">
        <f aca="false">ROUND(E211*J211/100,0)</f>
        <v>4812</v>
      </c>
      <c r="Q211" s="10" t="n">
        <f aca="false">ROUND(P211*I211/(100-I211),0)</f>
        <v>652</v>
      </c>
      <c r="R211" s="10" t="n">
        <f aca="false">ROUND(P211*(100-L211)/100,0)</f>
        <v>3601</v>
      </c>
      <c r="S211" s="10" t="n">
        <f aca="false">ROUND(P211*M211/100,0)</f>
        <v>1683</v>
      </c>
      <c r="T211" s="11" t="n">
        <v>65.31</v>
      </c>
      <c r="U211" s="11" t="n">
        <v>66.47</v>
      </c>
      <c r="V211" s="3" t="n">
        <f aca="false">RANK(F211,$F$2:$F$350,0)</f>
        <v>326</v>
      </c>
      <c r="W211" s="12" t="n">
        <v>179.7</v>
      </c>
      <c r="X211" s="10" t="n">
        <v>90</v>
      </c>
      <c r="Y211" s="3" t="s">
        <v>58</v>
      </c>
      <c r="Z211" s="3" t="s">
        <v>333</v>
      </c>
      <c r="AA211" s="13" t="s">
        <v>59</v>
      </c>
      <c r="AB211" s="11" t="n">
        <v>12.21</v>
      </c>
    </row>
    <row r="212" customFormat="false" ht="16.4" hidden="false" customHeight="false" outlineLevel="0" collapsed="false">
      <c r="A212" s="3" t="n">
        <v>211</v>
      </c>
      <c r="B212" s="3" t="n">
        <v>13</v>
      </c>
      <c r="C212" s="3" t="s">
        <v>334</v>
      </c>
      <c r="D212" s="10" t="n">
        <v>16068</v>
      </c>
      <c r="E212" s="10" t="n">
        <f aca="false">ROUND(D212*INDEX(مناطق!$AF$2:$AF$23,B212),0)</f>
        <v>14557</v>
      </c>
      <c r="F212" s="11" t="n">
        <f aca="false">ROUND(100*(راهنما!$B$4*(H212-MIN($H$2:$H$350))/(MAX($H$2:$H$350)-MIN($H$2:$H$350))+راهنما!$B$5*(N212-MIN($N$2:$N$350))/(MAX($N$2:$N$350)-MIN($N$2:$N$350))+راهنما!$B$6*(J212-MIN($J$2:$J$350))/(MAX($J$2:$J$350)-MIN($J$2:$J$350))+راهنما!$B$7*(MAX($I$2:$I$350)-I212)/(MAX($I$2:$I$350)-MIN($I$2:$I$350)))/راهنما!$B$8,1)</f>
        <v>31.3</v>
      </c>
      <c r="G212" s="3" t="str">
        <f aca="false">IF(V212&lt;=ROUND(349*0.2,0),"بسیار بالا",IF(V212&lt;=ROUND(349*0.4,0),"بالا",IF(V212&lt;=ROUND(349*0.6,0),"متوسط",IF(V212&lt;=ROUND(349*0.8,0),"پایین","بسیار پایین"))))</f>
        <v>بسیار پایین</v>
      </c>
      <c r="H212" s="11" t="n">
        <f aca="false">(100-I212)*(100-L212)/100</f>
        <v>65.490222</v>
      </c>
      <c r="I212" s="11" t="n">
        <v>11.94</v>
      </c>
      <c r="J212" s="11" t="n">
        <v>32.11</v>
      </c>
      <c r="K212" s="11" t="n">
        <f aca="false">J212/(1-I212/100)</f>
        <v>36.4637746990688</v>
      </c>
      <c r="L212" s="11" t="n">
        <v>25.63</v>
      </c>
      <c r="M212" s="11" t="n">
        <v>34.97</v>
      </c>
      <c r="N212" s="11" t="n">
        <v>25.7</v>
      </c>
      <c r="O212" s="11" t="n">
        <v>5.12</v>
      </c>
      <c r="P212" s="10" t="n">
        <f aca="false">ROUND(E212*J212/100,0)</f>
        <v>4674</v>
      </c>
      <c r="Q212" s="10" t="n">
        <f aca="false">ROUND(P212*I212/(100-I212),0)</f>
        <v>634</v>
      </c>
      <c r="R212" s="10" t="n">
        <f aca="false">ROUND(P212*(100-L212)/100,0)</f>
        <v>3476</v>
      </c>
      <c r="S212" s="10" t="n">
        <f aca="false">ROUND(P212*M212/100,0)</f>
        <v>1634</v>
      </c>
      <c r="T212" s="11" t="n">
        <v>64.74</v>
      </c>
      <c r="U212" s="11" t="n">
        <v>66.24</v>
      </c>
      <c r="V212" s="3" t="n">
        <f aca="false">RANK(F212,$F$2:$F$350,0)</f>
        <v>330</v>
      </c>
      <c r="W212" s="12" t="n">
        <v>165.2</v>
      </c>
      <c r="X212" s="10" t="n">
        <v>89</v>
      </c>
      <c r="Y212" s="3" t="s">
        <v>67</v>
      </c>
      <c r="Z212" s="3" t="s">
        <v>335</v>
      </c>
      <c r="AA212" s="13" t="s">
        <v>59</v>
      </c>
      <c r="AB212" s="11" t="n">
        <v>11.38</v>
      </c>
    </row>
    <row r="213" customFormat="false" ht="16.4" hidden="false" customHeight="false" outlineLevel="0" collapsed="false">
      <c r="A213" s="3" t="n">
        <v>212</v>
      </c>
      <c r="B213" s="3" t="n">
        <v>13</v>
      </c>
      <c r="C213" s="3" t="s">
        <v>336</v>
      </c>
      <c r="D213" s="10" t="n">
        <v>22406</v>
      </c>
      <c r="E213" s="10" t="n">
        <f aca="false">ROUND(D213*INDEX(مناطق!$AF$2:$AF$23,B213),0)</f>
        <v>20299</v>
      </c>
      <c r="F213" s="11" t="n">
        <f aca="false">ROUND(100*(راهنما!$B$4*(H213-MIN($H$2:$H$350))/(MAX($H$2:$H$350)-MIN($H$2:$H$350))+راهنما!$B$5*(N213-MIN($N$2:$N$350))/(MAX($N$2:$N$350)-MIN($N$2:$N$350))+راهنما!$B$6*(J213-MIN($J$2:$J$350))/(MAX($J$2:$J$350)-MIN($J$2:$J$350))+راهنما!$B$7*(MAX($I$2:$I$350)-I213)/(MAX($I$2:$I$350)-MIN($I$2:$I$350)))/راهنما!$B$8,1)</f>
        <v>30.9</v>
      </c>
      <c r="G213" s="3" t="str">
        <f aca="false">IF(V213&lt;=ROUND(349*0.2,0),"بسیار بالا",IF(V213&lt;=ROUND(349*0.4,0),"بالا",IF(V213&lt;=ROUND(349*0.6,0),"متوسط",IF(V213&lt;=ROUND(349*0.8,0),"پایین","بسیار پایین"))))</f>
        <v>بسیار پایین</v>
      </c>
      <c r="H213" s="11" t="n">
        <f aca="false">(100-I213)*(100-L213)/100</f>
        <v>65.366938</v>
      </c>
      <c r="I213" s="11" t="n">
        <v>11.94</v>
      </c>
      <c r="J213" s="11" t="n">
        <v>32.13</v>
      </c>
      <c r="K213" s="11" t="n">
        <f aca="false">J213/(1-I213/100)</f>
        <v>36.4864864864865</v>
      </c>
      <c r="L213" s="11" t="n">
        <v>25.77</v>
      </c>
      <c r="M213" s="11" t="n">
        <v>34.97</v>
      </c>
      <c r="N213" s="11" t="n">
        <v>25.19</v>
      </c>
      <c r="O213" s="11" t="n">
        <v>5.16</v>
      </c>
      <c r="P213" s="10" t="n">
        <f aca="false">ROUND(E213*J213/100,0)</f>
        <v>6522</v>
      </c>
      <c r="Q213" s="10" t="n">
        <f aca="false">ROUND(P213*I213/(100-I213),0)</f>
        <v>884</v>
      </c>
      <c r="R213" s="10" t="n">
        <f aca="false">ROUND(P213*(100-L213)/100,0)</f>
        <v>4841</v>
      </c>
      <c r="S213" s="10" t="n">
        <f aca="false">ROUND(P213*M213/100,0)</f>
        <v>2281</v>
      </c>
      <c r="T213" s="11" t="n">
        <v>64.55</v>
      </c>
      <c r="U213" s="11" t="n">
        <v>66.16</v>
      </c>
      <c r="V213" s="3" t="n">
        <f aca="false">RANK(F213,$F$2:$F$350,0)</f>
        <v>337</v>
      </c>
      <c r="W213" s="12" t="n">
        <v>164.2</v>
      </c>
      <c r="X213" s="10" t="n">
        <v>82</v>
      </c>
      <c r="Y213" s="3" t="s">
        <v>58</v>
      </c>
      <c r="Z213" s="3" t="s">
        <v>336</v>
      </c>
      <c r="AA213" s="13" t="s">
        <v>59</v>
      </c>
      <c r="AB213" s="11" t="n">
        <v>11.12</v>
      </c>
    </row>
    <row r="214" customFormat="false" ht="16.4" hidden="false" customHeight="false" outlineLevel="0" collapsed="false">
      <c r="A214" s="3" t="n">
        <v>213</v>
      </c>
      <c r="B214" s="3" t="n">
        <v>14</v>
      </c>
      <c r="C214" s="3" t="s">
        <v>337</v>
      </c>
      <c r="D214" s="10" t="n">
        <v>41127</v>
      </c>
      <c r="E214" s="10" t="n">
        <f aca="false">ROUND(D214*INDEX(مناطق!$AF$2:$AF$23,B214),0)</f>
        <v>35837</v>
      </c>
      <c r="F214" s="11" t="n">
        <f aca="false">ROUND(100*(راهنما!$B$4*(H214-MIN($H$2:$H$350))/(MAX($H$2:$H$350)-MIN($H$2:$H$350))+راهنما!$B$5*(N214-MIN($N$2:$N$350))/(MAX($N$2:$N$350)-MIN($N$2:$N$350))+راهنما!$B$6*(J214-MIN($J$2:$J$350))/(MAX($J$2:$J$350)-MIN($J$2:$J$350))+راهنما!$B$7*(MAX($I$2:$I$350)-I214)/(MAX($I$2:$I$350)-MIN($I$2:$I$350)))/راهنما!$B$8,1)</f>
        <v>59.1</v>
      </c>
      <c r="G214" s="3" t="str">
        <f aca="false">IF(V214&lt;=ROUND(349*0.2,0),"بسیار بالا",IF(V214&lt;=ROUND(349*0.4,0),"بالا",IF(V214&lt;=ROUND(349*0.6,0),"متوسط",IF(V214&lt;=ROUND(349*0.8,0),"پایین","بسیار پایین"))))</f>
        <v>بالا</v>
      </c>
      <c r="H214" s="11" t="n">
        <f aca="false">(100-I214)*(100-L214)/100</f>
        <v>71.65119</v>
      </c>
      <c r="I214" s="11" t="n">
        <v>10.38</v>
      </c>
      <c r="J214" s="11" t="n">
        <v>33.3</v>
      </c>
      <c r="K214" s="11" t="n">
        <f aca="false">J214/(1-I214/100)</f>
        <v>37.1568846239679</v>
      </c>
      <c r="L214" s="11" t="n">
        <v>20.05</v>
      </c>
      <c r="M214" s="11" t="n">
        <v>39.33</v>
      </c>
      <c r="N214" s="11" t="n">
        <v>35.05</v>
      </c>
      <c r="O214" s="11" t="n">
        <v>4.65</v>
      </c>
      <c r="P214" s="10" t="n">
        <f aca="false">ROUND(E214*J214/100,0)</f>
        <v>11934</v>
      </c>
      <c r="Q214" s="10" t="n">
        <f aca="false">ROUND(P214*I214/(100-I214),0)</f>
        <v>1382</v>
      </c>
      <c r="R214" s="10" t="n">
        <f aca="false">ROUND(P214*(100-L214)/100,0)</f>
        <v>9541</v>
      </c>
      <c r="S214" s="10" t="n">
        <f aca="false">ROUND(P214*M214/100,0)</f>
        <v>4694</v>
      </c>
      <c r="T214" s="11" t="n">
        <v>70.75</v>
      </c>
      <c r="U214" s="11" t="n">
        <v>72.53</v>
      </c>
      <c r="V214" s="3" t="n">
        <f aca="false">RANK(F214,$F$2:$F$350,0)</f>
        <v>92</v>
      </c>
      <c r="W214" s="12" t="n">
        <v>262</v>
      </c>
      <c r="X214" s="10" t="n">
        <v>86</v>
      </c>
      <c r="Y214" s="3" t="s">
        <v>58</v>
      </c>
      <c r="Z214" s="3" t="s">
        <v>337</v>
      </c>
      <c r="AA214" s="13" t="s">
        <v>59</v>
      </c>
      <c r="AB214" s="11" t="n">
        <v>17.92</v>
      </c>
    </row>
    <row r="215" customFormat="false" ht="16.4" hidden="false" customHeight="false" outlineLevel="0" collapsed="false">
      <c r="A215" s="3" t="n">
        <v>214</v>
      </c>
      <c r="B215" s="3" t="n">
        <v>14</v>
      </c>
      <c r="C215" s="3" t="s">
        <v>338</v>
      </c>
      <c r="D215" s="10" t="n">
        <v>31417</v>
      </c>
      <c r="E215" s="10" t="n">
        <f aca="false">ROUND(D215*INDEX(مناطق!$AF$2:$AF$23,B215),0)</f>
        <v>27376</v>
      </c>
      <c r="F215" s="11" t="n">
        <f aca="false">ROUND(100*(راهنما!$B$4*(H215-MIN($H$2:$H$350))/(MAX($H$2:$H$350)-MIN($H$2:$H$350))+راهنما!$B$5*(N215-MIN($N$2:$N$350))/(MAX($N$2:$N$350)-MIN($N$2:$N$350))+راهنما!$B$6*(J215-MIN($J$2:$J$350))/(MAX($J$2:$J$350)-MIN($J$2:$J$350))+راهنما!$B$7*(MAX($I$2:$I$350)-I215)/(MAX($I$2:$I$350)-MIN($I$2:$I$350)))/راهنما!$B$8,1)</f>
        <v>53.3</v>
      </c>
      <c r="G215" s="3" t="str">
        <f aca="false">IF(V215&lt;=ROUND(349*0.2,0),"بسیار بالا",IF(V215&lt;=ROUND(349*0.4,0),"بالا",IF(V215&lt;=ROUND(349*0.6,0),"متوسط",IF(V215&lt;=ROUND(349*0.8,0),"پایین","بسیار پایین"))))</f>
        <v>متوسط</v>
      </c>
      <c r="H215" s="11" t="n">
        <f aca="false">(100-I215)*(100-L215)/100</f>
        <v>70.118688</v>
      </c>
      <c r="I215" s="11" t="n">
        <v>10.38</v>
      </c>
      <c r="J215" s="11" t="n">
        <v>33.61</v>
      </c>
      <c r="K215" s="11" t="n">
        <f aca="false">J215/(1-I215/100)</f>
        <v>37.5027895559027</v>
      </c>
      <c r="L215" s="11" t="n">
        <v>21.76</v>
      </c>
      <c r="M215" s="11" t="n">
        <v>39.33</v>
      </c>
      <c r="N215" s="11" t="n">
        <v>27.26</v>
      </c>
      <c r="O215" s="11" t="n">
        <v>5.26</v>
      </c>
      <c r="P215" s="10" t="n">
        <f aca="false">ROUND(E215*J215/100,0)</f>
        <v>9201</v>
      </c>
      <c r="Q215" s="10" t="n">
        <f aca="false">ROUND(P215*I215/(100-I215),0)</f>
        <v>1066</v>
      </c>
      <c r="R215" s="10" t="n">
        <f aca="false">ROUND(P215*(100-L215)/100,0)</f>
        <v>7199</v>
      </c>
      <c r="S215" s="10" t="n">
        <f aca="false">ROUND(P215*M215/100,0)</f>
        <v>3619</v>
      </c>
      <c r="T215" s="11" t="n">
        <v>69.84</v>
      </c>
      <c r="U215" s="11" t="n">
        <v>70.41</v>
      </c>
      <c r="V215" s="3" t="n">
        <f aca="false">RANK(F215,$F$2:$F$350,0)</f>
        <v>142</v>
      </c>
      <c r="W215" s="12" t="n">
        <v>208</v>
      </c>
      <c r="X215" s="10" t="n">
        <v>84</v>
      </c>
      <c r="Y215" s="3" t="s">
        <v>58</v>
      </c>
      <c r="Z215" s="3" t="s">
        <v>338</v>
      </c>
      <c r="AA215" s="13" t="s">
        <v>59</v>
      </c>
      <c r="AB215" s="11" t="n">
        <v>13.4</v>
      </c>
    </row>
    <row r="216" customFormat="false" ht="16.4" hidden="false" customHeight="false" outlineLevel="0" collapsed="false">
      <c r="A216" s="3" t="n">
        <v>215</v>
      </c>
      <c r="B216" s="3" t="n">
        <v>14</v>
      </c>
      <c r="C216" s="3" t="s">
        <v>339</v>
      </c>
      <c r="D216" s="10" t="n">
        <v>22330</v>
      </c>
      <c r="E216" s="10" t="n">
        <f aca="false">ROUND(D216*INDEX(مناطق!$AF$2:$AF$23,B216),0)</f>
        <v>19458</v>
      </c>
      <c r="F216" s="11" t="n">
        <f aca="false">ROUND(100*(راهنما!$B$4*(H216-MIN($H$2:$H$350))/(MAX($H$2:$H$350)-MIN($H$2:$H$350))+راهنما!$B$5*(N216-MIN($N$2:$N$350))/(MAX($N$2:$N$350)-MIN($N$2:$N$350))+راهنما!$B$6*(J216-MIN($J$2:$J$350))/(MAX($J$2:$J$350)-MIN($J$2:$J$350))+راهنما!$B$7*(MAX($I$2:$I$350)-I216)/(MAX($I$2:$I$350)-MIN($I$2:$I$350)))/راهنما!$B$8,1)</f>
        <v>53.3</v>
      </c>
      <c r="G216" s="3" t="str">
        <f aca="false">IF(V216&lt;=ROUND(349*0.2,0),"بسیار بالا",IF(V216&lt;=ROUND(349*0.4,0),"بالا",IF(V216&lt;=ROUND(349*0.6,0),"متوسط",IF(V216&lt;=ROUND(349*0.8,0),"پایین","بسیار پایین"))))</f>
        <v>متوسط</v>
      </c>
      <c r="H216" s="11" t="n">
        <f aca="false">(100-I216)*(100-L216)/100</f>
        <v>70.100764</v>
      </c>
      <c r="I216" s="11" t="n">
        <v>10.38</v>
      </c>
      <c r="J216" s="11" t="n">
        <v>33.61</v>
      </c>
      <c r="K216" s="11" t="n">
        <f aca="false">J216/(1-I216/100)</f>
        <v>37.5027895559027</v>
      </c>
      <c r="L216" s="11" t="n">
        <v>21.78</v>
      </c>
      <c r="M216" s="11" t="n">
        <v>39.33</v>
      </c>
      <c r="N216" s="11" t="n">
        <v>27.17</v>
      </c>
      <c r="O216" s="11" t="n">
        <v>5.27</v>
      </c>
      <c r="P216" s="10" t="n">
        <f aca="false">ROUND(E216*J216/100,0)</f>
        <v>6540</v>
      </c>
      <c r="Q216" s="10" t="n">
        <f aca="false">ROUND(P216*I216/(100-I216),0)</f>
        <v>757</v>
      </c>
      <c r="R216" s="10" t="n">
        <f aca="false">ROUND(P216*(100-L216)/100,0)</f>
        <v>5116</v>
      </c>
      <c r="S216" s="10" t="n">
        <f aca="false">ROUND(P216*M216/100,0)</f>
        <v>2572</v>
      </c>
      <c r="T216" s="11" t="n">
        <v>69.83</v>
      </c>
      <c r="U216" s="11" t="n">
        <v>70.38</v>
      </c>
      <c r="V216" s="3" t="n">
        <f aca="false">RANK(F216,$F$2:$F$350,0)</f>
        <v>142</v>
      </c>
      <c r="W216" s="12" t="n">
        <v>182.5</v>
      </c>
      <c r="X216" s="10" t="n">
        <v>79</v>
      </c>
      <c r="Y216" s="3" t="s">
        <v>58</v>
      </c>
      <c r="Z216" s="3" t="s">
        <v>339</v>
      </c>
      <c r="AA216" s="13" t="s">
        <v>59</v>
      </c>
      <c r="AB216" s="11" t="n">
        <v>13.35</v>
      </c>
    </row>
    <row r="217" customFormat="false" ht="16.4" hidden="false" customHeight="false" outlineLevel="0" collapsed="false">
      <c r="A217" s="3" t="n">
        <v>216</v>
      </c>
      <c r="B217" s="3" t="n">
        <v>14</v>
      </c>
      <c r="C217" s="3" t="s">
        <v>340</v>
      </c>
      <c r="D217" s="10" t="n">
        <v>24744</v>
      </c>
      <c r="E217" s="10" t="n">
        <f aca="false">ROUND(D217*INDEX(مناطق!$AF$2:$AF$23,B217),0)</f>
        <v>21561</v>
      </c>
      <c r="F217" s="11" t="n">
        <f aca="false">ROUND(100*(راهنما!$B$4*(H217-MIN($H$2:$H$350))/(MAX($H$2:$H$350)-MIN($H$2:$H$350))+راهنما!$B$5*(N217-MIN($N$2:$N$350))/(MAX($N$2:$N$350)-MIN($N$2:$N$350))+راهنما!$B$6*(J217-MIN($J$2:$J$350))/(MAX($J$2:$J$350)-MIN($J$2:$J$350))+راهنما!$B$7*(MAX($I$2:$I$350)-I217)/(MAX($I$2:$I$350)-MIN($I$2:$I$350)))/راهنما!$B$8,1)</f>
        <v>52.6</v>
      </c>
      <c r="G217" s="3" t="str">
        <f aca="false">IF(V217&lt;=ROUND(349*0.2,0),"بسیار بالا",IF(V217&lt;=ROUND(349*0.4,0),"بالا",IF(V217&lt;=ROUND(349*0.6,0),"متوسط",IF(V217&lt;=ROUND(349*0.8,0),"پایین","بسیار پایین"))))</f>
        <v>متوسط</v>
      </c>
      <c r="H217" s="11" t="n">
        <f aca="false">(100-I217)*(100-L217)/100</f>
        <v>69.912562</v>
      </c>
      <c r="I217" s="11" t="n">
        <v>10.38</v>
      </c>
      <c r="J217" s="11" t="n">
        <v>33.65</v>
      </c>
      <c r="K217" s="11" t="n">
        <f aca="false">J217/(1-I217/100)</f>
        <v>37.5474224503459</v>
      </c>
      <c r="L217" s="11" t="n">
        <v>21.99</v>
      </c>
      <c r="M217" s="11" t="n">
        <v>39.33</v>
      </c>
      <c r="N217" s="11" t="n">
        <v>26.32</v>
      </c>
      <c r="O217" s="11" t="n">
        <v>5.34</v>
      </c>
      <c r="P217" s="10" t="n">
        <f aca="false">ROUND(E217*J217/100,0)</f>
        <v>7255</v>
      </c>
      <c r="Q217" s="10" t="n">
        <f aca="false">ROUND(P217*I217/(100-I217),0)</f>
        <v>840</v>
      </c>
      <c r="R217" s="10" t="n">
        <f aca="false">ROUND(P217*(100-L217)/100,0)</f>
        <v>5660</v>
      </c>
      <c r="S217" s="10" t="n">
        <f aca="false">ROUND(P217*M217/100,0)</f>
        <v>2853</v>
      </c>
      <c r="T217" s="11" t="n">
        <v>69.72</v>
      </c>
      <c r="U217" s="11" t="n">
        <v>70.12</v>
      </c>
      <c r="V217" s="3" t="n">
        <f aca="false">RANK(F217,$F$2:$F$350,0)</f>
        <v>148</v>
      </c>
      <c r="W217" s="12" t="n">
        <v>197.4</v>
      </c>
      <c r="X217" s="10" t="n">
        <v>77</v>
      </c>
      <c r="Y217" s="3" t="s">
        <v>58</v>
      </c>
      <c r="Z217" s="3" t="s">
        <v>341</v>
      </c>
      <c r="AA217" s="13" t="s">
        <v>59</v>
      </c>
      <c r="AB217" s="11" t="n">
        <v>12.88</v>
      </c>
    </row>
    <row r="218" customFormat="false" ht="16.4" hidden="false" customHeight="false" outlineLevel="0" collapsed="false">
      <c r="A218" s="3" t="n">
        <v>217</v>
      </c>
      <c r="B218" s="3" t="n">
        <v>14</v>
      </c>
      <c r="C218" s="3" t="s">
        <v>342</v>
      </c>
      <c r="D218" s="10" t="n">
        <v>37422</v>
      </c>
      <c r="E218" s="10" t="n">
        <f aca="false">ROUND(D218*INDEX(مناطق!$AF$2:$AF$23,B218),0)</f>
        <v>32608</v>
      </c>
      <c r="F218" s="11" t="n">
        <f aca="false">ROUND(100*(راهنما!$B$4*(H218-MIN($H$2:$H$350))/(MAX($H$2:$H$350)-MIN($H$2:$H$350))+راهنما!$B$5*(N218-MIN($N$2:$N$350))/(MAX($N$2:$N$350)-MIN($N$2:$N$350))+راهنما!$B$6*(J218-MIN($J$2:$J$350))/(MAX($J$2:$J$350)-MIN($J$2:$J$350))+راهنما!$B$7*(MAX($I$2:$I$350)-I218)/(MAX($I$2:$I$350)-MIN($I$2:$I$350)))/راهنما!$B$8,1)</f>
        <v>51</v>
      </c>
      <c r="G218" s="3" t="str">
        <f aca="false">IF(V218&lt;=ROUND(349*0.2,0),"بسیار بالا",IF(V218&lt;=ROUND(349*0.4,0),"بالا",IF(V218&lt;=ROUND(349*0.6,0),"متوسط",IF(V218&lt;=ROUND(349*0.8,0),"پایین","بسیار پایین"))))</f>
        <v>متوسط</v>
      </c>
      <c r="H218" s="11" t="n">
        <f aca="false">(100-I218)*(100-L218)/100</f>
        <v>69.4555</v>
      </c>
      <c r="I218" s="11" t="n">
        <v>10.38</v>
      </c>
      <c r="J218" s="11" t="n">
        <v>33.73</v>
      </c>
      <c r="K218" s="11" t="n">
        <f aca="false">J218/(1-I218/100)</f>
        <v>37.6366882392323</v>
      </c>
      <c r="L218" s="11" t="n">
        <v>22.5</v>
      </c>
      <c r="M218" s="11" t="n">
        <v>39.33</v>
      </c>
      <c r="N218" s="11" t="n">
        <v>24.37</v>
      </c>
      <c r="O218" s="11" t="n">
        <v>5.53</v>
      </c>
      <c r="P218" s="10" t="n">
        <f aca="false">ROUND(E218*J218/100,0)</f>
        <v>10999</v>
      </c>
      <c r="Q218" s="10" t="n">
        <f aca="false">ROUND(P218*I218/(100-I218),0)</f>
        <v>1274</v>
      </c>
      <c r="R218" s="10" t="n">
        <f aca="false">ROUND(P218*(100-L218)/100,0)</f>
        <v>8524</v>
      </c>
      <c r="S218" s="10" t="n">
        <f aca="false">ROUND(P218*M218/100,0)</f>
        <v>4326</v>
      </c>
      <c r="T218" s="11" t="n">
        <v>69.45</v>
      </c>
      <c r="U218" s="11" t="n">
        <v>69.48</v>
      </c>
      <c r="V218" s="3" t="n">
        <f aca="false">RANK(F218,$F$2:$F$350,0)</f>
        <v>159</v>
      </c>
      <c r="W218" s="12"/>
      <c r="X218" s="10" t="n">
        <v>0</v>
      </c>
      <c r="Y218" s="3" t="s">
        <v>77</v>
      </c>
      <c r="Z218" s="13" t="s">
        <v>78</v>
      </c>
      <c r="AA218" s="13" t="s">
        <v>79</v>
      </c>
      <c r="AB218" s="11" t="n">
        <v>11.83</v>
      </c>
    </row>
    <row r="219" customFormat="false" ht="16.4" hidden="false" customHeight="false" outlineLevel="0" collapsed="false">
      <c r="A219" s="3" t="n">
        <v>218</v>
      </c>
      <c r="B219" s="3" t="n">
        <v>14</v>
      </c>
      <c r="C219" s="3" t="s">
        <v>343</v>
      </c>
      <c r="D219" s="10" t="n">
        <v>28570</v>
      </c>
      <c r="E219" s="10" t="n">
        <f aca="false">ROUND(D219*INDEX(مناطق!$AF$2:$AF$23,B219),0)</f>
        <v>24895</v>
      </c>
      <c r="F219" s="11" t="n">
        <f aca="false">ROUND(100*(راهنما!$B$4*(H219-MIN($H$2:$H$350))/(MAX($H$2:$H$350)-MIN($H$2:$H$350))+راهنما!$B$5*(N219-MIN($N$2:$N$350))/(MAX($N$2:$N$350)-MIN($N$2:$N$350))+راهنما!$B$6*(J219-MIN($J$2:$J$350))/(MAX($J$2:$J$350)-MIN($J$2:$J$350))+راهنما!$B$7*(MAX($I$2:$I$350)-I219)/(MAX($I$2:$I$350)-MIN($I$2:$I$350)))/راهنما!$B$8,1)</f>
        <v>51</v>
      </c>
      <c r="G219" s="3" t="str">
        <f aca="false">IF(V219&lt;=ROUND(349*0.2,0),"بسیار بالا",IF(V219&lt;=ROUND(349*0.4,0),"بالا",IF(V219&lt;=ROUND(349*0.6,0),"متوسط",IF(V219&lt;=ROUND(349*0.8,0),"پایین","بسیار پایین"))))</f>
        <v>متوسط</v>
      </c>
      <c r="H219" s="11" t="n">
        <f aca="false">(100-I219)*(100-L219)/100</f>
        <v>69.4555</v>
      </c>
      <c r="I219" s="11" t="n">
        <v>10.38</v>
      </c>
      <c r="J219" s="11" t="n">
        <v>33.73</v>
      </c>
      <c r="K219" s="11" t="n">
        <f aca="false">J219/(1-I219/100)</f>
        <v>37.6366882392323</v>
      </c>
      <c r="L219" s="11" t="n">
        <v>22.5</v>
      </c>
      <c r="M219" s="11" t="n">
        <v>39.33</v>
      </c>
      <c r="N219" s="11" t="n">
        <v>24.37</v>
      </c>
      <c r="O219" s="11" t="n">
        <v>5.53</v>
      </c>
      <c r="P219" s="10" t="n">
        <f aca="false">ROUND(E219*J219/100,0)</f>
        <v>8397</v>
      </c>
      <c r="Q219" s="10" t="n">
        <f aca="false">ROUND(P219*I219/(100-I219),0)</f>
        <v>973</v>
      </c>
      <c r="R219" s="10" t="n">
        <f aca="false">ROUND(P219*(100-L219)/100,0)</f>
        <v>6508</v>
      </c>
      <c r="S219" s="10" t="n">
        <f aca="false">ROUND(P219*M219/100,0)</f>
        <v>3303</v>
      </c>
      <c r="T219" s="11" t="n">
        <v>69.45</v>
      </c>
      <c r="U219" s="11" t="n">
        <v>69.48</v>
      </c>
      <c r="V219" s="3" t="n">
        <f aca="false">RANK(F219,$F$2:$F$350,0)</f>
        <v>159</v>
      </c>
      <c r="W219" s="12"/>
      <c r="X219" s="10" t="n">
        <v>0</v>
      </c>
      <c r="Y219" s="3" t="s">
        <v>77</v>
      </c>
      <c r="Z219" s="13" t="s">
        <v>78</v>
      </c>
      <c r="AA219" s="13" t="s">
        <v>79</v>
      </c>
      <c r="AB219" s="11" t="n">
        <v>11.83</v>
      </c>
    </row>
    <row r="220" customFormat="false" ht="16.4" hidden="false" customHeight="false" outlineLevel="0" collapsed="false">
      <c r="A220" s="3" t="n">
        <v>219</v>
      </c>
      <c r="B220" s="3" t="n">
        <v>14</v>
      </c>
      <c r="C220" s="3" t="s">
        <v>166</v>
      </c>
      <c r="D220" s="10" t="n">
        <v>24682</v>
      </c>
      <c r="E220" s="10" t="n">
        <f aca="false">ROUND(D220*INDEX(مناطق!$AF$2:$AF$23,B220),0)</f>
        <v>21507</v>
      </c>
      <c r="F220" s="11" t="n">
        <f aca="false">ROUND(100*(راهنما!$B$4*(H220-MIN($H$2:$H$350))/(MAX($H$2:$H$350)-MIN($H$2:$H$350))+راهنما!$B$5*(N220-MIN($N$2:$N$350))/(MAX($N$2:$N$350)-MIN($N$2:$N$350))+راهنما!$B$6*(J220-MIN($J$2:$J$350))/(MAX($J$2:$J$350)-MIN($J$2:$J$350))+راهنما!$B$7*(MAX($I$2:$I$350)-I220)/(MAX($I$2:$I$350)-MIN($I$2:$I$350)))/راهنما!$B$8,1)</f>
        <v>51</v>
      </c>
      <c r="G220" s="3" t="str">
        <f aca="false">IF(V220&lt;=ROUND(349*0.2,0),"بسیار بالا",IF(V220&lt;=ROUND(349*0.4,0),"بالا",IF(V220&lt;=ROUND(349*0.6,0),"متوسط",IF(V220&lt;=ROUND(349*0.8,0),"پایین","بسیار پایین"))))</f>
        <v>متوسط</v>
      </c>
      <c r="H220" s="11" t="n">
        <f aca="false">(100-I220)*(100-L220)/100</f>
        <v>69.4555</v>
      </c>
      <c r="I220" s="11" t="n">
        <v>10.38</v>
      </c>
      <c r="J220" s="11" t="n">
        <v>33.73</v>
      </c>
      <c r="K220" s="11" t="n">
        <f aca="false">J220/(1-I220/100)</f>
        <v>37.6366882392323</v>
      </c>
      <c r="L220" s="11" t="n">
        <v>22.5</v>
      </c>
      <c r="M220" s="11" t="n">
        <v>39.33</v>
      </c>
      <c r="N220" s="11" t="n">
        <v>24.37</v>
      </c>
      <c r="O220" s="11" t="n">
        <v>5.53</v>
      </c>
      <c r="P220" s="10" t="n">
        <f aca="false">ROUND(E220*J220/100,0)</f>
        <v>7254</v>
      </c>
      <c r="Q220" s="10" t="n">
        <f aca="false">ROUND(P220*I220/(100-I220),0)</f>
        <v>840</v>
      </c>
      <c r="R220" s="10" t="n">
        <f aca="false">ROUND(P220*(100-L220)/100,0)</f>
        <v>5622</v>
      </c>
      <c r="S220" s="10" t="n">
        <f aca="false">ROUND(P220*M220/100,0)</f>
        <v>2853</v>
      </c>
      <c r="T220" s="11" t="n">
        <v>69.45</v>
      </c>
      <c r="U220" s="11" t="n">
        <v>69.48</v>
      </c>
      <c r="V220" s="3" t="n">
        <f aca="false">RANK(F220,$F$2:$F$350,0)</f>
        <v>159</v>
      </c>
      <c r="W220" s="12"/>
      <c r="X220" s="10" t="n">
        <v>0</v>
      </c>
      <c r="Y220" s="3" t="s">
        <v>77</v>
      </c>
      <c r="Z220" s="13" t="s">
        <v>78</v>
      </c>
      <c r="AA220" s="13" t="s">
        <v>79</v>
      </c>
      <c r="AB220" s="11" t="n">
        <v>11.83</v>
      </c>
    </row>
    <row r="221" customFormat="false" ht="16.4" hidden="false" customHeight="false" outlineLevel="0" collapsed="false">
      <c r="A221" s="3" t="n">
        <v>220</v>
      </c>
      <c r="B221" s="3" t="n">
        <v>14</v>
      </c>
      <c r="C221" s="3" t="s">
        <v>344</v>
      </c>
      <c r="D221" s="10" t="n">
        <v>23985</v>
      </c>
      <c r="E221" s="10" t="n">
        <f aca="false">ROUND(D221*INDEX(مناطق!$AF$2:$AF$23,B221),0)</f>
        <v>20900</v>
      </c>
      <c r="F221" s="11" t="n">
        <f aca="false">ROUND(100*(راهنما!$B$4*(H221-MIN($H$2:$H$350))/(MAX($H$2:$H$350)-MIN($H$2:$H$350))+راهنما!$B$5*(N221-MIN($N$2:$N$350))/(MAX($N$2:$N$350)-MIN($N$2:$N$350))+راهنما!$B$6*(J221-MIN($J$2:$J$350))/(MAX($J$2:$J$350)-MIN($J$2:$J$350))+راهنما!$B$7*(MAX($I$2:$I$350)-I221)/(MAX($I$2:$I$350)-MIN($I$2:$I$350)))/راهنما!$B$8,1)</f>
        <v>51</v>
      </c>
      <c r="G221" s="3" t="str">
        <f aca="false">IF(V221&lt;=ROUND(349*0.2,0),"بسیار بالا",IF(V221&lt;=ROUND(349*0.4,0),"بالا",IF(V221&lt;=ROUND(349*0.6,0),"متوسط",IF(V221&lt;=ROUND(349*0.8,0),"پایین","بسیار پایین"))))</f>
        <v>متوسط</v>
      </c>
      <c r="H221" s="11" t="n">
        <f aca="false">(100-I221)*(100-L221)/100</f>
        <v>69.4555</v>
      </c>
      <c r="I221" s="11" t="n">
        <v>10.38</v>
      </c>
      <c r="J221" s="11" t="n">
        <v>33.73</v>
      </c>
      <c r="K221" s="11" t="n">
        <f aca="false">J221/(1-I221/100)</f>
        <v>37.6366882392323</v>
      </c>
      <c r="L221" s="11" t="n">
        <v>22.5</v>
      </c>
      <c r="M221" s="11" t="n">
        <v>39.33</v>
      </c>
      <c r="N221" s="11" t="n">
        <v>24.37</v>
      </c>
      <c r="O221" s="11" t="n">
        <v>5.53</v>
      </c>
      <c r="P221" s="10" t="n">
        <f aca="false">ROUND(E221*J221/100,0)</f>
        <v>7050</v>
      </c>
      <c r="Q221" s="10" t="n">
        <f aca="false">ROUND(P221*I221/(100-I221),0)</f>
        <v>817</v>
      </c>
      <c r="R221" s="10" t="n">
        <f aca="false">ROUND(P221*(100-L221)/100,0)</f>
        <v>5464</v>
      </c>
      <c r="S221" s="10" t="n">
        <f aca="false">ROUND(P221*M221/100,0)</f>
        <v>2773</v>
      </c>
      <c r="T221" s="11" t="n">
        <v>69.45</v>
      </c>
      <c r="U221" s="11" t="n">
        <v>69.48</v>
      </c>
      <c r="V221" s="3" t="n">
        <f aca="false">RANK(F221,$F$2:$F$350,0)</f>
        <v>159</v>
      </c>
      <c r="W221" s="12"/>
      <c r="X221" s="10" t="n">
        <v>0</v>
      </c>
      <c r="Y221" s="3" t="s">
        <v>77</v>
      </c>
      <c r="Z221" s="13" t="s">
        <v>78</v>
      </c>
      <c r="AA221" s="13" t="s">
        <v>79</v>
      </c>
      <c r="AB221" s="11" t="n">
        <v>11.83</v>
      </c>
    </row>
    <row r="222" customFormat="false" ht="16.4" hidden="false" customHeight="false" outlineLevel="0" collapsed="false">
      <c r="A222" s="3" t="n">
        <v>221</v>
      </c>
      <c r="B222" s="3" t="n">
        <v>14</v>
      </c>
      <c r="C222" s="3" t="s">
        <v>345</v>
      </c>
      <c r="D222" s="10" t="n">
        <v>22237</v>
      </c>
      <c r="E222" s="10" t="n">
        <f aca="false">ROUND(D222*INDEX(مناطق!$AF$2:$AF$23,B222),0)</f>
        <v>19377</v>
      </c>
      <c r="F222" s="11" t="n">
        <f aca="false">ROUND(100*(راهنما!$B$4*(H222-MIN($H$2:$H$350))/(MAX($H$2:$H$350)-MIN($H$2:$H$350))+راهنما!$B$5*(N222-MIN($N$2:$N$350))/(MAX($N$2:$N$350)-MIN($N$2:$N$350))+راهنما!$B$6*(J222-MIN($J$2:$J$350))/(MAX($J$2:$J$350)-MIN($J$2:$J$350))+راهنما!$B$7*(MAX($I$2:$I$350)-I222)/(MAX($I$2:$I$350)-MIN($I$2:$I$350)))/راهنما!$B$8,1)</f>
        <v>51</v>
      </c>
      <c r="G222" s="3" t="str">
        <f aca="false">IF(V222&lt;=ROUND(349*0.2,0),"بسیار بالا",IF(V222&lt;=ROUND(349*0.4,0),"بالا",IF(V222&lt;=ROUND(349*0.6,0),"متوسط",IF(V222&lt;=ROUND(349*0.8,0),"پایین","بسیار پایین"))))</f>
        <v>متوسط</v>
      </c>
      <c r="H222" s="11" t="n">
        <f aca="false">(100-I222)*(100-L222)/100</f>
        <v>69.4555</v>
      </c>
      <c r="I222" s="11" t="n">
        <v>10.38</v>
      </c>
      <c r="J222" s="11" t="n">
        <v>33.73</v>
      </c>
      <c r="K222" s="11" t="n">
        <f aca="false">J222/(1-I222/100)</f>
        <v>37.6366882392323</v>
      </c>
      <c r="L222" s="11" t="n">
        <v>22.5</v>
      </c>
      <c r="M222" s="11" t="n">
        <v>39.33</v>
      </c>
      <c r="N222" s="11" t="n">
        <v>24.37</v>
      </c>
      <c r="O222" s="11" t="n">
        <v>5.53</v>
      </c>
      <c r="P222" s="10" t="n">
        <f aca="false">ROUND(E222*J222/100,0)</f>
        <v>6536</v>
      </c>
      <c r="Q222" s="10" t="n">
        <f aca="false">ROUND(P222*I222/(100-I222),0)</f>
        <v>757</v>
      </c>
      <c r="R222" s="10" t="n">
        <f aca="false">ROUND(P222*(100-L222)/100,0)</f>
        <v>5065</v>
      </c>
      <c r="S222" s="10" t="n">
        <f aca="false">ROUND(P222*M222/100,0)</f>
        <v>2571</v>
      </c>
      <c r="T222" s="11" t="n">
        <v>69.45</v>
      </c>
      <c r="U222" s="11" t="n">
        <v>69.48</v>
      </c>
      <c r="V222" s="3" t="n">
        <f aca="false">RANK(F222,$F$2:$F$350,0)</f>
        <v>159</v>
      </c>
      <c r="W222" s="12"/>
      <c r="X222" s="10" t="n">
        <v>0</v>
      </c>
      <c r="Y222" s="3" t="s">
        <v>77</v>
      </c>
      <c r="Z222" s="13" t="s">
        <v>78</v>
      </c>
      <c r="AA222" s="13" t="s">
        <v>79</v>
      </c>
      <c r="AB222" s="11" t="n">
        <v>11.83</v>
      </c>
    </row>
    <row r="223" customFormat="false" ht="16.4" hidden="false" customHeight="false" outlineLevel="0" collapsed="false">
      <c r="A223" s="3" t="n">
        <v>222</v>
      </c>
      <c r="B223" s="3" t="n">
        <v>14</v>
      </c>
      <c r="C223" s="3" t="s">
        <v>346</v>
      </c>
      <c r="D223" s="10" t="n">
        <v>22166</v>
      </c>
      <c r="E223" s="10" t="n">
        <f aca="false">ROUND(D223*INDEX(مناطق!$AF$2:$AF$23,B223),0)</f>
        <v>19315</v>
      </c>
      <c r="F223" s="11" t="n">
        <f aca="false">ROUND(100*(راهنما!$B$4*(H223-MIN($H$2:$H$350))/(MAX($H$2:$H$350)-MIN($H$2:$H$350))+راهنما!$B$5*(N223-MIN($N$2:$N$350))/(MAX($N$2:$N$350)-MIN($N$2:$N$350))+راهنما!$B$6*(J223-MIN($J$2:$J$350))/(MAX($J$2:$J$350)-MIN($J$2:$J$350))+راهنما!$B$7*(MAX($I$2:$I$350)-I223)/(MAX($I$2:$I$350)-MIN($I$2:$I$350)))/راهنما!$B$8,1)</f>
        <v>51</v>
      </c>
      <c r="G223" s="3" t="str">
        <f aca="false">IF(V223&lt;=ROUND(349*0.2,0),"بسیار بالا",IF(V223&lt;=ROUND(349*0.4,0),"بالا",IF(V223&lt;=ROUND(349*0.6,0),"متوسط",IF(V223&lt;=ROUND(349*0.8,0),"پایین","بسیار پایین"))))</f>
        <v>متوسط</v>
      </c>
      <c r="H223" s="11" t="n">
        <f aca="false">(100-I223)*(100-L223)/100</f>
        <v>69.4555</v>
      </c>
      <c r="I223" s="11" t="n">
        <v>10.38</v>
      </c>
      <c r="J223" s="11" t="n">
        <v>33.73</v>
      </c>
      <c r="K223" s="11" t="n">
        <f aca="false">J223/(1-I223/100)</f>
        <v>37.6366882392323</v>
      </c>
      <c r="L223" s="11" t="n">
        <v>22.5</v>
      </c>
      <c r="M223" s="11" t="n">
        <v>39.33</v>
      </c>
      <c r="N223" s="11" t="n">
        <v>24.37</v>
      </c>
      <c r="O223" s="11" t="n">
        <v>5.53</v>
      </c>
      <c r="P223" s="10" t="n">
        <f aca="false">ROUND(E223*J223/100,0)</f>
        <v>6515</v>
      </c>
      <c r="Q223" s="10" t="n">
        <f aca="false">ROUND(P223*I223/(100-I223),0)</f>
        <v>755</v>
      </c>
      <c r="R223" s="10" t="n">
        <f aca="false">ROUND(P223*(100-L223)/100,0)</f>
        <v>5049</v>
      </c>
      <c r="S223" s="10" t="n">
        <f aca="false">ROUND(P223*M223/100,0)</f>
        <v>2562</v>
      </c>
      <c r="T223" s="11" t="n">
        <v>69.45</v>
      </c>
      <c r="U223" s="11" t="n">
        <v>69.48</v>
      </c>
      <c r="V223" s="3" t="n">
        <f aca="false">RANK(F223,$F$2:$F$350,0)</f>
        <v>159</v>
      </c>
      <c r="W223" s="12"/>
      <c r="X223" s="10" t="n">
        <v>0</v>
      </c>
      <c r="Y223" s="3" t="s">
        <v>77</v>
      </c>
      <c r="Z223" s="13" t="s">
        <v>78</v>
      </c>
      <c r="AA223" s="13" t="s">
        <v>79</v>
      </c>
      <c r="AB223" s="11" t="n">
        <v>11.83</v>
      </c>
    </row>
    <row r="224" customFormat="false" ht="16.4" hidden="false" customHeight="false" outlineLevel="0" collapsed="false">
      <c r="A224" s="3" t="n">
        <v>223</v>
      </c>
      <c r="B224" s="3" t="n">
        <v>14</v>
      </c>
      <c r="C224" s="3" t="s">
        <v>347</v>
      </c>
      <c r="D224" s="10" t="n">
        <v>21690</v>
      </c>
      <c r="E224" s="10" t="n">
        <f aca="false">ROUND(D224*INDEX(مناطق!$AF$2:$AF$23,B224),0)</f>
        <v>18900</v>
      </c>
      <c r="F224" s="11" t="n">
        <f aca="false">ROUND(100*(راهنما!$B$4*(H224-MIN($H$2:$H$350))/(MAX($H$2:$H$350)-MIN($H$2:$H$350))+راهنما!$B$5*(N224-MIN($N$2:$N$350))/(MAX($N$2:$N$350)-MIN($N$2:$N$350))+راهنما!$B$6*(J224-MIN($J$2:$J$350))/(MAX($J$2:$J$350)-MIN($J$2:$J$350))+راهنما!$B$7*(MAX($I$2:$I$350)-I224)/(MAX($I$2:$I$350)-MIN($I$2:$I$350)))/راهنما!$B$8,1)</f>
        <v>51</v>
      </c>
      <c r="G224" s="3" t="str">
        <f aca="false">IF(V224&lt;=ROUND(349*0.2,0),"بسیار بالا",IF(V224&lt;=ROUND(349*0.4,0),"بالا",IF(V224&lt;=ROUND(349*0.6,0),"متوسط",IF(V224&lt;=ROUND(349*0.8,0),"پایین","بسیار پایین"))))</f>
        <v>متوسط</v>
      </c>
      <c r="H224" s="11" t="n">
        <f aca="false">(100-I224)*(100-L224)/100</f>
        <v>69.4555</v>
      </c>
      <c r="I224" s="11" t="n">
        <v>10.38</v>
      </c>
      <c r="J224" s="11" t="n">
        <v>33.73</v>
      </c>
      <c r="K224" s="11" t="n">
        <f aca="false">J224/(1-I224/100)</f>
        <v>37.6366882392323</v>
      </c>
      <c r="L224" s="11" t="n">
        <v>22.5</v>
      </c>
      <c r="M224" s="11" t="n">
        <v>39.33</v>
      </c>
      <c r="N224" s="11" t="n">
        <v>24.37</v>
      </c>
      <c r="O224" s="11" t="n">
        <v>5.53</v>
      </c>
      <c r="P224" s="10" t="n">
        <f aca="false">ROUND(E224*J224/100,0)</f>
        <v>6375</v>
      </c>
      <c r="Q224" s="10" t="n">
        <f aca="false">ROUND(P224*I224/(100-I224),0)</f>
        <v>738</v>
      </c>
      <c r="R224" s="10" t="n">
        <f aca="false">ROUND(P224*(100-L224)/100,0)</f>
        <v>4941</v>
      </c>
      <c r="S224" s="10" t="n">
        <f aca="false">ROUND(P224*M224/100,0)</f>
        <v>2507</v>
      </c>
      <c r="T224" s="11" t="n">
        <v>69.45</v>
      </c>
      <c r="U224" s="11" t="n">
        <v>69.48</v>
      </c>
      <c r="V224" s="3" t="n">
        <f aca="false">RANK(F224,$F$2:$F$350,0)</f>
        <v>159</v>
      </c>
      <c r="W224" s="12"/>
      <c r="X224" s="10" t="n">
        <v>0</v>
      </c>
      <c r="Y224" s="3" t="s">
        <v>77</v>
      </c>
      <c r="Z224" s="13" t="s">
        <v>78</v>
      </c>
      <c r="AA224" s="13" t="s">
        <v>79</v>
      </c>
      <c r="AB224" s="11" t="n">
        <v>11.83</v>
      </c>
    </row>
    <row r="225" customFormat="false" ht="16.4" hidden="false" customHeight="false" outlineLevel="0" collapsed="false">
      <c r="A225" s="3" t="n">
        <v>224</v>
      </c>
      <c r="B225" s="3" t="n">
        <v>14</v>
      </c>
      <c r="C225" s="3" t="s">
        <v>348</v>
      </c>
      <c r="D225" s="10" t="n">
        <v>18322</v>
      </c>
      <c r="E225" s="10" t="n">
        <f aca="false">ROUND(D225*INDEX(مناطق!$AF$2:$AF$23,B225),0)</f>
        <v>15965</v>
      </c>
      <c r="F225" s="11" t="n">
        <f aca="false">ROUND(100*(راهنما!$B$4*(H225-MIN($H$2:$H$350))/(MAX($H$2:$H$350)-MIN($H$2:$H$350))+راهنما!$B$5*(N225-MIN($N$2:$N$350))/(MAX($N$2:$N$350)-MIN($N$2:$N$350))+راهنما!$B$6*(J225-MIN($J$2:$J$350))/(MAX($J$2:$J$350)-MIN($J$2:$J$350))+راهنما!$B$7*(MAX($I$2:$I$350)-I225)/(MAX($I$2:$I$350)-MIN($I$2:$I$350)))/راهنما!$B$8,1)</f>
        <v>51</v>
      </c>
      <c r="G225" s="3" t="str">
        <f aca="false">IF(V225&lt;=ROUND(349*0.2,0),"بسیار بالا",IF(V225&lt;=ROUND(349*0.4,0),"بالا",IF(V225&lt;=ROUND(349*0.6,0),"متوسط",IF(V225&lt;=ROUND(349*0.8,0),"پایین","بسیار پایین"))))</f>
        <v>متوسط</v>
      </c>
      <c r="H225" s="11" t="n">
        <f aca="false">(100-I225)*(100-L225)/100</f>
        <v>69.4555</v>
      </c>
      <c r="I225" s="11" t="n">
        <v>10.38</v>
      </c>
      <c r="J225" s="11" t="n">
        <v>33.73</v>
      </c>
      <c r="K225" s="11" t="n">
        <f aca="false">J225/(1-I225/100)</f>
        <v>37.6366882392323</v>
      </c>
      <c r="L225" s="11" t="n">
        <v>22.5</v>
      </c>
      <c r="M225" s="11" t="n">
        <v>39.33</v>
      </c>
      <c r="N225" s="11" t="n">
        <v>24.37</v>
      </c>
      <c r="O225" s="11" t="n">
        <v>5.53</v>
      </c>
      <c r="P225" s="10" t="n">
        <f aca="false">ROUND(E225*J225/100,0)</f>
        <v>5385</v>
      </c>
      <c r="Q225" s="10" t="n">
        <f aca="false">ROUND(P225*I225/(100-I225),0)</f>
        <v>624</v>
      </c>
      <c r="R225" s="10" t="n">
        <f aca="false">ROUND(P225*(100-L225)/100,0)</f>
        <v>4173</v>
      </c>
      <c r="S225" s="10" t="n">
        <f aca="false">ROUND(P225*M225/100,0)</f>
        <v>2118</v>
      </c>
      <c r="T225" s="11" t="n">
        <v>69.45</v>
      </c>
      <c r="U225" s="11" t="n">
        <v>69.48</v>
      </c>
      <c r="V225" s="3" t="n">
        <f aca="false">RANK(F225,$F$2:$F$350,0)</f>
        <v>159</v>
      </c>
      <c r="W225" s="12"/>
      <c r="X225" s="10" t="n">
        <v>0</v>
      </c>
      <c r="Y225" s="3" t="s">
        <v>77</v>
      </c>
      <c r="Z225" s="13" t="s">
        <v>78</v>
      </c>
      <c r="AA225" s="13" t="s">
        <v>79</v>
      </c>
      <c r="AB225" s="11" t="n">
        <v>11.83</v>
      </c>
    </row>
    <row r="226" customFormat="false" ht="16.4" hidden="false" customHeight="false" outlineLevel="0" collapsed="false">
      <c r="A226" s="3" t="n">
        <v>225</v>
      </c>
      <c r="B226" s="3" t="n">
        <v>14</v>
      </c>
      <c r="C226" s="3" t="s">
        <v>237</v>
      </c>
      <c r="D226" s="10" t="n">
        <v>18256</v>
      </c>
      <c r="E226" s="10" t="n">
        <f aca="false">ROUND(D226*INDEX(مناطق!$AF$2:$AF$23,B226),0)</f>
        <v>15908</v>
      </c>
      <c r="F226" s="11" t="n">
        <f aca="false">ROUND(100*(راهنما!$B$4*(H226-MIN($H$2:$H$350))/(MAX($H$2:$H$350)-MIN($H$2:$H$350))+راهنما!$B$5*(N226-MIN($N$2:$N$350))/(MAX($N$2:$N$350)-MIN($N$2:$N$350))+راهنما!$B$6*(J226-MIN($J$2:$J$350))/(MAX($J$2:$J$350)-MIN($J$2:$J$350))+راهنما!$B$7*(MAX($I$2:$I$350)-I226)/(MAX($I$2:$I$350)-MIN($I$2:$I$350)))/راهنما!$B$8,1)</f>
        <v>51</v>
      </c>
      <c r="G226" s="3" t="str">
        <f aca="false">IF(V226&lt;=ROUND(349*0.2,0),"بسیار بالا",IF(V226&lt;=ROUND(349*0.4,0),"بالا",IF(V226&lt;=ROUND(349*0.6,0),"متوسط",IF(V226&lt;=ROUND(349*0.8,0),"پایین","بسیار پایین"))))</f>
        <v>متوسط</v>
      </c>
      <c r="H226" s="11" t="n">
        <f aca="false">(100-I226)*(100-L226)/100</f>
        <v>69.4555</v>
      </c>
      <c r="I226" s="11" t="n">
        <v>10.38</v>
      </c>
      <c r="J226" s="11" t="n">
        <v>33.73</v>
      </c>
      <c r="K226" s="11" t="n">
        <f aca="false">J226/(1-I226/100)</f>
        <v>37.6366882392323</v>
      </c>
      <c r="L226" s="11" t="n">
        <v>22.5</v>
      </c>
      <c r="M226" s="11" t="n">
        <v>39.33</v>
      </c>
      <c r="N226" s="11" t="n">
        <v>24.37</v>
      </c>
      <c r="O226" s="11" t="n">
        <v>5.53</v>
      </c>
      <c r="P226" s="10" t="n">
        <f aca="false">ROUND(E226*J226/100,0)</f>
        <v>5366</v>
      </c>
      <c r="Q226" s="10" t="n">
        <f aca="false">ROUND(P226*I226/(100-I226),0)</f>
        <v>622</v>
      </c>
      <c r="R226" s="10" t="n">
        <f aca="false">ROUND(P226*(100-L226)/100,0)</f>
        <v>4159</v>
      </c>
      <c r="S226" s="10" t="n">
        <f aca="false">ROUND(P226*M226/100,0)</f>
        <v>2110</v>
      </c>
      <c r="T226" s="11" t="n">
        <v>69.45</v>
      </c>
      <c r="U226" s="11" t="n">
        <v>69.48</v>
      </c>
      <c r="V226" s="3" t="n">
        <f aca="false">RANK(F226,$F$2:$F$350,0)</f>
        <v>159</v>
      </c>
      <c r="W226" s="12"/>
      <c r="X226" s="10" t="n">
        <v>0</v>
      </c>
      <c r="Y226" s="3" t="s">
        <v>77</v>
      </c>
      <c r="Z226" s="13" t="s">
        <v>78</v>
      </c>
      <c r="AA226" s="13" t="s">
        <v>79</v>
      </c>
      <c r="AB226" s="11" t="n">
        <v>11.83</v>
      </c>
    </row>
    <row r="227" customFormat="false" ht="16.4" hidden="false" customHeight="false" outlineLevel="0" collapsed="false">
      <c r="A227" s="3" t="n">
        <v>226</v>
      </c>
      <c r="B227" s="3" t="n">
        <v>14</v>
      </c>
      <c r="C227" s="3" t="s">
        <v>181</v>
      </c>
      <c r="D227" s="10" t="n">
        <v>15985</v>
      </c>
      <c r="E227" s="10" t="n">
        <f aca="false">ROUND(D227*INDEX(مناطق!$AF$2:$AF$23,B227),0)</f>
        <v>13929</v>
      </c>
      <c r="F227" s="11" t="n">
        <f aca="false">ROUND(100*(راهنما!$B$4*(H227-MIN($H$2:$H$350))/(MAX($H$2:$H$350)-MIN($H$2:$H$350))+راهنما!$B$5*(N227-MIN($N$2:$N$350))/(MAX($N$2:$N$350)-MIN($N$2:$N$350))+راهنما!$B$6*(J227-MIN($J$2:$J$350))/(MAX($J$2:$J$350)-MIN($J$2:$J$350))+راهنما!$B$7*(MAX($I$2:$I$350)-I227)/(MAX($I$2:$I$350)-MIN($I$2:$I$350)))/راهنما!$B$8,1)</f>
        <v>51</v>
      </c>
      <c r="G227" s="3" t="str">
        <f aca="false">IF(V227&lt;=ROUND(349*0.2,0),"بسیار بالا",IF(V227&lt;=ROUND(349*0.4,0),"بالا",IF(V227&lt;=ROUND(349*0.6,0),"متوسط",IF(V227&lt;=ROUND(349*0.8,0),"پایین","بسیار پایین"))))</f>
        <v>متوسط</v>
      </c>
      <c r="H227" s="11" t="n">
        <f aca="false">(100-I227)*(100-L227)/100</f>
        <v>69.4555</v>
      </c>
      <c r="I227" s="11" t="n">
        <v>10.38</v>
      </c>
      <c r="J227" s="11" t="n">
        <v>33.73</v>
      </c>
      <c r="K227" s="11" t="n">
        <f aca="false">J227/(1-I227/100)</f>
        <v>37.6366882392323</v>
      </c>
      <c r="L227" s="11" t="n">
        <v>22.5</v>
      </c>
      <c r="M227" s="11" t="n">
        <v>39.33</v>
      </c>
      <c r="N227" s="11" t="n">
        <v>24.37</v>
      </c>
      <c r="O227" s="11" t="n">
        <v>5.53</v>
      </c>
      <c r="P227" s="10" t="n">
        <f aca="false">ROUND(E227*J227/100,0)</f>
        <v>4698</v>
      </c>
      <c r="Q227" s="10" t="n">
        <f aca="false">ROUND(P227*I227/(100-I227),0)</f>
        <v>544</v>
      </c>
      <c r="R227" s="10" t="n">
        <f aca="false">ROUND(P227*(100-L227)/100,0)</f>
        <v>3641</v>
      </c>
      <c r="S227" s="10" t="n">
        <f aca="false">ROUND(P227*M227/100,0)</f>
        <v>1848</v>
      </c>
      <c r="T227" s="11" t="n">
        <v>69.45</v>
      </c>
      <c r="U227" s="11" t="n">
        <v>69.48</v>
      </c>
      <c r="V227" s="3" t="n">
        <f aca="false">RANK(F227,$F$2:$F$350,0)</f>
        <v>159</v>
      </c>
      <c r="W227" s="12"/>
      <c r="X227" s="10" t="n">
        <v>0</v>
      </c>
      <c r="Y227" s="3" t="s">
        <v>77</v>
      </c>
      <c r="Z227" s="13" t="s">
        <v>78</v>
      </c>
      <c r="AA227" s="13" t="s">
        <v>79</v>
      </c>
      <c r="AB227" s="11" t="n">
        <v>11.83</v>
      </c>
    </row>
    <row r="228" customFormat="false" ht="16.4" hidden="false" customHeight="false" outlineLevel="0" collapsed="false">
      <c r="A228" s="3" t="n">
        <v>227</v>
      </c>
      <c r="B228" s="3" t="n">
        <v>14</v>
      </c>
      <c r="C228" s="3" t="s">
        <v>349</v>
      </c>
      <c r="D228" s="10" t="n">
        <v>11350</v>
      </c>
      <c r="E228" s="10" t="n">
        <f aca="false">ROUND(D228*INDEX(مناطق!$AF$2:$AF$23,B228),0)</f>
        <v>9890</v>
      </c>
      <c r="F228" s="11" t="n">
        <f aca="false">ROUND(100*(راهنما!$B$4*(H228-MIN($H$2:$H$350))/(MAX($H$2:$H$350)-MIN($H$2:$H$350))+راهنما!$B$5*(N228-MIN($N$2:$N$350))/(MAX($N$2:$N$350)-MIN($N$2:$N$350))+راهنما!$B$6*(J228-MIN($J$2:$J$350))/(MAX($J$2:$J$350)-MIN($J$2:$J$350))+راهنما!$B$7*(MAX($I$2:$I$350)-I228)/(MAX($I$2:$I$350)-MIN($I$2:$I$350)))/راهنما!$B$8,1)</f>
        <v>51</v>
      </c>
      <c r="G228" s="3" t="str">
        <f aca="false">IF(V228&lt;=ROUND(349*0.2,0),"بسیار بالا",IF(V228&lt;=ROUND(349*0.4,0),"بالا",IF(V228&lt;=ROUND(349*0.6,0),"متوسط",IF(V228&lt;=ROUND(349*0.8,0),"پایین","بسیار پایین"))))</f>
        <v>متوسط</v>
      </c>
      <c r="H228" s="11" t="n">
        <f aca="false">(100-I228)*(100-L228)/100</f>
        <v>69.4555</v>
      </c>
      <c r="I228" s="11" t="n">
        <v>10.38</v>
      </c>
      <c r="J228" s="11" t="n">
        <v>33.73</v>
      </c>
      <c r="K228" s="11" t="n">
        <f aca="false">J228/(1-I228/100)</f>
        <v>37.6366882392323</v>
      </c>
      <c r="L228" s="11" t="n">
        <v>22.5</v>
      </c>
      <c r="M228" s="11" t="n">
        <v>39.33</v>
      </c>
      <c r="N228" s="11" t="n">
        <v>24.37</v>
      </c>
      <c r="O228" s="11" t="n">
        <v>5.53</v>
      </c>
      <c r="P228" s="10" t="n">
        <f aca="false">ROUND(E228*J228/100,0)</f>
        <v>3336</v>
      </c>
      <c r="Q228" s="10" t="n">
        <f aca="false">ROUND(P228*I228/(100-I228),0)</f>
        <v>386</v>
      </c>
      <c r="R228" s="10" t="n">
        <f aca="false">ROUND(P228*(100-L228)/100,0)</f>
        <v>2585</v>
      </c>
      <c r="S228" s="10" t="n">
        <f aca="false">ROUND(P228*M228/100,0)</f>
        <v>1312</v>
      </c>
      <c r="T228" s="11" t="n">
        <v>69.45</v>
      </c>
      <c r="U228" s="11" t="n">
        <v>69.48</v>
      </c>
      <c r="V228" s="3" t="n">
        <f aca="false">RANK(F228,$F$2:$F$350,0)</f>
        <v>159</v>
      </c>
      <c r="W228" s="12"/>
      <c r="X228" s="10" t="n">
        <v>0</v>
      </c>
      <c r="Y228" s="3" t="s">
        <v>67</v>
      </c>
      <c r="Z228" s="13" t="s">
        <v>78</v>
      </c>
      <c r="AA228" s="13" t="s">
        <v>79</v>
      </c>
      <c r="AB228" s="11" t="n">
        <v>11.83</v>
      </c>
    </row>
    <row r="229" customFormat="false" ht="16.4" hidden="false" customHeight="false" outlineLevel="0" collapsed="false">
      <c r="A229" s="3" t="n">
        <v>228</v>
      </c>
      <c r="B229" s="3" t="n">
        <v>14</v>
      </c>
      <c r="C229" s="3" t="s">
        <v>350</v>
      </c>
      <c r="D229" s="10" t="n">
        <v>20459</v>
      </c>
      <c r="E229" s="10" t="n">
        <f aca="false">ROUND(D229*INDEX(مناطق!$AF$2:$AF$23,B229),0)</f>
        <v>17827</v>
      </c>
      <c r="F229" s="11" t="n">
        <f aca="false">ROUND(100*(راهنما!$B$4*(H229-MIN($H$2:$H$350))/(MAX($H$2:$H$350)-MIN($H$2:$H$350))+راهنما!$B$5*(N229-MIN($N$2:$N$350))/(MAX($N$2:$N$350)-MIN($N$2:$N$350))+راهنما!$B$6*(J229-MIN($J$2:$J$350))/(MAX($J$2:$J$350)-MIN($J$2:$J$350))+راهنما!$B$7*(MAX($I$2:$I$350)-I229)/(MAX($I$2:$I$350)-MIN($I$2:$I$350)))/راهنما!$B$8,1)</f>
        <v>50.2</v>
      </c>
      <c r="G229" s="3" t="str">
        <f aca="false">IF(V229&lt;=ROUND(349*0.2,0),"بسیار بالا",IF(V229&lt;=ROUND(349*0.4,0),"بالا",IF(V229&lt;=ROUND(349*0.6,0),"متوسط",IF(V229&lt;=ROUND(349*0.8,0),"پایین","بسیار پایین"))))</f>
        <v>متوسط</v>
      </c>
      <c r="H229" s="11" t="n">
        <f aca="false">(100-I229)*(100-L229)/100</f>
        <v>69.213526</v>
      </c>
      <c r="I229" s="11" t="n">
        <v>10.38</v>
      </c>
      <c r="J229" s="11" t="n">
        <v>33.78</v>
      </c>
      <c r="K229" s="11" t="n">
        <f aca="false">J229/(1-I229/100)</f>
        <v>37.6924793572863</v>
      </c>
      <c r="L229" s="11" t="n">
        <v>22.77</v>
      </c>
      <c r="M229" s="11" t="n">
        <v>39.33</v>
      </c>
      <c r="N229" s="11" t="n">
        <v>23.37</v>
      </c>
      <c r="O229" s="11" t="n">
        <v>5.64</v>
      </c>
      <c r="P229" s="10" t="n">
        <f aca="false">ROUND(E229*J229/100,0)</f>
        <v>6022</v>
      </c>
      <c r="Q229" s="10" t="n">
        <f aca="false">ROUND(P229*I229/(100-I229),0)</f>
        <v>697</v>
      </c>
      <c r="R229" s="10" t="n">
        <f aca="false">ROUND(P229*(100-L229)/100,0)</f>
        <v>4651</v>
      </c>
      <c r="S229" s="10" t="n">
        <f aca="false">ROUND(P229*M229/100,0)</f>
        <v>2368</v>
      </c>
      <c r="T229" s="11" t="n">
        <v>69.13</v>
      </c>
      <c r="U229" s="11" t="n">
        <v>69.31</v>
      </c>
      <c r="V229" s="3" t="n">
        <f aca="false">RANK(F229,$F$2:$F$350,0)</f>
        <v>175</v>
      </c>
      <c r="W229" s="12" t="n">
        <v>174.6</v>
      </c>
      <c r="X229" s="10" t="n">
        <v>88</v>
      </c>
      <c r="Y229" s="3" t="s">
        <v>58</v>
      </c>
      <c r="Z229" s="3" t="s">
        <v>351</v>
      </c>
      <c r="AA229" s="13" t="s">
        <v>59</v>
      </c>
      <c r="AB229" s="11" t="n">
        <v>11.29</v>
      </c>
    </row>
    <row r="230" customFormat="false" ht="16.4" hidden="false" customHeight="false" outlineLevel="0" collapsed="false">
      <c r="A230" s="3" t="n">
        <v>229</v>
      </c>
      <c r="B230" s="3" t="n">
        <v>14</v>
      </c>
      <c r="C230" s="3" t="s">
        <v>352</v>
      </c>
      <c r="D230" s="10" t="n">
        <v>22317</v>
      </c>
      <c r="E230" s="10" t="n">
        <f aca="false">ROUND(D230*INDEX(مناطق!$AF$2:$AF$23,B230),0)</f>
        <v>19446</v>
      </c>
      <c r="F230" s="11" t="n">
        <f aca="false">ROUND(100*(راهنما!$B$4*(H230-MIN($H$2:$H$350))/(MAX($H$2:$H$350)-MIN($H$2:$H$350))+راهنما!$B$5*(N230-MIN($N$2:$N$350))/(MAX($N$2:$N$350)-MIN($N$2:$N$350))+راهنما!$B$6*(J230-MIN($J$2:$J$350))/(MAX($J$2:$J$350)-MIN($J$2:$J$350))+راهنما!$B$7*(MAX($I$2:$I$350)-I230)/(MAX($I$2:$I$350)-MIN($I$2:$I$350)))/راهنما!$B$8,1)</f>
        <v>48.9</v>
      </c>
      <c r="G230" s="3" t="str">
        <f aca="false">IF(V230&lt;=ROUND(349*0.2,0),"بسیار بالا",IF(V230&lt;=ROUND(349*0.4,0),"بالا",IF(V230&lt;=ROUND(349*0.6,0),"متوسط",IF(V230&lt;=ROUND(349*0.8,0),"پایین","بسیار پایین"))))</f>
        <v>متوسط</v>
      </c>
      <c r="H230" s="11" t="n">
        <f aca="false">(100-I230)*(100-L230)/100</f>
        <v>68.82816</v>
      </c>
      <c r="I230" s="11" t="n">
        <v>10.38</v>
      </c>
      <c r="J230" s="11" t="n">
        <v>33.85</v>
      </c>
      <c r="K230" s="11" t="n">
        <f aca="false">J230/(1-I230/100)</f>
        <v>37.7705869225619</v>
      </c>
      <c r="L230" s="11" t="n">
        <v>23.2</v>
      </c>
      <c r="M230" s="11" t="n">
        <v>39.33</v>
      </c>
      <c r="N230" s="11" t="n">
        <v>21.87</v>
      </c>
      <c r="O230" s="11" t="n">
        <v>5.8</v>
      </c>
      <c r="P230" s="10" t="n">
        <f aca="false">ROUND(E230*J230/100,0)</f>
        <v>6582</v>
      </c>
      <c r="Q230" s="10" t="n">
        <f aca="false">ROUND(P230*I230/(100-I230),0)</f>
        <v>762</v>
      </c>
      <c r="R230" s="10" t="n">
        <f aca="false">ROUND(P230*(100-L230)/100,0)</f>
        <v>5055</v>
      </c>
      <c r="S230" s="10" t="n">
        <f aca="false">ROUND(P230*M230/100,0)</f>
        <v>2589</v>
      </c>
      <c r="T230" s="11" t="n">
        <v>68.58</v>
      </c>
      <c r="U230" s="11" t="n">
        <v>69.09</v>
      </c>
      <c r="V230" s="3" t="n">
        <f aca="false">RANK(F230,$F$2:$F$350,0)</f>
        <v>182</v>
      </c>
      <c r="W230" s="12" t="n">
        <v>169.7</v>
      </c>
      <c r="X230" s="10" t="n">
        <v>86</v>
      </c>
      <c r="Y230" s="3" t="s">
        <v>58</v>
      </c>
      <c r="Z230" s="3" t="s">
        <v>352</v>
      </c>
      <c r="AA230" s="13" t="s">
        <v>59</v>
      </c>
      <c r="AB230" s="11" t="n">
        <v>10.51</v>
      </c>
    </row>
    <row r="231" customFormat="false" ht="16.4" hidden="false" customHeight="false" outlineLevel="0" collapsed="false">
      <c r="A231" s="3" t="n">
        <v>230</v>
      </c>
      <c r="B231" s="3" t="n">
        <v>14</v>
      </c>
      <c r="C231" s="3" t="s">
        <v>353</v>
      </c>
      <c r="D231" s="10" t="n">
        <v>11911</v>
      </c>
      <c r="E231" s="10" t="n">
        <f aca="false">ROUND(D231*INDEX(مناطق!$AF$2:$AF$23,B231),0)</f>
        <v>10379</v>
      </c>
      <c r="F231" s="11" t="n">
        <f aca="false">ROUND(100*(راهنما!$B$4*(H231-MIN($H$2:$H$350))/(MAX($H$2:$H$350)-MIN($H$2:$H$350))+راهنما!$B$5*(N231-MIN($N$2:$N$350))/(MAX($N$2:$N$350)-MIN($N$2:$N$350))+راهنما!$B$6*(J231-MIN($J$2:$J$350))/(MAX($J$2:$J$350)-MIN($J$2:$J$350))+راهنما!$B$7*(MAX($I$2:$I$350)-I231)/(MAX($I$2:$I$350)-MIN($I$2:$I$350)))/راهنما!$B$8,1)</f>
        <v>48.1</v>
      </c>
      <c r="G231" s="3" t="str">
        <f aca="false">IF(V231&lt;=ROUND(349*0.2,0),"بسیار بالا",IF(V231&lt;=ROUND(349*0.4,0),"بالا",IF(V231&lt;=ROUND(349*0.6,0),"متوسط",IF(V231&lt;=ROUND(349*0.8,0),"پایین","بسیار پایین"))))</f>
        <v>متوسط</v>
      </c>
      <c r="H231" s="11" t="n">
        <f aca="false">(100-I231)*(100-L231)/100</f>
        <v>68.577224</v>
      </c>
      <c r="I231" s="11" t="n">
        <v>10.38</v>
      </c>
      <c r="J231" s="11" t="n">
        <v>33.9</v>
      </c>
      <c r="K231" s="11" t="n">
        <f aca="false">J231/(1-I231/100)</f>
        <v>37.8263780406159</v>
      </c>
      <c r="L231" s="11" t="n">
        <v>23.48</v>
      </c>
      <c r="M231" s="11" t="n">
        <v>39.33</v>
      </c>
      <c r="N231" s="11" t="n">
        <v>20.93</v>
      </c>
      <c r="O231" s="11" t="n">
        <v>5.91</v>
      </c>
      <c r="P231" s="10" t="n">
        <f aca="false">ROUND(E231*J231/100,0)</f>
        <v>3518</v>
      </c>
      <c r="Q231" s="10" t="n">
        <f aca="false">ROUND(P231*I231/(100-I231),0)</f>
        <v>407</v>
      </c>
      <c r="R231" s="10" t="n">
        <f aca="false">ROUND(P231*(100-L231)/100,0)</f>
        <v>2692</v>
      </c>
      <c r="S231" s="10" t="n">
        <f aca="false">ROUND(P231*M231/100,0)</f>
        <v>1384</v>
      </c>
      <c r="T231" s="11" t="n">
        <v>68.22</v>
      </c>
      <c r="U231" s="11" t="n">
        <v>68.94</v>
      </c>
      <c r="V231" s="3" t="n">
        <f aca="false">RANK(F231,$F$2:$F$350,0)</f>
        <v>191</v>
      </c>
      <c r="W231" s="12" t="n">
        <v>164.5</v>
      </c>
      <c r="X231" s="10" t="n">
        <v>85</v>
      </c>
      <c r="Y231" s="3" t="s">
        <v>58</v>
      </c>
      <c r="Z231" s="3" t="s">
        <v>354</v>
      </c>
      <c r="AA231" s="13" t="s">
        <v>59</v>
      </c>
      <c r="AB231" s="11" t="n">
        <v>10.02</v>
      </c>
    </row>
    <row r="232" customFormat="false" ht="16.4" hidden="false" customHeight="false" outlineLevel="0" collapsed="false">
      <c r="A232" s="3" t="n">
        <v>231</v>
      </c>
      <c r="B232" s="3" t="n">
        <v>14</v>
      </c>
      <c r="C232" s="3" t="s">
        <v>355</v>
      </c>
      <c r="D232" s="10" t="n">
        <v>19787</v>
      </c>
      <c r="E232" s="10" t="n">
        <f aca="false">ROUND(D232*INDEX(مناطق!$AF$2:$AF$23,B232),0)</f>
        <v>17242</v>
      </c>
      <c r="F232" s="11" t="n">
        <f aca="false">ROUND(100*(راهنما!$B$4*(H232-MIN($H$2:$H$350))/(MAX($H$2:$H$350)-MIN($H$2:$H$350))+راهنما!$B$5*(N232-MIN($N$2:$N$350))/(MAX($N$2:$N$350)-MIN($N$2:$N$350))+راهنما!$B$6*(J232-MIN($J$2:$J$350))/(MAX($J$2:$J$350)-MIN($J$2:$J$350))+راهنما!$B$7*(MAX($I$2:$I$350)-I232)/(MAX($I$2:$I$350)-MIN($I$2:$I$350)))/راهنما!$B$8,1)</f>
        <v>47.7</v>
      </c>
      <c r="G232" s="3" t="str">
        <f aca="false">IF(V232&lt;=ROUND(349*0.2,0),"بسیار بالا",IF(V232&lt;=ROUND(349*0.4,0),"بالا",IF(V232&lt;=ROUND(349*0.6,0),"متوسط",IF(V232&lt;=ROUND(349*0.8,0),"پایین","بسیار پایین"))))</f>
        <v>متوسط</v>
      </c>
      <c r="H232" s="11" t="n">
        <f aca="false">(100-I232)*(100-L232)/100</f>
        <v>68.460718</v>
      </c>
      <c r="I232" s="11" t="n">
        <v>10.38</v>
      </c>
      <c r="J232" s="11" t="n">
        <v>33.92</v>
      </c>
      <c r="K232" s="11" t="n">
        <f aca="false">J232/(1-I232/100)</f>
        <v>37.8486944878375</v>
      </c>
      <c r="L232" s="11" t="n">
        <v>23.61</v>
      </c>
      <c r="M232" s="11" t="n">
        <v>39.33</v>
      </c>
      <c r="N232" s="11" t="n">
        <v>20.5</v>
      </c>
      <c r="O232" s="11" t="n">
        <v>5.96</v>
      </c>
      <c r="P232" s="10" t="n">
        <f aca="false">ROUND(E232*J232/100,0)</f>
        <v>5848</v>
      </c>
      <c r="Q232" s="10" t="n">
        <f aca="false">ROUND(P232*I232/(100-I232),0)</f>
        <v>677</v>
      </c>
      <c r="R232" s="10" t="n">
        <f aca="false">ROUND(P232*(100-L232)/100,0)</f>
        <v>4467</v>
      </c>
      <c r="S232" s="10" t="n">
        <f aca="false">ROUND(P232*M232/100,0)</f>
        <v>2300</v>
      </c>
      <c r="T232" s="11" t="n">
        <v>68.05</v>
      </c>
      <c r="U232" s="11" t="n">
        <v>68.87</v>
      </c>
      <c r="V232" s="3" t="n">
        <f aca="false">RANK(F232,$F$2:$F$350,0)</f>
        <v>195</v>
      </c>
      <c r="W232" s="12" t="n">
        <v>148.6</v>
      </c>
      <c r="X232" s="10" t="n">
        <v>69</v>
      </c>
      <c r="Y232" s="3" t="s">
        <v>67</v>
      </c>
      <c r="Z232" s="3" t="s">
        <v>356</v>
      </c>
      <c r="AA232" s="13" t="s">
        <v>59</v>
      </c>
      <c r="AB232" s="11" t="n">
        <v>9.8</v>
      </c>
    </row>
    <row r="233" customFormat="false" ht="16.4" hidden="false" customHeight="false" outlineLevel="0" collapsed="false">
      <c r="A233" s="3" t="n">
        <v>232</v>
      </c>
      <c r="B233" s="3" t="n">
        <v>14</v>
      </c>
      <c r="C233" s="3" t="s">
        <v>357</v>
      </c>
      <c r="D233" s="10" t="n">
        <v>24870</v>
      </c>
      <c r="E233" s="10" t="n">
        <f aca="false">ROUND(D233*INDEX(مناطق!$AF$2:$AF$23,B233),0)</f>
        <v>21671</v>
      </c>
      <c r="F233" s="11" t="n">
        <f aca="false">ROUND(100*(راهنما!$B$4*(H233-MIN($H$2:$H$350))/(MAX($H$2:$H$350)-MIN($H$2:$H$350))+راهنما!$B$5*(N233-MIN($N$2:$N$350))/(MAX($N$2:$N$350)-MIN($N$2:$N$350))+راهنما!$B$6*(J233-MIN($J$2:$J$350))/(MAX($J$2:$J$350)-MIN($J$2:$J$350))+راهنما!$B$7*(MAX($I$2:$I$350)-I233)/(MAX($I$2:$I$350)-MIN($I$2:$I$350)))/راهنما!$B$8,1)</f>
        <v>47.1</v>
      </c>
      <c r="G233" s="3" t="str">
        <f aca="false">IF(V233&lt;=ROUND(349*0.2,0),"بسیار بالا",IF(V233&lt;=ROUND(349*0.4,0),"بالا",IF(V233&lt;=ROUND(349*0.6,0),"متوسط",IF(V233&lt;=ROUND(349*0.8,0),"پایین","بسیار پایین"))))</f>
        <v>متوسط</v>
      </c>
      <c r="H233" s="11" t="n">
        <f aca="false">(100-I233)*(100-L233)/100</f>
        <v>68.254592</v>
      </c>
      <c r="I233" s="11" t="n">
        <v>10.38</v>
      </c>
      <c r="J233" s="11" t="n">
        <v>33.96</v>
      </c>
      <c r="K233" s="11" t="n">
        <f aca="false">J233/(1-I233/100)</f>
        <v>37.8933273822807</v>
      </c>
      <c r="L233" s="11" t="n">
        <v>23.84</v>
      </c>
      <c r="M233" s="11" t="n">
        <v>39.33</v>
      </c>
      <c r="N233" s="11" t="n">
        <v>19.78</v>
      </c>
      <c r="O233" s="11" t="n">
        <v>6.05</v>
      </c>
      <c r="P233" s="10" t="n">
        <f aca="false">ROUND(E233*J233/100,0)</f>
        <v>7359</v>
      </c>
      <c r="Q233" s="10" t="n">
        <f aca="false">ROUND(P233*I233/(100-I233),0)</f>
        <v>852</v>
      </c>
      <c r="R233" s="10" t="n">
        <f aca="false">ROUND(P233*(100-L233)/100,0)</f>
        <v>5605</v>
      </c>
      <c r="S233" s="10" t="n">
        <f aca="false">ROUND(P233*M233/100,0)</f>
        <v>2894</v>
      </c>
      <c r="T233" s="11" t="n">
        <v>67.75</v>
      </c>
      <c r="U233" s="11" t="n">
        <v>68.75</v>
      </c>
      <c r="V233" s="3" t="n">
        <f aca="false">RANK(F233,$F$2:$F$350,0)</f>
        <v>199</v>
      </c>
      <c r="W233" s="12" t="n">
        <v>149.1</v>
      </c>
      <c r="X233" s="10" t="n">
        <v>85</v>
      </c>
      <c r="Y233" s="3" t="s">
        <v>58</v>
      </c>
      <c r="Z233" s="3" t="s">
        <v>357</v>
      </c>
      <c r="AA233" s="13" t="s">
        <v>59</v>
      </c>
      <c r="AB233" s="11" t="n">
        <v>9.43</v>
      </c>
    </row>
    <row r="234" customFormat="false" ht="16.4" hidden="false" customHeight="false" outlineLevel="0" collapsed="false">
      <c r="A234" s="3" t="n">
        <v>233</v>
      </c>
      <c r="B234" s="3" t="n">
        <v>14</v>
      </c>
      <c r="C234" s="3" t="s">
        <v>358</v>
      </c>
      <c r="D234" s="10" t="n">
        <v>25474</v>
      </c>
      <c r="E234" s="10" t="n">
        <f aca="false">ROUND(D234*INDEX(مناطق!$AF$2:$AF$23,B234),0)</f>
        <v>22197</v>
      </c>
      <c r="F234" s="11" t="n">
        <f aca="false">ROUND(100*(راهنما!$B$4*(H234-MIN($H$2:$H$350))/(MAX($H$2:$H$350)-MIN($H$2:$H$350))+راهنما!$B$5*(N234-MIN($N$2:$N$350))/(MAX($N$2:$N$350)-MIN($N$2:$N$350))+راهنما!$B$6*(J234-MIN($J$2:$J$350))/(MAX($J$2:$J$350)-MIN($J$2:$J$350))+راهنما!$B$7*(MAX($I$2:$I$350)-I234)/(MAX($I$2:$I$350)-MIN($I$2:$I$350)))/راهنما!$B$8,1)</f>
        <v>43.1</v>
      </c>
      <c r="G234" s="3" t="str">
        <f aca="false">IF(V234&lt;=ROUND(349*0.2,0),"بسیار بالا",IF(V234&lt;=ROUND(349*0.4,0),"بالا",IF(V234&lt;=ROUND(349*0.6,0),"متوسط",IF(V234&lt;=ROUND(349*0.8,0),"پایین","بسیار پایین"))))</f>
        <v>پایین</v>
      </c>
      <c r="H234" s="11" t="n">
        <f aca="false">(100-I234)*(100-L234)/100</f>
        <v>66.90133</v>
      </c>
      <c r="I234" s="11" t="n">
        <v>10.38</v>
      </c>
      <c r="J234" s="11" t="n">
        <v>34.21</v>
      </c>
      <c r="K234" s="11" t="n">
        <f aca="false">J234/(1-I234/100)</f>
        <v>38.1722829725508</v>
      </c>
      <c r="L234" s="11" t="n">
        <v>25.35</v>
      </c>
      <c r="M234" s="11" t="n">
        <v>39.33</v>
      </c>
      <c r="N234" s="11" t="n">
        <v>15.62</v>
      </c>
      <c r="O234" s="11" t="n">
        <v>6.66</v>
      </c>
      <c r="P234" s="10" t="n">
        <f aca="false">ROUND(E234*J234/100,0)</f>
        <v>7594</v>
      </c>
      <c r="Q234" s="10" t="n">
        <f aca="false">ROUND(P234*I234/(100-I234),0)</f>
        <v>880</v>
      </c>
      <c r="R234" s="10" t="n">
        <f aca="false">ROUND(P234*(100-L234)/100,0)</f>
        <v>5669</v>
      </c>
      <c r="S234" s="10" t="n">
        <f aca="false">ROUND(P234*M234/100,0)</f>
        <v>2987</v>
      </c>
      <c r="T234" s="11" t="n">
        <v>65.8</v>
      </c>
      <c r="U234" s="11" t="n">
        <v>67.99</v>
      </c>
      <c r="V234" s="3" t="n">
        <f aca="false">RANK(F234,$F$2:$F$350,0)</f>
        <v>232</v>
      </c>
      <c r="W234" s="12" t="n">
        <v>124.7</v>
      </c>
      <c r="X234" s="10" t="n">
        <v>88</v>
      </c>
      <c r="Y234" s="3" t="s">
        <v>58</v>
      </c>
      <c r="Z234" s="3" t="s">
        <v>358</v>
      </c>
      <c r="AA234" s="13" t="s">
        <v>59</v>
      </c>
      <c r="AB234" s="11" t="n">
        <v>7.36</v>
      </c>
    </row>
    <row r="235" customFormat="false" ht="16.4" hidden="false" customHeight="false" outlineLevel="0" collapsed="false">
      <c r="A235" s="3" t="n">
        <v>234</v>
      </c>
      <c r="B235" s="3" t="n">
        <v>15</v>
      </c>
      <c r="C235" s="3" t="s">
        <v>359</v>
      </c>
      <c r="D235" s="10" t="n">
        <v>28885</v>
      </c>
      <c r="E235" s="10" t="n">
        <f aca="false">ROUND(D235*INDEX(مناطق!$AF$2:$AF$23,B235),0)</f>
        <v>25313</v>
      </c>
      <c r="F235" s="11" t="n">
        <f aca="false">ROUND(100*(راهنما!$B$4*(H235-MIN($H$2:$H$350))/(MAX($H$2:$H$350)-MIN($H$2:$H$350))+راهنما!$B$5*(N235-MIN($N$2:$N$350))/(MAX($N$2:$N$350)-MIN($N$2:$N$350))+راهنما!$B$6*(J235-MIN($J$2:$J$350))/(MAX($J$2:$J$350)-MIN($J$2:$J$350))+راهنما!$B$7*(MAX($I$2:$I$350)-I235)/(MAX($I$2:$I$350)-MIN($I$2:$I$350)))/راهنما!$B$8,1)</f>
        <v>67.1</v>
      </c>
      <c r="G235" s="3" t="str">
        <f aca="false">IF(V235&lt;=ROUND(349*0.2,0),"بسیار بالا",IF(V235&lt;=ROUND(349*0.4,0),"بالا",IF(V235&lt;=ROUND(349*0.6,0),"متوسط",IF(V235&lt;=ROUND(349*0.8,0),"پایین","بسیار پایین"))))</f>
        <v>بسیار بالا</v>
      </c>
      <c r="H235" s="11" t="n">
        <f aca="false">(100-I235)*(100-L235)/100</f>
        <v>72.264045</v>
      </c>
      <c r="I235" s="11" t="n">
        <v>8.93</v>
      </c>
      <c r="J235" s="11" t="n">
        <v>33.06</v>
      </c>
      <c r="K235" s="11" t="n">
        <f aca="false">J235/(1-I235/100)</f>
        <v>36.3017459097398</v>
      </c>
      <c r="L235" s="11" t="n">
        <v>20.65</v>
      </c>
      <c r="M235" s="11" t="n">
        <v>26.29</v>
      </c>
      <c r="N235" s="11" t="n">
        <v>46.43</v>
      </c>
      <c r="O235" s="11" t="n">
        <v>4.93</v>
      </c>
      <c r="P235" s="10" t="n">
        <f aca="false">ROUND(E235*J235/100,0)</f>
        <v>8368</v>
      </c>
      <c r="Q235" s="10" t="n">
        <f aca="false">ROUND(P235*I235/(100-I235),0)</f>
        <v>821</v>
      </c>
      <c r="R235" s="10" t="n">
        <f aca="false">ROUND(P235*(100-L235)/100,0)</f>
        <v>6640</v>
      </c>
      <c r="S235" s="10" t="n">
        <f aca="false">ROUND(P235*M235/100,0)</f>
        <v>2200</v>
      </c>
      <c r="T235" s="11" t="n">
        <v>69</v>
      </c>
      <c r="U235" s="11" t="n">
        <v>75.18</v>
      </c>
      <c r="V235" s="3" t="n">
        <f aca="false">RANK(F235,$F$2:$F$350,0)</f>
        <v>27</v>
      </c>
      <c r="W235" s="12" t="n">
        <v>420</v>
      </c>
      <c r="X235" s="10" t="n">
        <v>71</v>
      </c>
      <c r="Y235" s="3" t="s">
        <v>67</v>
      </c>
      <c r="Z235" s="3" t="s">
        <v>210</v>
      </c>
      <c r="AA235" s="13" t="s">
        <v>59</v>
      </c>
      <c r="AB235" s="11" t="n">
        <v>24.76</v>
      </c>
    </row>
    <row r="236" customFormat="false" ht="16.4" hidden="false" customHeight="false" outlineLevel="0" collapsed="false">
      <c r="A236" s="3" t="n">
        <v>235</v>
      </c>
      <c r="B236" s="3" t="n">
        <v>15</v>
      </c>
      <c r="C236" s="3" t="s">
        <v>360</v>
      </c>
      <c r="D236" s="10" t="n">
        <v>59587</v>
      </c>
      <c r="E236" s="10" t="n">
        <f aca="false">ROUND(D236*INDEX(مناطق!$AF$2:$AF$23,B236),0)</f>
        <v>52219</v>
      </c>
      <c r="F236" s="11" t="n">
        <f aca="false">ROUND(100*(راهنما!$B$4*(H236-MIN($H$2:$H$350))/(MAX($H$2:$H$350)-MIN($H$2:$H$350))+راهنما!$B$5*(N236-MIN($N$2:$N$350))/(MAX($N$2:$N$350)-MIN($N$2:$N$350))+راهنما!$B$6*(J236-MIN($J$2:$J$350))/(MAX($J$2:$J$350)-MIN($J$2:$J$350))+راهنما!$B$7*(MAX($I$2:$I$350)-I236)/(MAX($I$2:$I$350)-MIN($I$2:$I$350)))/راهنما!$B$8,1)</f>
        <v>45.3</v>
      </c>
      <c r="G236" s="3" t="str">
        <f aca="false">IF(V236&lt;=ROUND(349*0.2,0),"بسیار بالا",IF(V236&lt;=ROUND(349*0.4,0),"بالا",IF(V236&lt;=ROUND(349*0.6,0),"متوسط",IF(V236&lt;=ROUND(349*0.8,0),"پایین","بسیار پایین"))))</f>
        <v>پایین</v>
      </c>
      <c r="H236" s="11" t="n">
        <f aca="false">(100-I236)*(100-L236)/100</f>
        <v>66.198783</v>
      </c>
      <c r="I236" s="11" t="n">
        <v>8.93</v>
      </c>
      <c r="J236" s="11" t="n">
        <v>34.17</v>
      </c>
      <c r="K236" s="11" t="n">
        <f aca="false">J236/(1-I236/100)</f>
        <v>37.5205885582519</v>
      </c>
      <c r="L236" s="11" t="n">
        <v>27.31</v>
      </c>
      <c r="M236" s="11" t="n">
        <v>26.29</v>
      </c>
      <c r="N236" s="11" t="n">
        <v>19.15</v>
      </c>
      <c r="O236" s="11" t="n">
        <v>7.6</v>
      </c>
      <c r="P236" s="10" t="n">
        <f aca="false">ROUND(E236*J236/100,0)</f>
        <v>17843</v>
      </c>
      <c r="Q236" s="10" t="n">
        <f aca="false">ROUND(P236*I236/(100-I236),0)</f>
        <v>1750</v>
      </c>
      <c r="R236" s="10" t="n">
        <f aca="false">ROUND(P236*(100-L236)/100,0)</f>
        <v>12970</v>
      </c>
      <c r="S236" s="10" t="n">
        <f aca="false">ROUND(P236*M236/100,0)</f>
        <v>4691</v>
      </c>
      <c r="T236" s="11" t="n">
        <v>65.23</v>
      </c>
      <c r="U236" s="11" t="n">
        <v>67.18</v>
      </c>
      <c r="V236" s="3" t="n">
        <f aca="false">RANK(F236,$F$2:$F$350,0)</f>
        <v>210</v>
      </c>
      <c r="W236" s="12" t="n">
        <v>173.9</v>
      </c>
      <c r="X236" s="10" t="n">
        <v>70</v>
      </c>
      <c r="Y236" s="3" t="s">
        <v>58</v>
      </c>
      <c r="Z236" s="3" t="s">
        <v>360</v>
      </c>
      <c r="AA236" s="13" t="s">
        <v>59</v>
      </c>
      <c r="AB236" s="11" t="n">
        <v>8.8</v>
      </c>
    </row>
    <row r="237" customFormat="false" ht="16.4" hidden="false" customHeight="false" outlineLevel="0" collapsed="false">
      <c r="A237" s="3" t="n">
        <v>236</v>
      </c>
      <c r="B237" s="3" t="n">
        <v>15</v>
      </c>
      <c r="C237" s="3" t="s">
        <v>361</v>
      </c>
      <c r="D237" s="10" t="n">
        <v>10298</v>
      </c>
      <c r="E237" s="10" t="n">
        <f aca="false">ROUND(D237*INDEX(مناطق!$AF$2:$AF$23,B237),0)</f>
        <v>9025</v>
      </c>
      <c r="F237" s="11" t="n">
        <f aca="false">ROUND(100*(راهنما!$B$4*(H237-MIN($H$2:$H$350))/(MAX($H$2:$H$350)-MIN($H$2:$H$350))+راهنما!$B$5*(N237-MIN($N$2:$N$350))/(MAX($N$2:$N$350)-MIN($N$2:$N$350))+راهنما!$B$6*(J237-MIN($J$2:$J$350))/(MAX($J$2:$J$350)-MIN($J$2:$J$350))+راهنما!$B$7*(MAX($I$2:$I$350)-I237)/(MAX($I$2:$I$350)-MIN($I$2:$I$350)))/راهنما!$B$8,1)</f>
        <v>45.2</v>
      </c>
      <c r="G237" s="3" t="str">
        <f aca="false">IF(V237&lt;=ROUND(349*0.2,0),"بسیار بالا",IF(V237&lt;=ROUND(349*0.4,0),"بالا",IF(V237&lt;=ROUND(349*0.6,0),"متوسط",IF(V237&lt;=ROUND(349*0.8,0),"پایین","بسیار پایین"))))</f>
        <v>پایین</v>
      </c>
      <c r="H237" s="11" t="n">
        <f aca="false">(100-I237)*(100-L237)/100</f>
        <v>66.153248</v>
      </c>
      <c r="I237" s="11" t="n">
        <v>8.93</v>
      </c>
      <c r="J237" s="11" t="n">
        <v>34.17</v>
      </c>
      <c r="K237" s="11" t="n">
        <f aca="false">J237/(1-I237/100)</f>
        <v>37.5205885582519</v>
      </c>
      <c r="L237" s="11" t="n">
        <v>27.36</v>
      </c>
      <c r="M237" s="11" t="n">
        <v>26.29</v>
      </c>
      <c r="N237" s="11" t="n">
        <v>19.01</v>
      </c>
      <c r="O237" s="11" t="n">
        <v>7.62</v>
      </c>
      <c r="P237" s="10" t="n">
        <f aca="false">ROUND(E237*J237/100,0)</f>
        <v>3084</v>
      </c>
      <c r="Q237" s="10" t="n">
        <f aca="false">ROUND(P237*I237/(100-I237),0)</f>
        <v>302</v>
      </c>
      <c r="R237" s="10" t="n">
        <f aca="false">ROUND(P237*(100-L237)/100,0)</f>
        <v>2240</v>
      </c>
      <c r="S237" s="10" t="n">
        <f aca="false">ROUND(P237*M237/100,0)</f>
        <v>811</v>
      </c>
      <c r="T237" s="11" t="n">
        <v>65.2</v>
      </c>
      <c r="U237" s="11" t="n">
        <v>67.11</v>
      </c>
      <c r="V237" s="3" t="n">
        <f aca="false">RANK(F237,$F$2:$F$350,0)</f>
        <v>211</v>
      </c>
      <c r="W237" s="12" t="n">
        <v>200</v>
      </c>
      <c r="X237" s="10" t="n">
        <v>40</v>
      </c>
      <c r="Y237" s="3" t="s">
        <v>58</v>
      </c>
      <c r="Z237" s="3" t="s">
        <v>361</v>
      </c>
      <c r="AA237" s="13" t="s">
        <v>59</v>
      </c>
      <c r="AB237" s="11" t="n">
        <v>8.73</v>
      </c>
    </row>
    <row r="238" customFormat="false" ht="16.4" hidden="false" customHeight="false" outlineLevel="0" collapsed="false">
      <c r="A238" s="3" t="n">
        <v>237</v>
      </c>
      <c r="B238" s="3" t="n">
        <v>15</v>
      </c>
      <c r="C238" s="3" t="s">
        <v>362</v>
      </c>
      <c r="D238" s="10" t="n">
        <v>45321</v>
      </c>
      <c r="E238" s="10" t="n">
        <f aca="false">ROUND(D238*INDEX(مناطق!$AF$2:$AF$23,B238),0)</f>
        <v>39717</v>
      </c>
      <c r="F238" s="11" t="n">
        <f aca="false">ROUND(100*(راهنما!$B$4*(H238-MIN($H$2:$H$350))/(MAX($H$2:$H$350)-MIN($H$2:$H$350))+راهنما!$B$5*(N238-MIN($N$2:$N$350))/(MAX($N$2:$N$350)-MIN($N$2:$N$350))+راهنما!$B$6*(J238-MIN($J$2:$J$350))/(MAX($J$2:$J$350)-MIN($J$2:$J$350))+راهنما!$B$7*(MAX($I$2:$I$350)-I238)/(MAX($I$2:$I$350)-MIN($I$2:$I$350)))/راهنما!$B$8,1)</f>
        <v>41.7</v>
      </c>
      <c r="G238" s="3" t="str">
        <f aca="false">IF(V238&lt;=ROUND(349*0.2,0),"بسیار بالا",IF(V238&lt;=ROUND(349*0.4,0),"بالا",IF(V238&lt;=ROUND(349*0.6,0),"متوسط",IF(V238&lt;=ROUND(349*0.8,0),"پایین","بسیار پایین"))))</f>
        <v>پایین</v>
      </c>
      <c r="H238" s="11" t="n">
        <f aca="false">(100-I238)*(100-L238)/100</f>
        <v>64.93291</v>
      </c>
      <c r="I238" s="11" t="n">
        <v>8.93</v>
      </c>
      <c r="J238" s="11" t="n">
        <v>34.38</v>
      </c>
      <c r="K238" s="11" t="n">
        <f aca="false">J238/(1-I238/100)</f>
        <v>37.7511804106731</v>
      </c>
      <c r="L238" s="11" t="n">
        <v>28.7</v>
      </c>
      <c r="M238" s="11" t="n">
        <v>26.29</v>
      </c>
      <c r="N238" s="11" t="n">
        <v>15.64</v>
      </c>
      <c r="O238" s="11" t="n">
        <v>8.23</v>
      </c>
      <c r="P238" s="10" t="n">
        <f aca="false">ROUND(E238*J238/100,0)</f>
        <v>13655</v>
      </c>
      <c r="Q238" s="10" t="n">
        <f aca="false">ROUND(P238*I238/(100-I238),0)</f>
        <v>1339</v>
      </c>
      <c r="R238" s="10" t="n">
        <f aca="false">ROUND(P238*(100-L238)/100,0)</f>
        <v>9736</v>
      </c>
      <c r="S238" s="10" t="n">
        <f aca="false">ROUND(P238*M238/100,0)</f>
        <v>3590</v>
      </c>
      <c r="T238" s="11" t="n">
        <v>64.48</v>
      </c>
      <c r="U238" s="11" t="n">
        <v>65.4</v>
      </c>
      <c r="V238" s="3" t="n">
        <f aca="false">RANK(F238,$F$2:$F$350,0)</f>
        <v>242</v>
      </c>
      <c r="W238" s="12" t="n">
        <v>149.8</v>
      </c>
      <c r="X238" s="10" t="n">
        <v>72</v>
      </c>
      <c r="Y238" s="3" t="s">
        <v>67</v>
      </c>
      <c r="Z238" s="3" t="s">
        <v>363</v>
      </c>
      <c r="AA238" s="13" t="s">
        <v>59</v>
      </c>
      <c r="AB238" s="11" t="n">
        <v>7.11</v>
      </c>
    </row>
    <row r="239" customFormat="false" ht="16.4" hidden="false" customHeight="false" outlineLevel="0" collapsed="false">
      <c r="A239" s="3" t="n">
        <v>238</v>
      </c>
      <c r="B239" s="3" t="n">
        <v>15</v>
      </c>
      <c r="C239" s="3" t="s">
        <v>364</v>
      </c>
      <c r="D239" s="10" t="n">
        <v>35085</v>
      </c>
      <c r="E239" s="10" t="n">
        <f aca="false">ROUND(D239*INDEX(مناطق!$AF$2:$AF$23,B239),0)</f>
        <v>30747</v>
      </c>
      <c r="F239" s="11" t="n">
        <f aca="false">ROUND(100*(راهنما!$B$4*(H239-MIN($H$2:$H$350))/(MAX($H$2:$H$350)-MIN($H$2:$H$350))+راهنما!$B$5*(N239-MIN($N$2:$N$350))/(MAX($N$2:$N$350)-MIN($N$2:$N$350))+راهنما!$B$6*(J239-MIN($J$2:$J$350))/(MAX($J$2:$J$350)-MIN($J$2:$J$350))+راهنما!$B$7*(MAX($I$2:$I$350)-I239)/(MAX($I$2:$I$350)-MIN($I$2:$I$350)))/راهنما!$B$8,1)</f>
        <v>41.7</v>
      </c>
      <c r="G239" s="3" t="str">
        <f aca="false">IF(V239&lt;=ROUND(349*0.2,0),"بسیار بالا",IF(V239&lt;=ROUND(349*0.4,0),"بالا",IF(V239&lt;=ROUND(349*0.6,0),"متوسط",IF(V239&lt;=ROUND(349*0.8,0),"پایین","بسیار پایین"))))</f>
        <v>پایین</v>
      </c>
      <c r="H239" s="11" t="n">
        <f aca="false">(100-I239)*(100-L239)/100</f>
        <v>64.93291</v>
      </c>
      <c r="I239" s="11" t="n">
        <v>8.93</v>
      </c>
      <c r="J239" s="11" t="n">
        <v>34.38</v>
      </c>
      <c r="K239" s="11" t="n">
        <f aca="false">J239/(1-I239/100)</f>
        <v>37.7511804106731</v>
      </c>
      <c r="L239" s="11" t="n">
        <v>28.7</v>
      </c>
      <c r="M239" s="11" t="n">
        <v>26.29</v>
      </c>
      <c r="N239" s="11" t="n">
        <v>15.64</v>
      </c>
      <c r="O239" s="11" t="n">
        <v>8.23</v>
      </c>
      <c r="P239" s="10" t="n">
        <f aca="false">ROUND(E239*J239/100,0)</f>
        <v>10571</v>
      </c>
      <c r="Q239" s="10" t="n">
        <f aca="false">ROUND(P239*I239/(100-I239),0)</f>
        <v>1037</v>
      </c>
      <c r="R239" s="10" t="n">
        <f aca="false">ROUND(P239*(100-L239)/100,0)</f>
        <v>7537</v>
      </c>
      <c r="S239" s="10" t="n">
        <f aca="false">ROUND(P239*M239/100,0)</f>
        <v>2779</v>
      </c>
      <c r="T239" s="11" t="n">
        <v>64.48</v>
      </c>
      <c r="U239" s="11" t="n">
        <v>65.4</v>
      </c>
      <c r="V239" s="3" t="n">
        <f aca="false">RANK(F239,$F$2:$F$350,0)</f>
        <v>242</v>
      </c>
      <c r="W239" s="12" t="n">
        <v>149.8</v>
      </c>
      <c r="X239" s="10" t="n">
        <v>72</v>
      </c>
      <c r="Y239" s="3" t="s">
        <v>67</v>
      </c>
      <c r="Z239" s="3" t="s">
        <v>363</v>
      </c>
      <c r="AA239" s="13" t="s">
        <v>59</v>
      </c>
      <c r="AB239" s="11" t="n">
        <v>7.11</v>
      </c>
    </row>
    <row r="240" customFormat="false" ht="16.4" hidden="false" customHeight="false" outlineLevel="0" collapsed="false">
      <c r="A240" s="3" t="n">
        <v>239</v>
      </c>
      <c r="B240" s="3" t="n">
        <v>15</v>
      </c>
      <c r="C240" s="3" t="s">
        <v>365</v>
      </c>
      <c r="D240" s="10" t="n">
        <v>74641</v>
      </c>
      <c r="E240" s="10" t="n">
        <f aca="false">ROUND(D240*INDEX(مناطق!$AF$2:$AF$23,B240),0)</f>
        <v>65412</v>
      </c>
      <c r="F240" s="11" t="n">
        <f aca="false">ROUND(100*(راهنما!$B$4*(H240-MIN($H$2:$H$350))/(MAX($H$2:$H$350)-MIN($H$2:$H$350))+راهنما!$B$5*(N240-MIN($N$2:$N$350))/(MAX($N$2:$N$350)-MIN($N$2:$N$350))+راهنما!$B$6*(J240-MIN($J$2:$J$350))/(MAX($J$2:$J$350)-MIN($J$2:$J$350))+راهنما!$B$7*(MAX($I$2:$I$350)-I240)/(MAX($I$2:$I$350)-MIN($I$2:$I$350)))/راهنما!$B$8,1)</f>
        <v>39.1</v>
      </c>
      <c r="G240" s="3" t="str">
        <f aca="false">IF(V240&lt;=ROUND(349*0.2,0),"بسیار بالا",IF(V240&lt;=ROUND(349*0.4,0),"بالا",IF(V240&lt;=ROUND(349*0.6,0),"متوسط",IF(V240&lt;=ROUND(349*0.8,0),"پایین","بسیار پایین"))))</f>
        <v>پایین</v>
      </c>
      <c r="H240" s="11" t="n">
        <f aca="false">(100-I240)*(100-L240)/100</f>
        <v>64.013103</v>
      </c>
      <c r="I240" s="11" t="n">
        <v>8.93</v>
      </c>
      <c r="J240" s="11" t="n">
        <v>34.52</v>
      </c>
      <c r="K240" s="11" t="n">
        <f aca="false">J240/(1-I240/100)</f>
        <v>37.9049083122873</v>
      </c>
      <c r="L240" s="11" t="n">
        <v>29.71</v>
      </c>
      <c r="M240" s="11" t="n">
        <v>26.29</v>
      </c>
      <c r="N240" s="11" t="n">
        <v>13.51</v>
      </c>
      <c r="O240" s="11" t="n">
        <v>8.7</v>
      </c>
      <c r="P240" s="10" t="n">
        <f aca="false">ROUND(E240*J240/100,0)</f>
        <v>22580</v>
      </c>
      <c r="Q240" s="10" t="n">
        <f aca="false">ROUND(P240*I240/(100-I240),0)</f>
        <v>2214</v>
      </c>
      <c r="R240" s="10" t="n">
        <f aca="false">ROUND(P240*(100-L240)/100,0)</f>
        <v>15871</v>
      </c>
      <c r="S240" s="10" t="n">
        <f aca="false">ROUND(P240*M240/100,0)</f>
        <v>5936</v>
      </c>
      <c r="T240" s="11" t="n">
        <v>63.94</v>
      </c>
      <c r="U240" s="11" t="n">
        <v>64.12</v>
      </c>
      <c r="V240" s="3" t="n">
        <f aca="false">RANK(F240,$F$2:$F$350,0)</f>
        <v>267</v>
      </c>
      <c r="W240" s="12" t="n">
        <v>129.8</v>
      </c>
      <c r="X240" s="10" t="n">
        <v>72</v>
      </c>
      <c r="Y240" s="3" t="s">
        <v>58</v>
      </c>
      <c r="Z240" s="3" t="s">
        <v>365</v>
      </c>
      <c r="AA240" s="13" t="s">
        <v>59</v>
      </c>
      <c r="AB240" s="11" t="n">
        <v>6.11</v>
      </c>
    </row>
    <row r="241" customFormat="false" ht="16.4" hidden="false" customHeight="false" outlineLevel="0" collapsed="false">
      <c r="A241" s="3" t="n">
        <v>240</v>
      </c>
      <c r="B241" s="3" t="n">
        <v>15</v>
      </c>
      <c r="C241" s="3" t="s">
        <v>366</v>
      </c>
      <c r="D241" s="10" t="n">
        <v>42000</v>
      </c>
      <c r="E241" s="10" t="n">
        <f aca="false">ROUND(D241*INDEX(مناطق!$AF$2:$AF$23,B241),0)</f>
        <v>36807</v>
      </c>
      <c r="F241" s="11" t="n">
        <f aca="false">ROUND(100*(راهنما!$B$4*(H241-MIN($H$2:$H$350))/(MAX($H$2:$H$350)-MIN($H$2:$H$350))+راهنما!$B$5*(N241-MIN($N$2:$N$350))/(MAX($N$2:$N$350)-MIN($N$2:$N$350))+راهنما!$B$6*(J241-MIN($J$2:$J$350))/(MAX($J$2:$J$350)-MIN($J$2:$J$350))+راهنما!$B$7*(MAX($I$2:$I$350)-I241)/(MAX($I$2:$I$350)-MIN($I$2:$I$350)))/راهنما!$B$8,1)</f>
        <v>39</v>
      </c>
      <c r="G241" s="3" t="str">
        <f aca="false">IF(V241&lt;=ROUND(349*0.2,0),"بسیار بالا",IF(V241&lt;=ROUND(349*0.4,0),"بالا",IF(V241&lt;=ROUND(349*0.6,0),"متوسط",IF(V241&lt;=ROUND(349*0.8,0),"پایین","بسیار پایین"))))</f>
        <v>پایین</v>
      </c>
      <c r="H241" s="11" t="n">
        <f aca="false">(100-I241)*(100-L241)/100</f>
        <v>63.958461</v>
      </c>
      <c r="I241" s="11" t="n">
        <v>8.93</v>
      </c>
      <c r="J241" s="11" t="n">
        <v>34.53</v>
      </c>
      <c r="K241" s="11" t="n">
        <f aca="false">J241/(1-I241/100)</f>
        <v>37.9158888766883</v>
      </c>
      <c r="L241" s="11" t="n">
        <v>29.77</v>
      </c>
      <c r="M241" s="11" t="n">
        <v>26.29</v>
      </c>
      <c r="N241" s="11" t="n">
        <v>13.39</v>
      </c>
      <c r="O241" s="11" t="n">
        <v>8.73</v>
      </c>
      <c r="P241" s="10" t="n">
        <f aca="false">ROUND(E241*J241/100,0)</f>
        <v>12709</v>
      </c>
      <c r="Q241" s="10" t="n">
        <f aca="false">ROUND(P241*I241/(100-I241),0)</f>
        <v>1246</v>
      </c>
      <c r="R241" s="10" t="n">
        <f aca="false">ROUND(P241*(100-L241)/100,0)</f>
        <v>8926</v>
      </c>
      <c r="S241" s="10" t="n">
        <f aca="false">ROUND(P241*M241/100,0)</f>
        <v>3341</v>
      </c>
      <c r="T241" s="11" t="n">
        <v>63.91</v>
      </c>
      <c r="U241" s="11" t="n">
        <v>64.04</v>
      </c>
      <c r="V241" s="3" t="n">
        <f aca="false">RANK(F241,$F$2:$F$350,0)</f>
        <v>268</v>
      </c>
      <c r="W241" s="12"/>
      <c r="X241" s="10" t="n">
        <v>0</v>
      </c>
      <c r="Y241" s="3" t="s">
        <v>77</v>
      </c>
      <c r="Z241" s="13" t="s">
        <v>78</v>
      </c>
      <c r="AA241" s="13" t="s">
        <v>79</v>
      </c>
      <c r="AB241" s="11" t="n">
        <v>6.06</v>
      </c>
    </row>
    <row r="242" customFormat="false" ht="16.4" hidden="false" customHeight="false" outlineLevel="0" collapsed="false">
      <c r="A242" s="3" t="n">
        <v>241</v>
      </c>
      <c r="B242" s="3" t="n">
        <v>15</v>
      </c>
      <c r="C242" s="3" t="s">
        <v>367</v>
      </c>
      <c r="D242" s="10" t="n">
        <v>17450</v>
      </c>
      <c r="E242" s="10" t="n">
        <f aca="false">ROUND(D242*INDEX(مناطق!$AF$2:$AF$23,B242),0)</f>
        <v>15292</v>
      </c>
      <c r="F242" s="11" t="n">
        <f aca="false">ROUND(100*(راهنما!$B$4*(H242-MIN($H$2:$H$350))/(MAX($H$2:$H$350)-MIN($H$2:$H$350))+راهنما!$B$5*(N242-MIN($N$2:$N$350))/(MAX($N$2:$N$350)-MIN($N$2:$N$350))+راهنما!$B$6*(J242-MIN($J$2:$J$350))/(MAX($J$2:$J$350)-MIN($J$2:$J$350))+راهنما!$B$7*(MAX($I$2:$I$350)-I242)/(MAX($I$2:$I$350)-MIN($I$2:$I$350)))/راهنما!$B$8,1)</f>
        <v>39</v>
      </c>
      <c r="G242" s="3" t="str">
        <f aca="false">IF(V242&lt;=ROUND(349*0.2,0),"بسیار بالا",IF(V242&lt;=ROUND(349*0.4,0),"بالا",IF(V242&lt;=ROUND(349*0.6,0),"متوسط",IF(V242&lt;=ROUND(349*0.8,0),"پایین","بسیار پایین"))))</f>
        <v>پایین</v>
      </c>
      <c r="H242" s="11" t="n">
        <f aca="false">(100-I242)*(100-L242)/100</f>
        <v>63.958461</v>
      </c>
      <c r="I242" s="11" t="n">
        <v>8.93</v>
      </c>
      <c r="J242" s="11" t="n">
        <v>34.53</v>
      </c>
      <c r="K242" s="11" t="n">
        <f aca="false">J242/(1-I242/100)</f>
        <v>37.9158888766883</v>
      </c>
      <c r="L242" s="11" t="n">
        <v>29.77</v>
      </c>
      <c r="M242" s="11" t="n">
        <v>26.29</v>
      </c>
      <c r="N242" s="11" t="n">
        <v>13.39</v>
      </c>
      <c r="O242" s="11" t="n">
        <v>8.73</v>
      </c>
      <c r="P242" s="10" t="n">
        <f aca="false">ROUND(E242*J242/100,0)</f>
        <v>5280</v>
      </c>
      <c r="Q242" s="10" t="n">
        <f aca="false">ROUND(P242*I242/(100-I242),0)</f>
        <v>518</v>
      </c>
      <c r="R242" s="10" t="n">
        <f aca="false">ROUND(P242*(100-L242)/100,0)</f>
        <v>3708</v>
      </c>
      <c r="S242" s="10" t="n">
        <f aca="false">ROUND(P242*M242/100,0)</f>
        <v>1388</v>
      </c>
      <c r="T242" s="11" t="n">
        <v>63.91</v>
      </c>
      <c r="U242" s="11" t="n">
        <v>64.04</v>
      </c>
      <c r="V242" s="3" t="n">
        <f aca="false">RANK(F242,$F$2:$F$350,0)</f>
        <v>268</v>
      </c>
      <c r="W242" s="12"/>
      <c r="X242" s="10" t="n">
        <v>0</v>
      </c>
      <c r="Y242" s="3" t="s">
        <v>77</v>
      </c>
      <c r="Z242" s="13" t="s">
        <v>78</v>
      </c>
      <c r="AA242" s="13" t="s">
        <v>79</v>
      </c>
      <c r="AB242" s="11" t="n">
        <v>6.06</v>
      </c>
    </row>
    <row r="243" customFormat="false" ht="16.4" hidden="false" customHeight="false" outlineLevel="0" collapsed="false">
      <c r="A243" s="3" t="n">
        <v>242</v>
      </c>
      <c r="B243" s="3" t="n">
        <v>15</v>
      </c>
      <c r="C243" s="3" t="s">
        <v>368</v>
      </c>
      <c r="D243" s="10" t="n">
        <v>14556</v>
      </c>
      <c r="E243" s="10" t="n">
        <f aca="false">ROUND(D243*INDEX(مناطق!$AF$2:$AF$23,B243),0)</f>
        <v>12756</v>
      </c>
      <c r="F243" s="11" t="n">
        <f aca="false">ROUND(100*(راهنما!$B$4*(H243-MIN($H$2:$H$350))/(MAX($H$2:$H$350)-MIN($H$2:$H$350))+راهنما!$B$5*(N243-MIN($N$2:$N$350))/(MAX($N$2:$N$350)-MIN($N$2:$N$350))+راهنما!$B$6*(J243-MIN($J$2:$J$350))/(MAX($J$2:$J$350)-MIN($J$2:$J$350))+راهنما!$B$7*(MAX($I$2:$I$350)-I243)/(MAX($I$2:$I$350)-MIN($I$2:$I$350)))/راهنما!$B$8,1)</f>
        <v>39</v>
      </c>
      <c r="G243" s="3" t="str">
        <f aca="false">IF(V243&lt;=ROUND(349*0.2,0),"بسیار بالا",IF(V243&lt;=ROUND(349*0.4,0),"بالا",IF(V243&lt;=ROUND(349*0.6,0),"متوسط",IF(V243&lt;=ROUND(349*0.8,0),"پایین","بسیار پایین"))))</f>
        <v>پایین</v>
      </c>
      <c r="H243" s="11" t="n">
        <f aca="false">(100-I243)*(100-L243)/100</f>
        <v>63.958461</v>
      </c>
      <c r="I243" s="11" t="n">
        <v>8.93</v>
      </c>
      <c r="J243" s="11" t="n">
        <v>34.53</v>
      </c>
      <c r="K243" s="11" t="n">
        <f aca="false">J243/(1-I243/100)</f>
        <v>37.9158888766883</v>
      </c>
      <c r="L243" s="11" t="n">
        <v>29.77</v>
      </c>
      <c r="M243" s="11" t="n">
        <v>26.29</v>
      </c>
      <c r="N243" s="11" t="n">
        <v>13.39</v>
      </c>
      <c r="O243" s="11" t="n">
        <v>8.73</v>
      </c>
      <c r="P243" s="10" t="n">
        <f aca="false">ROUND(E243*J243/100,0)</f>
        <v>4405</v>
      </c>
      <c r="Q243" s="10" t="n">
        <f aca="false">ROUND(P243*I243/(100-I243),0)</f>
        <v>432</v>
      </c>
      <c r="R243" s="10" t="n">
        <f aca="false">ROUND(P243*(100-L243)/100,0)</f>
        <v>3094</v>
      </c>
      <c r="S243" s="10" t="n">
        <f aca="false">ROUND(P243*M243/100,0)</f>
        <v>1158</v>
      </c>
      <c r="T243" s="11" t="n">
        <v>63.91</v>
      </c>
      <c r="U243" s="11" t="n">
        <v>64.04</v>
      </c>
      <c r="V243" s="3" t="n">
        <f aca="false">RANK(F243,$F$2:$F$350,0)</f>
        <v>268</v>
      </c>
      <c r="W243" s="12"/>
      <c r="X243" s="10" t="n">
        <v>0</v>
      </c>
      <c r="Y243" s="3" t="s">
        <v>77</v>
      </c>
      <c r="Z243" s="13" t="s">
        <v>78</v>
      </c>
      <c r="AA243" s="13" t="s">
        <v>79</v>
      </c>
      <c r="AB243" s="11" t="n">
        <v>6.06</v>
      </c>
    </row>
    <row r="244" customFormat="false" ht="16.4" hidden="false" customHeight="false" outlineLevel="0" collapsed="false">
      <c r="A244" s="3" t="n">
        <v>243</v>
      </c>
      <c r="B244" s="3" t="n">
        <v>15</v>
      </c>
      <c r="C244" s="3" t="s">
        <v>369</v>
      </c>
      <c r="D244" s="10" t="n">
        <v>71434</v>
      </c>
      <c r="E244" s="10" t="n">
        <f aca="false">ROUND(D244*INDEX(مناطق!$AF$2:$AF$23,B244),0)</f>
        <v>62601</v>
      </c>
      <c r="F244" s="11" t="n">
        <f aca="false">ROUND(100*(راهنما!$B$4*(H244-MIN($H$2:$H$350))/(MAX($H$2:$H$350)-MIN($H$2:$H$350))+راهنما!$B$5*(N244-MIN($N$2:$N$350))/(MAX($N$2:$N$350)-MIN($N$2:$N$350))+راهنما!$B$6*(J244-MIN($J$2:$J$350))/(MAX($J$2:$J$350)-MIN($J$2:$J$350))+راهنما!$B$7*(MAX($I$2:$I$350)-I244)/(MAX($I$2:$I$350)-MIN($I$2:$I$350)))/راهنما!$B$8,1)</f>
        <v>38.9</v>
      </c>
      <c r="G244" s="3" t="str">
        <f aca="false">IF(V244&lt;=ROUND(349*0.2,0),"بسیار بالا",IF(V244&lt;=ROUND(349*0.4,0),"بالا",IF(V244&lt;=ROUND(349*0.6,0),"متوسط",IF(V244&lt;=ROUND(349*0.8,0),"پایین","بسیار پایین"))))</f>
        <v>پایین</v>
      </c>
      <c r="H244" s="11" t="n">
        <f aca="false">(100-I244)*(100-L244)/100</f>
        <v>63.93114</v>
      </c>
      <c r="I244" s="11" t="n">
        <v>8.93</v>
      </c>
      <c r="J244" s="11" t="n">
        <v>34.54</v>
      </c>
      <c r="K244" s="11" t="n">
        <f aca="false">J244/(1-I244/100)</f>
        <v>37.9268694410893</v>
      </c>
      <c r="L244" s="11" t="n">
        <v>29.8</v>
      </c>
      <c r="M244" s="11" t="n">
        <v>26.29</v>
      </c>
      <c r="N244" s="11" t="n">
        <v>13.32</v>
      </c>
      <c r="O244" s="11" t="n">
        <v>8.75</v>
      </c>
      <c r="P244" s="10" t="n">
        <f aca="false">ROUND(E244*J244/100,0)</f>
        <v>21622</v>
      </c>
      <c r="Q244" s="10" t="n">
        <f aca="false">ROUND(P244*I244/(100-I244),0)</f>
        <v>2120</v>
      </c>
      <c r="R244" s="10" t="n">
        <f aca="false">ROUND(P244*(100-L244)/100,0)</f>
        <v>15179</v>
      </c>
      <c r="S244" s="10" t="n">
        <f aca="false">ROUND(P244*M244/100,0)</f>
        <v>5684</v>
      </c>
      <c r="T244" s="11" t="n">
        <v>63.89</v>
      </c>
      <c r="U244" s="11" t="n">
        <v>63.99</v>
      </c>
      <c r="V244" s="3" t="n">
        <f aca="false">RANK(F244,$F$2:$F$350,0)</f>
        <v>274</v>
      </c>
      <c r="W244" s="12" t="n">
        <v>121.8</v>
      </c>
      <c r="X244" s="10" t="n">
        <v>84</v>
      </c>
      <c r="Y244" s="3" t="s">
        <v>58</v>
      </c>
      <c r="Z244" s="3" t="s">
        <v>369</v>
      </c>
      <c r="AA244" s="13" t="s">
        <v>59</v>
      </c>
      <c r="AB244" s="11" t="n">
        <v>6.02</v>
      </c>
    </row>
    <row r="245" customFormat="false" ht="16.4" hidden="false" customHeight="false" outlineLevel="0" collapsed="false">
      <c r="A245" s="3" t="n">
        <v>244</v>
      </c>
      <c r="B245" s="3" t="n">
        <v>15</v>
      </c>
      <c r="C245" s="3" t="s">
        <v>370</v>
      </c>
      <c r="D245" s="10" t="n">
        <v>27859</v>
      </c>
      <c r="E245" s="10" t="n">
        <f aca="false">ROUND(D245*INDEX(مناطق!$AF$2:$AF$23,B245),0)</f>
        <v>24414</v>
      </c>
      <c r="F245" s="11" t="n">
        <f aca="false">ROUND(100*(راهنما!$B$4*(H245-MIN($H$2:$H$350))/(MAX($H$2:$H$350)-MIN($H$2:$H$350))+راهنما!$B$5*(N245-MIN($N$2:$N$350))/(MAX($N$2:$N$350)-MIN($N$2:$N$350))+راهنما!$B$6*(J245-MIN($J$2:$J$350))/(MAX($J$2:$J$350)-MIN($J$2:$J$350))+راهنما!$B$7*(MAX($I$2:$I$350)-I245)/(MAX($I$2:$I$350)-MIN($I$2:$I$350)))/راهنما!$B$8,1)</f>
        <v>36.6</v>
      </c>
      <c r="G245" s="3" t="str">
        <f aca="false">IF(V245&lt;=ROUND(349*0.2,0),"بسیار بالا",IF(V245&lt;=ROUND(349*0.4,0),"بالا",IF(V245&lt;=ROUND(349*0.6,0),"متوسط",IF(V245&lt;=ROUND(349*0.8,0),"پایین","بسیار پایین"))))</f>
        <v>بسیار پایین</v>
      </c>
      <c r="H245" s="11" t="n">
        <f aca="false">(100-I245)*(100-L245)/100</f>
        <v>63.029547</v>
      </c>
      <c r="I245" s="11" t="n">
        <v>8.93</v>
      </c>
      <c r="J245" s="11" t="n">
        <v>34.68</v>
      </c>
      <c r="K245" s="11" t="n">
        <f aca="false">J245/(1-I245/100)</f>
        <v>38.0805973427034</v>
      </c>
      <c r="L245" s="11" t="n">
        <v>30.79</v>
      </c>
      <c r="M245" s="11" t="n">
        <v>26.29</v>
      </c>
      <c r="N245" s="11" t="n">
        <v>11.52</v>
      </c>
      <c r="O245" s="11" t="n">
        <v>9.23</v>
      </c>
      <c r="P245" s="10" t="n">
        <f aca="false">ROUND(E245*J245/100,0)</f>
        <v>8467</v>
      </c>
      <c r="Q245" s="10" t="n">
        <f aca="false">ROUND(P245*I245/(100-I245),0)</f>
        <v>830</v>
      </c>
      <c r="R245" s="10" t="n">
        <f aca="false">ROUND(P245*(100-L245)/100,0)</f>
        <v>5860</v>
      </c>
      <c r="S245" s="10" t="n">
        <f aca="false">ROUND(P245*M245/100,0)</f>
        <v>2226</v>
      </c>
      <c r="T245" s="11" t="n">
        <v>62.72</v>
      </c>
      <c r="U245" s="11" t="n">
        <v>63.37</v>
      </c>
      <c r="V245" s="3" t="n">
        <f aca="false">RANK(F245,$F$2:$F$350,0)</f>
        <v>299</v>
      </c>
      <c r="W245" s="12" t="n">
        <v>115</v>
      </c>
      <c r="X245" s="10" t="n">
        <v>77</v>
      </c>
      <c r="Y245" s="3" t="s">
        <v>58</v>
      </c>
      <c r="Z245" s="3" t="s">
        <v>370</v>
      </c>
      <c r="AA245" s="13" t="s">
        <v>59</v>
      </c>
      <c r="AB245" s="11" t="n">
        <v>5.2</v>
      </c>
    </row>
    <row r="246" customFormat="false" ht="16.4" hidden="false" customHeight="false" outlineLevel="0" collapsed="false">
      <c r="A246" s="3" t="n">
        <v>245</v>
      </c>
      <c r="B246" s="3" t="n">
        <v>15</v>
      </c>
      <c r="C246" s="3" t="s">
        <v>371</v>
      </c>
      <c r="D246" s="10" t="n">
        <v>18254</v>
      </c>
      <c r="E246" s="10" t="n">
        <f aca="false">ROUND(D246*INDEX(مناطق!$AF$2:$AF$23,B246),0)</f>
        <v>15997</v>
      </c>
      <c r="F246" s="11" t="n">
        <f aca="false">ROUND(100*(راهنما!$B$4*(H246-MIN($H$2:$H$350))/(MAX($H$2:$H$350)-MIN($H$2:$H$350))+راهنما!$B$5*(N246-MIN($N$2:$N$350))/(MAX($N$2:$N$350)-MIN($N$2:$N$350))+راهنما!$B$6*(J246-MIN($J$2:$J$350))/(MAX($J$2:$J$350)-MIN($J$2:$J$350))+راهنما!$B$7*(MAX($I$2:$I$350)-I246)/(MAX($I$2:$I$350)-MIN($I$2:$I$350)))/راهنما!$B$8,1)</f>
        <v>36.2</v>
      </c>
      <c r="G246" s="3" t="str">
        <f aca="false">IF(V246&lt;=ROUND(349*0.2,0),"بسیار بالا",IF(V246&lt;=ROUND(349*0.4,0),"بالا",IF(V246&lt;=ROUND(349*0.6,0),"متوسط",IF(V246&lt;=ROUND(349*0.8,0),"پایین","بسیار پایین"))))</f>
        <v>بسیار پایین</v>
      </c>
      <c r="H246" s="11" t="n">
        <f aca="false">(100-I246)*(100-L246)/100</f>
        <v>62.865621</v>
      </c>
      <c r="I246" s="11" t="n">
        <v>8.93</v>
      </c>
      <c r="J246" s="11" t="n">
        <v>34.71</v>
      </c>
      <c r="K246" s="11" t="n">
        <f aca="false">J246/(1-I246/100)</f>
        <v>38.1135390359064</v>
      </c>
      <c r="L246" s="11" t="n">
        <v>30.97</v>
      </c>
      <c r="M246" s="11" t="n">
        <v>26.29</v>
      </c>
      <c r="N246" s="11" t="n">
        <v>11.22</v>
      </c>
      <c r="O246" s="11" t="n">
        <v>9.32</v>
      </c>
      <c r="P246" s="10" t="n">
        <f aca="false">ROUND(E246*J246/100,0)</f>
        <v>5553</v>
      </c>
      <c r="Q246" s="10" t="n">
        <f aca="false">ROUND(P246*I246/(100-I246),0)</f>
        <v>545</v>
      </c>
      <c r="R246" s="10" t="n">
        <f aca="false">ROUND(P246*(100-L246)/100,0)</f>
        <v>3833</v>
      </c>
      <c r="S246" s="10" t="n">
        <f aca="false">ROUND(P246*M246/100,0)</f>
        <v>1460</v>
      </c>
      <c r="T246" s="11" t="n">
        <v>62.48</v>
      </c>
      <c r="U246" s="11" t="n">
        <v>63.27</v>
      </c>
      <c r="V246" s="3" t="n">
        <f aca="false">RANK(F246,$F$2:$F$350,0)</f>
        <v>304</v>
      </c>
      <c r="W246" s="12" t="n">
        <v>109.7</v>
      </c>
      <c r="X246" s="10" t="n">
        <v>83</v>
      </c>
      <c r="Y246" s="3" t="s">
        <v>67</v>
      </c>
      <c r="Z246" s="3" t="s">
        <v>372</v>
      </c>
      <c r="AA246" s="13" t="s">
        <v>59</v>
      </c>
      <c r="AB246" s="11" t="n">
        <v>5.06</v>
      </c>
    </row>
    <row r="247" customFormat="false" ht="16.4" hidden="false" customHeight="false" outlineLevel="0" collapsed="false">
      <c r="A247" s="3" t="n">
        <v>246</v>
      </c>
      <c r="B247" s="3" t="n">
        <v>15</v>
      </c>
      <c r="C247" s="3" t="s">
        <v>373</v>
      </c>
      <c r="D247" s="10" t="n">
        <v>24396</v>
      </c>
      <c r="E247" s="10" t="n">
        <f aca="false">ROUND(D247*INDEX(مناطق!$AF$2:$AF$23,B247),0)</f>
        <v>21379</v>
      </c>
      <c r="F247" s="11" t="n">
        <f aca="false">ROUND(100*(راهنما!$B$4*(H247-MIN($H$2:$H$350))/(MAX($H$2:$H$350)-MIN($H$2:$H$350))+راهنما!$B$5*(N247-MIN($N$2:$N$350))/(MAX($N$2:$N$350)-MIN($N$2:$N$350))+راهنما!$B$6*(J247-MIN($J$2:$J$350))/(MAX($J$2:$J$350)-MIN($J$2:$J$350))+راهنما!$B$7*(MAX($I$2:$I$350)-I247)/(MAX($I$2:$I$350)-MIN($I$2:$I$350)))/راهنما!$B$8,1)</f>
        <v>35.9</v>
      </c>
      <c r="G247" s="3" t="str">
        <f aca="false">IF(V247&lt;=ROUND(349*0.2,0),"بسیار بالا",IF(V247&lt;=ROUND(349*0.4,0),"بالا",IF(V247&lt;=ROUND(349*0.6,0),"متوسط",IF(V247&lt;=ROUND(349*0.8,0),"پایین","بسیار پایین"))))</f>
        <v>بسیار پایین</v>
      </c>
      <c r="H247" s="11" t="n">
        <f aca="false">(100-I247)*(100-L247)/100</f>
        <v>62.774551</v>
      </c>
      <c r="I247" s="11" t="n">
        <v>8.93</v>
      </c>
      <c r="J247" s="11" t="n">
        <v>34.72</v>
      </c>
      <c r="K247" s="11" t="n">
        <f aca="false">J247/(1-I247/100)</f>
        <v>38.1245196003075</v>
      </c>
      <c r="L247" s="11" t="n">
        <v>31.07</v>
      </c>
      <c r="M247" s="11" t="n">
        <v>26.29</v>
      </c>
      <c r="N247" s="11" t="n">
        <v>11.06</v>
      </c>
      <c r="O247" s="11" t="n">
        <v>9.37</v>
      </c>
      <c r="P247" s="10" t="n">
        <f aca="false">ROUND(E247*J247/100,0)</f>
        <v>7423</v>
      </c>
      <c r="Q247" s="10" t="n">
        <f aca="false">ROUND(P247*I247/(100-I247),0)</f>
        <v>728</v>
      </c>
      <c r="R247" s="10" t="n">
        <f aca="false">ROUND(P247*(100-L247)/100,0)</f>
        <v>5117</v>
      </c>
      <c r="S247" s="10" t="n">
        <f aca="false">ROUND(P247*M247/100,0)</f>
        <v>1952</v>
      </c>
      <c r="T247" s="11" t="n">
        <v>62.35</v>
      </c>
      <c r="U247" s="11" t="n">
        <v>63.22</v>
      </c>
      <c r="V247" s="3" t="n">
        <f aca="false">RANK(F247,$F$2:$F$350,0)</f>
        <v>307</v>
      </c>
      <c r="W247" s="12" t="n">
        <v>110</v>
      </c>
      <c r="X247" s="10" t="n">
        <v>82</v>
      </c>
      <c r="Y247" s="3" t="s">
        <v>58</v>
      </c>
      <c r="Z247" s="3" t="s">
        <v>374</v>
      </c>
      <c r="AA247" s="13" t="s">
        <v>59</v>
      </c>
      <c r="AB247" s="11" t="n">
        <v>4.99</v>
      </c>
    </row>
    <row r="248" customFormat="false" ht="16.4" hidden="false" customHeight="false" outlineLevel="0" collapsed="false">
      <c r="A248" s="3" t="n">
        <v>247</v>
      </c>
      <c r="B248" s="3" t="n">
        <v>15</v>
      </c>
      <c r="C248" s="3" t="s">
        <v>375</v>
      </c>
      <c r="D248" s="10" t="n">
        <v>25267</v>
      </c>
      <c r="E248" s="10" t="n">
        <f aca="false">ROUND(D248*INDEX(مناطق!$AF$2:$AF$23,B248),0)</f>
        <v>22143</v>
      </c>
      <c r="F248" s="11" t="n">
        <f aca="false">ROUND(100*(راهنما!$B$4*(H248-MIN($H$2:$H$350))/(MAX($H$2:$H$350)-MIN($H$2:$H$350))+راهنما!$B$5*(N248-MIN($N$2:$N$350))/(MAX($N$2:$N$350)-MIN($N$2:$N$350))+راهنما!$B$6*(J248-MIN($J$2:$J$350))/(MAX($J$2:$J$350)-MIN($J$2:$J$350))+راهنما!$B$7*(MAX($I$2:$I$350)-I248)/(MAX($I$2:$I$350)-MIN($I$2:$I$350)))/راهنما!$B$8,1)</f>
        <v>35.4</v>
      </c>
      <c r="G248" s="3" t="str">
        <f aca="false">IF(V248&lt;=ROUND(349*0.2,0),"بسیار بالا",IF(V248&lt;=ROUND(349*0.4,0),"بالا",IF(V248&lt;=ROUND(349*0.6,0),"متوسط",IF(V248&lt;=ROUND(349*0.8,0),"پایین","بسیار پایین"))))</f>
        <v>بسیار پایین</v>
      </c>
      <c r="H248" s="11" t="n">
        <f aca="false">(100-I248)*(100-L248)/100</f>
        <v>62.537769</v>
      </c>
      <c r="I248" s="11" t="n">
        <v>8.93</v>
      </c>
      <c r="J248" s="11" t="n">
        <v>34.76</v>
      </c>
      <c r="K248" s="11" t="n">
        <f aca="false">J248/(1-I248/100)</f>
        <v>38.1684418579115</v>
      </c>
      <c r="L248" s="11" t="n">
        <v>31.33</v>
      </c>
      <c r="M248" s="11" t="n">
        <v>26.29</v>
      </c>
      <c r="N248" s="11" t="n">
        <v>10.64</v>
      </c>
      <c r="O248" s="11" t="n">
        <v>9.5</v>
      </c>
      <c r="P248" s="10" t="n">
        <f aca="false">ROUND(E248*J248/100,0)</f>
        <v>7697</v>
      </c>
      <c r="Q248" s="10" t="n">
        <f aca="false">ROUND(P248*I248/(100-I248),0)</f>
        <v>755</v>
      </c>
      <c r="R248" s="10" t="n">
        <f aca="false">ROUND(P248*(100-L248)/100,0)</f>
        <v>5286</v>
      </c>
      <c r="S248" s="10" t="n">
        <f aca="false">ROUND(P248*M248/100,0)</f>
        <v>2024</v>
      </c>
      <c r="T248" s="11" t="n">
        <v>62.01</v>
      </c>
      <c r="U248" s="11" t="n">
        <v>63.09</v>
      </c>
      <c r="V248" s="3" t="n">
        <f aca="false">RANK(F248,$F$2:$F$350,0)</f>
        <v>313</v>
      </c>
      <c r="W248" s="12" t="n">
        <v>102.9</v>
      </c>
      <c r="X248" s="10" t="n">
        <v>87</v>
      </c>
      <c r="Y248" s="3" t="s">
        <v>58</v>
      </c>
      <c r="Z248" s="3" t="s">
        <v>375</v>
      </c>
      <c r="AA248" s="13" t="s">
        <v>59</v>
      </c>
      <c r="AB248" s="11" t="n">
        <v>4.8</v>
      </c>
    </row>
    <row r="249" customFormat="false" ht="16.4" hidden="false" customHeight="false" outlineLevel="0" collapsed="false">
      <c r="A249" s="3" t="n">
        <v>248</v>
      </c>
      <c r="B249" s="3" t="n">
        <v>15</v>
      </c>
      <c r="C249" s="3" t="s">
        <v>376</v>
      </c>
      <c r="D249" s="10" t="n">
        <v>40493</v>
      </c>
      <c r="E249" s="10" t="n">
        <f aca="false">ROUND(D249*INDEX(مناطق!$AF$2:$AF$23,B249),0)</f>
        <v>35486</v>
      </c>
      <c r="F249" s="11" t="n">
        <f aca="false">ROUND(100*(راهنما!$B$4*(H249-MIN($H$2:$H$350))/(MAX($H$2:$H$350)-MIN($H$2:$H$350))+راهنما!$B$5*(N249-MIN($N$2:$N$350))/(MAX($N$2:$N$350)-MIN($N$2:$N$350))+راهنما!$B$6*(J249-MIN($J$2:$J$350))/(MAX($J$2:$J$350)-MIN($J$2:$J$350))+راهنما!$B$7*(MAX($I$2:$I$350)-I249)/(MAX($I$2:$I$350)-MIN($I$2:$I$350)))/راهنما!$B$8,1)</f>
        <v>35.2</v>
      </c>
      <c r="G249" s="3" t="str">
        <f aca="false">IF(V249&lt;=ROUND(349*0.2,0),"بسیار بالا",IF(V249&lt;=ROUND(349*0.4,0),"بالا",IF(V249&lt;=ROUND(349*0.6,0),"متوسط",IF(V249&lt;=ROUND(349*0.8,0),"پایین","بسیار پایین"))))</f>
        <v>بسیار پایین</v>
      </c>
      <c r="H249" s="11" t="n">
        <f aca="false">(100-I249)*(100-L249)/100</f>
        <v>62.501341</v>
      </c>
      <c r="I249" s="11" t="n">
        <v>8.93</v>
      </c>
      <c r="J249" s="11" t="n">
        <v>34.76</v>
      </c>
      <c r="K249" s="11" t="n">
        <f aca="false">J249/(1-I249/100)</f>
        <v>38.1684418579115</v>
      </c>
      <c r="L249" s="11" t="n">
        <v>31.37</v>
      </c>
      <c r="M249" s="11" t="n">
        <v>26.29</v>
      </c>
      <c r="N249" s="11" t="n">
        <v>10.58</v>
      </c>
      <c r="O249" s="11" t="n">
        <v>9.52</v>
      </c>
      <c r="P249" s="10" t="n">
        <f aca="false">ROUND(E249*J249/100,0)</f>
        <v>12335</v>
      </c>
      <c r="Q249" s="10" t="n">
        <f aca="false">ROUND(P249*I249/(100-I249),0)</f>
        <v>1210</v>
      </c>
      <c r="R249" s="10" t="n">
        <f aca="false">ROUND(P249*(100-L249)/100,0)</f>
        <v>8466</v>
      </c>
      <c r="S249" s="10" t="n">
        <f aca="false">ROUND(P249*M249/100,0)</f>
        <v>3243</v>
      </c>
      <c r="T249" s="11" t="n">
        <v>61.96</v>
      </c>
      <c r="U249" s="11" t="n">
        <v>63.06</v>
      </c>
      <c r="V249" s="3" t="n">
        <f aca="false">RANK(F249,$F$2:$F$350,0)</f>
        <v>315</v>
      </c>
      <c r="W249" s="12" t="n">
        <v>106</v>
      </c>
      <c r="X249" s="10" t="n">
        <v>88</v>
      </c>
      <c r="Y249" s="3" t="s">
        <v>58</v>
      </c>
      <c r="Z249" s="3" t="s">
        <v>377</v>
      </c>
      <c r="AA249" s="13" t="s">
        <v>59</v>
      </c>
      <c r="AB249" s="11" t="n">
        <v>4.77</v>
      </c>
    </row>
    <row r="250" customFormat="false" ht="16.4" hidden="false" customHeight="false" outlineLevel="0" collapsed="false">
      <c r="A250" s="3" t="n">
        <v>249</v>
      </c>
      <c r="B250" s="3" t="n">
        <v>15</v>
      </c>
      <c r="C250" s="3" t="s">
        <v>378</v>
      </c>
      <c r="D250" s="10" t="n">
        <v>20492</v>
      </c>
      <c r="E250" s="10" t="n">
        <f aca="false">ROUND(D250*INDEX(مناطق!$AF$2:$AF$23,B250),0)</f>
        <v>17958</v>
      </c>
      <c r="F250" s="11" t="n">
        <f aca="false">ROUND(100*(راهنما!$B$4*(H250-MIN($H$2:$H$350))/(MAX($H$2:$H$350)-MIN($H$2:$H$350))+راهنما!$B$5*(N250-MIN($N$2:$N$350))/(MAX($N$2:$N$350)-MIN($N$2:$N$350))+راهنما!$B$6*(J250-MIN($J$2:$J$350))/(MAX($J$2:$J$350)-MIN($J$2:$J$350))+راهنما!$B$7*(MAX($I$2:$I$350)-I250)/(MAX($I$2:$I$350)-MIN($I$2:$I$350)))/راهنما!$B$8,1)</f>
        <v>35.1</v>
      </c>
      <c r="G250" s="3" t="str">
        <f aca="false">IF(V250&lt;=ROUND(349*0.2,0),"بسیار بالا",IF(V250&lt;=ROUND(349*0.4,0),"بالا",IF(V250&lt;=ROUND(349*0.6,0),"متوسط",IF(V250&lt;=ROUND(349*0.8,0),"پایین","بسیار پایین"))))</f>
        <v>بسیار پایین</v>
      </c>
      <c r="H250" s="11" t="n">
        <f aca="false">(100-I250)*(100-L250)/100</f>
        <v>62.446699</v>
      </c>
      <c r="I250" s="11" t="n">
        <v>8.93</v>
      </c>
      <c r="J250" s="11" t="n">
        <v>34.77</v>
      </c>
      <c r="K250" s="11" t="n">
        <f aca="false">J250/(1-I250/100)</f>
        <v>38.1794224223125</v>
      </c>
      <c r="L250" s="11" t="n">
        <v>31.43</v>
      </c>
      <c r="M250" s="11" t="n">
        <v>26.29</v>
      </c>
      <c r="N250" s="11" t="n">
        <v>10.49</v>
      </c>
      <c r="O250" s="11" t="n">
        <v>9.55</v>
      </c>
      <c r="P250" s="10" t="n">
        <f aca="false">ROUND(E250*J250/100,0)</f>
        <v>6244</v>
      </c>
      <c r="Q250" s="10" t="n">
        <f aca="false">ROUND(P250*I250/(100-I250),0)</f>
        <v>612</v>
      </c>
      <c r="R250" s="10" t="n">
        <f aca="false">ROUND(P250*(100-L250)/100,0)</f>
        <v>4282</v>
      </c>
      <c r="S250" s="10" t="n">
        <f aca="false">ROUND(P250*M250/100,0)</f>
        <v>1642</v>
      </c>
      <c r="T250" s="11" t="n">
        <v>61.88</v>
      </c>
      <c r="U250" s="11" t="n">
        <v>63.04</v>
      </c>
      <c r="V250" s="3" t="n">
        <f aca="false">RANK(F250,$F$2:$F$350,0)</f>
        <v>316</v>
      </c>
      <c r="W250" s="12" t="n">
        <v>103.1</v>
      </c>
      <c r="X250" s="10" t="n">
        <v>81</v>
      </c>
      <c r="Y250" s="3" t="s">
        <v>58</v>
      </c>
      <c r="Z250" s="3" t="s">
        <v>378</v>
      </c>
      <c r="AA250" s="13" t="s">
        <v>59</v>
      </c>
      <c r="AB250" s="11" t="n">
        <v>4.73</v>
      </c>
    </row>
    <row r="251" customFormat="false" ht="16.4" hidden="false" customHeight="false" outlineLevel="0" collapsed="false">
      <c r="A251" s="3" t="n">
        <v>250</v>
      </c>
      <c r="B251" s="3" t="n">
        <v>15</v>
      </c>
      <c r="C251" s="3" t="s">
        <v>379</v>
      </c>
      <c r="D251" s="10" t="n">
        <v>13967</v>
      </c>
      <c r="E251" s="10" t="n">
        <f aca="false">ROUND(D251*INDEX(مناطق!$AF$2:$AF$23,B251),0)</f>
        <v>12240</v>
      </c>
      <c r="F251" s="11" t="n">
        <f aca="false">ROUND(100*(راهنما!$B$4*(H251-MIN($H$2:$H$350))/(MAX($H$2:$H$350)-MIN($H$2:$H$350))+راهنما!$B$5*(N251-MIN($N$2:$N$350))/(MAX($N$2:$N$350)-MIN($N$2:$N$350))+راهنما!$B$6*(J251-MIN($J$2:$J$350))/(MAX($J$2:$J$350)-MIN($J$2:$J$350))+راهنما!$B$7*(MAX($I$2:$I$350)-I251)/(MAX($I$2:$I$350)-MIN($I$2:$I$350)))/راهنما!$B$8,1)</f>
        <v>32.9</v>
      </c>
      <c r="G251" s="3" t="str">
        <f aca="false">IF(V251&lt;=ROUND(349*0.2,0),"بسیار بالا",IF(V251&lt;=ROUND(349*0.4,0),"بالا",IF(V251&lt;=ROUND(349*0.6,0),"متوسط",IF(V251&lt;=ROUND(349*0.8,0),"پایین","بسیار پایین"))))</f>
        <v>بسیار پایین</v>
      </c>
      <c r="H251" s="11" t="n">
        <f aca="false">(100-I251)*(100-L251)/100</f>
        <v>61.499571</v>
      </c>
      <c r="I251" s="11" t="n">
        <v>8.93</v>
      </c>
      <c r="J251" s="11" t="n">
        <v>34.92</v>
      </c>
      <c r="K251" s="11" t="n">
        <f aca="false">J251/(1-I251/100)</f>
        <v>38.3441308883277</v>
      </c>
      <c r="L251" s="11" t="n">
        <v>32.47</v>
      </c>
      <c r="M251" s="11" t="n">
        <v>26.29</v>
      </c>
      <c r="N251" s="11" t="n">
        <v>9.01</v>
      </c>
      <c r="O251" s="11" t="n">
        <v>10.08</v>
      </c>
      <c r="P251" s="10" t="n">
        <f aca="false">ROUND(E251*J251/100,0)</f>
        <v>4274</v>
      </c>
      <c r="Q251" s="10" t="n">
        <f aca="false">ROUND(P251*I251/(100-I251),0)</f>
        <v>419</v>
      </c>
      <c r="R251" s="10" t="n">
        <f aca="false">ROUND(P251*(100-L251)/100,0)</f>
        <v>2886</v>
      </c>
      <c r="S251" s="10" t="n">
        <f aca="false">ROUND(P251*M251/100,0)</f>
        <v>1124</v>
      </c>
      <c r="T251" s="11" t="n">
        <v>60.52</v>
      </c>
      <c r="U251" s="11" t="n">
        <v>62.49</v>
      </c>
      <c r="V251" s="3" t="n">
        <f aca="false">RANK(F251,$F$2:$F$350,0)</f>
        <v>324</v>
      </c>
      <c r="W251" s="12" t="n">
        <v>97.2</v>
      </c>
      <c r="X251" s="10" t="n">
        <v>99</v>
      </c>
      <c r="Y251" s="3" t="s">
        <v>58</v>
      </c>
      <c r="Z251" s="3" t="s">
        <v>380</v>
      </c>
      <c r="AA251" s="13" t="s">
        <v>59</v>
      </c>
      <c r="AB251" s="11" t="n">
        <v>4.06</v>
      </c>
    </row>
    <row r="252" customFormat="false" ht="16.4" hidden="false" customHeight="false" outlineLevel="0" collapsed="false">
      <c r="A252" s="3" t="n">
        <v>251</v>
      </c>
      <c r="B252" s="3" t="n">
        <v>15</v>
      </c>
      <c r="C252" s="3" t="s">
        <v>342</v>
      </c>
      <c r="D252" s="10" t="n">
        <v>65826</v>
      </c>
      <c r="E252" s="10" t="n">
        <f aca="false">ROUND(D252*INDEX(مناطق!$AF$2:$AF$23,B252),0)</f>
        <v>57687</v>
      </c>
      <c r="F252" s="11" t="n">
        <f aca="false">ROUND(100*(راهنما!$B$4*(H252-MIN($H$2:$H$350))/(MAX($H$2:$H$350)-MIN($H$2:$H$350))+راهنما!$B$5*(N252-MIN($N$2:$N$350))/(MAX($N$2:$N$350)-MIN($N$2:$N$350))+راهنما!$B$6*(J252-MIN($J$2:$J$350))/(MAX($J$2:$J$350)-MIN($J$2:$J$350))+راهنما!$B$7*(MAX($I$2:$I$350)-I252)/(MAX($I$2:$I$350)-MIN($I$2:$I$350)))/راهنما!$B$8,1)</f>
        <v>28.5</v>
      </c>
      <c r="G252" s="3" t="str">
        <f aca="false">IF(V252&lt;=ROUND(349*0.2,0),"بسیار بالا",IF(V252&lt;=ROUND(349*0.4,0),"بالا",IF(V252&lt;=ROUND(349*0.6,0),"متوسط",IF(V252&lt;=ROUND(349*0.8,0),"پایین","بسیار پایین"))))</f>
        <v>بسیار پایین</v>
      </c>
      <c r="H252" s="11" t="n">
        <f aca="false">(100-I252)*(100-L252)/100</f>
        <v>59.577994</v>
      </c>
      <c r="I252" s="11" t="n">
        <v>8.93</v>
      </c>
      <c r="J252" s="11" t="n">
        <v>35.21</v>
      </c>
      <c r="K252" s="11" t="n">
        <f aca="false">J252/(1-I252/100)</f>
        <v>38.662567255957</v>
      </c>
      <c r="L252" s="11" t="n">
        <v>34.58</v>
      </c>
      <c r="M252" s="11" t="n">
        <v>26.29</v>
      </c>
      <c r="N252" s="11" t="n">
        <v>6.62</v>
      </c>
      <c r="O252" s="11" t="n">
        <v>11.21</v>
      </c>
      <c r="P252" s="10" t="n">
        <f aca="false">ROUND(E252*J252/100,0)</f>
        <v>20312</v>
      </c>
      <c r="Q252" s="10" t="n">
        <f aca="false">ROUND(P252*I252/(100-I252),0)</f>
        <v>1992</v>
      </c>
      <c r="R252" s="10" t="n">
        <f aca="false">ROUND(P252*(100-L252)/100,0)</f>
        <v>13288</v>
      </c>
      <c r="S252" s="10" t="n">
        <f aca="false">ROUND(P252*M252/100,0)</f>
        <v>5340</v>
      </c>
      <c r="T252" s="11" t="n">
        <v>57.74</v>
      </c>
      <c r="U252" s="11" t="n">
        <v>61.4</v>
      </c>
      <c r="V252" s="3" t="n">
        <f aca="false">RANK(F252,$F$2:$F$350,0)</f>
        <v>341</v>
      </c>
      <c r="W252" s="12" t="n">
        <v>74.7</v>
      </c>
      <c r="X252" s="10" t="n">
        <v>46</v>
      </c>
      <c r="Y252" s="3" t="s">
        <v>67</v>
      </c>
      <c r="Z252" s="3" t="s">
        <v>381</v>
      </c>
      <c r="AA252" s="13" t="s">
        <v>59</v>
      </c>
      <c r="AB252" s="11" t="n">
        <v>2.99</v>
      </c>
    </row>
    <row r="253" customFormat="false" ht="16.4" hidden="false" customHeight="false" outlineLevel="0" collapsed="false">
      <c r="A253" s="3" t="n">
        <v>252</v>
      </c>
      <c r="B253" s="3" t="n">
        <v>16</v>
      </c>
      <c r="C253" s="3" t="s">
        <v>382</v>
      </c>
      <c r="D253" s="10" t="n">
        <v>44318</v>
      </c>
      <c r="E253" s="10" t="n">
        <f aca="false">ROUND(D253*INDEX(مناطق!$AF$2:$AF$23,B253),0)</f>
        <v>38418</v>
      </c>
      <c r="F253" s="11" t="n">
        <f aca="false">ROUND(100*(راهنما!$B$4*(H253-MIN($H$2:$H$350))/(MAX($H$2:$H$350)-MIN($H$2:$H$350))+راهنما!$B$5*(N253-MIN($N$2:$N$350))/(MAX($N$2:$N$350)-MIN($N$2:$N$350))+راهنما!$B$6*(J253-MIN($J$2:$J$350))/(MAX($J$2:$J$350)-MIN($J$2:$J$350))+راهنما!$B$7*(MAX($I$2:$I$350)-I253)/(MAX($I$2:$I$350)-MIN($I$2:$I$350)))/راهنما!$B$8,1)</f>
        <v>34.6</v>
      </c>
      <c r="G253" s="3" t="str">
        <f aca="false">IF(V253&lt;=ROUND(349*0.2,0),"بسیار بالا",IF(V253&lt;=ROUND(349*0.4,0),"بالا",IF(V253&lt;=ROUND(349*0.6,0),"متوسط",IF(V253&lt;=ROUND(349*0.8,0),"پایین","بسیار پایین"))))</f>
        <v>بسیار پایین</v>
      </c>
      <c r="H253" s="11" t="n">
        <f aca="false">(100-I253)*(100-L253)/100</f>
        <v>66.109754</v>
      </c>
      <c r="I253" s="11" t="n">
        <v>10.59</v>
      </c>
      <c r="J253" s="11" t="n">
        <v>32.24</v>
      </c>
      <c r="K253" s="11" t="n">
        <f aca="false">J253/(1-I253/100)</f>
        <v>36.0586064198636</v>
      </c>
      <c r="L253" s="11" t="n">
        <v>26.06</v>
      </c>
      <c r="M253" s="11" t="n">
        <v>32.53</v>
      </c>
      <c r="N253" s="11" t="n">
        <v>22.89</v>
      </c>
      <c r="O253" s="11" t="n">
        <v>7.12</v>
      </c>
      <c r="P253" s="10" t="n">
        <f aca="false">ROUND(E253*J253/100,0)</f>
        <v>12386</v>
      </c>
      <c r="Q253" s="10" t="n">
        <f aca="false">ROUND(P253*I253/(100-I253),0)</f>
        <v>1467</v>
      </c>
      <c r="R253" s="10" t="n">
        <f aca="false">ROUND(P253*(100-L253)/100,0)</f>
        <v>9158</v>
      </c>
      <c r="S253" s="10" t="n">
        <f aca="false">ROUND(P253*M253/100,0)</f>
        <v>4029</v>
      </c>
      <c r="T253" s="11" t="n">
        <v>65.21</v>
      </c>
      <c r="U253" s="11" t="n">
        <v>66.98</v>
      </c>
      <c r="V253" s="3" t="n">
        <f aca="false">RANK(F253,$F$2:$F$350,0)</f>
        <v>319</v>
      </c>
      <c r="W253" s="12" t="n">
        <v>187.5</v>
      </c>
      <c r="X253" s="10" t="n">
        <v>81</v>
      </c>
      <c r="Y253" s="3" t="s">
        <v>58</v>
      </c>
      <c r="Z253" s="3" t="s">
        <v>383</v>
      </c>
      <c r="AA253" s="13" t="s">
        <v>59</v>
      </c>
      <c r="AB253" s="11" t="n">
        <v>9.99</v>
      </c>
    </row>
    <row r="254" customFormat="false" ht="16.4" hidden="false" customHeight="false" outlineLevel="0" collapsed="false">
      <c r="A254" s="3" t="n">
        <v>253</v>
      </c>
      <c r="B254" s="3" t="n">
        <v>16</v>
      </c>
      <c r="C254" s="3" t="s">
        <v>384</v>
      </c>
      <c r="D254" s="10" t="n">
        <v>50397</v>
      </c>
      <c r="E254" s="10" t="n">
        <f aca="false">ROUND(D254*INDEX(مناطق!$AF$2:$AF$23,B254),0)</f>
        <v>43687</v>
      </c>
      <c r="F254" s="11" t="n">
        <f aca="false">ROUND(100*(راهنما!$B$4*(H254-MIN($H$2:$H$350))/(MAX($H$2:$H$350)-MIN($H$2:$H$350))+راهنما!$B$5*(N254-MIN($N$2:$N$350))/(MAX($N$2:$N$350)-MIN($N$2:$N$350))+راهنما!$B$6*(J254-MIN($J$2:$J$350))/(MAX($J$2:$J$350)-MIN($J$2:$J$350))+راهنما!$B$7*(MAX($I$2:$I$350)-I254)/(MAX($I$2:$I$350)-MIN($I$2:$I$350)))/راهنما!$B$8,1)</f>
        <v>31.4</v>
      </c>
      <c r="G254" s="3" t="str">
        <f aca="false">IF(V254&lt;=ROUND(349*0.2,0),"بسیار بالا",IF(V254&lt;=ROUND(349*0.4,0),"بالا",IF(V254&lt;=ROUND(349*0.6,0),"متوسط",IF(V254&lt;=ROUND(349*0.8,0),"پایین","بسیار پایین"))))</f>
        <v>بسیار پایین</v>
      </c>
      <c r="H254" s="11" t="n">
        <f aca="false">(100-I254)*(100-L254)/100</f>
        <v>65.108362</v>
      </c>
      <c r="I254" s="11" t="n">
        <v>10.59</v>
      </c>
      <c r="J254" s="11" t="n">
        <v>32.41</v>
      </c>
      <c r="K254" s="11" t="n">
        <f aca="false">J254/(1-I254/100)</f>
        <v>36.2487417514819</v>
      </c>
      <c r="L254" s="11" t="n">
        <v>27.18</v>
      </c>
      <c r="M254" s="11" t="n">
        <v>32.53</v>
      </c>
      <c r="N254" s="11" t="n">
        <v>19.54</v>
      </c>
      <c r="O254" s="11" t="n">
        <v>7.61</v>
      </c>
      <c r="P254" s="10" t="n">
        <f aca="false">ROUND(E254*J254/100,0)</f>
        <v>14159</v>
      </c>
      <c r="Q254" s="10" t="n">
        <f aca="false">ROUND(P254*I254/(100-I254),0)</f>
        <v>1677</v>
      </c>
      <c r="R254" s="10" t="n">
        <f aca="false">ROUND(P254*(100-L254)/100,0)</f>
        <v>10311</v>
      </c>
      <c r="S254" s="10" t="n">
        <f aca="false">ROUND(P254*M254/100,0)</f>
        <v>4606</v>
      </c>
      <c r="T254" s="11" t="n">
        <v>64.62</v>
      </c>
      <c r="U254" s="11" t="n">
        <v>65.6</v>
      </c>
      <c r="V254" s="3" t="n">
        <f aca="false">RANK(F254,$F$2:$F$350,0)</f>
        <v>329</v>
      </c>
      <c r="W254" s="12" t="n">
        <v>158.6</v>
      </c>
      <c r="X254" s="10" t="n">
        <v>67</v>
      </c>
      <c r="Y254" s="3" t="s">
        <v>67</v>
      </c>
      <c r="Z254" s="3" t="s">
        <v>385</v>
      </c>
      <c r="AA254" s="13" t="s">
        <v>59</v>
      </c>
      <c r="AB254" s="11" t="n">
        <v>8.41</v>
      </c>
    </row>
    <row r="255" customFormat="false" ht="16.4" hidden="false" customHeight="false" outlineLevel="0" collapsed="false">
      <c r="A255" s="3" t="n">
        <v>254</v>
      </c>
      <c r="B255" s="3" t="n">
        <v>16</v>
      </c>
      <c r="C255" s="3" t="s">
        <v>314</v>
      </c>
      <c r="D255" s="10" t="n">
        <v>18517</v>
      </c>
      <c r="E255" s="10" t="n">
        <f aca="false">ROUND(D255*INDEX(مناطق!$AF$2:$AF$23,B255),0)</f>
        <v>16052</v>
      </c>
      <c r="F255" s="11" t="n">
        <f aca="false">ROUND(100*(راهنما!$B$4*(H255-MIN($H$2:$H$350))/(MAX($H$2:$H$350)-MIN($H$2:$H$350))+راهنما!$B$5*(N255-MIN($N$2:$N$350))/(MAX($N$2:$N$350)-MIN($N$2:$N$350))+راهنما!$B$6*(J255-MIN($J$2:$J$350))/(MAX($J$2:$J$350)-MIN($J$2:$J$350))+راهنما!$B$7*(MAX($I$2:$I$350)-I255)/(MAX($I$2:$I$350)-MIN($I$2:$I$350)))/راهنما!$B$8,1)</f>
        <v>31.1</v>
      </c>
      <c r="G255" s="3" t="str">
        <f aca="false">IF(V255&lt;=ROUND(349*0.2,0),"بسیار بالا",IF(V255&lt;=ROUND(349*0.4,0),"بالا",IF(V255&lt;=ROUND(349*0.6,0),"متوسط",IF(V255&lt;=ROUND(349*0.8,0),"پایین","بسیار پایین"))))</f>
        <v>بسیار پایین</v>
      </c>
      <c r="H255" s="11" t="n">
        <f aca="false">(100-I255)*(100-L255)/100</f>
        <v>65.018952</v>
      </c>
      <c r="I255" s="11" t="n">
        <v>10.59</v>
      </c>
      <c r="J255" s="11" t="n">
        <v>32.42</v>
      </c>
      <c r="K255" s="11" t="n">
        <f aca="false">J255/(1-I255/100)</f>
        <v>36.2599261827536</v>
      </c>
      <c r="L255" s="11" t="n">
        <v>27.28</v>
      </c>
      <c r="M255" s="11" t="n">
        <v>32.53</v>
      </c>
      <c r="N255" s="11" t="n">
        <v>19.26</v>
      </c>
      <c r="O255" s="11" t="n">
        <v>7.65</v>
      </c>
      <c r="P255" s="10" t="n">
        <f aca="false">ROUND(E255*J255/100,0)</f>
        <v>5204</v>
      </c>
      <c r="Q255" s="10" t="n">
        <f aca="false">ROUND(P255*I255/(100-I255),0)</f>
        <v>616</v>
      </c>
      <c r="R255" s="10" t="n">
        <f aca="false">ROUND(P255*(100-L255)/100,0)</f>
        <v>3784</v>
      </c>
      <c r="S255" s="10" t="n">
        <f aca="false">ROUND(P255*M255/100,0)</f>
        <v>1693</v>
      </c>
      <c r="T255" s="11" t="n">
        <v>64.57</v>
      </c>
      <c r="U255" s="11" t="n">
        <v>65.48</v>
      </c>
      <c r="V255" s="3" t="n">
        <f aca="false">RANK(F255,$F$2:$F$350,0)</f>
        <v>331</v>
      </c>
      <c r="W255" s="12" t="n">
        <v>161.9</v>
      </c>
      <c r="X255" s="10" t="n">
        <v>71</v>
      </c>
      <c r="Y255" s="3" t="s">
        <v>58</v>
      </c>
      <c r="Z255" s="3" t="s">
        <v>314</v>
      </c>
      <c r="AA255" s="13" t="s">
        <v>59</v>
      </c>
      <c r="AB255" s="11" t="n">
        <v>8.28</v>
      </c>
    </row>
    <row r="256" customFormat="false" ht="16.4" hidden="false" customHeight="false" outlineLevel="0" collapsed="false">
      <c r="A256" s="3" t="n">
        <v>255</v>
      </c>
      <c r="B256" s="3" t="n">
        <v>16</v>
      </c>
      <c r="C256" s="3" t="s">
        <v>386</v>
      </c>
      <c r="D256" s="10" t="n">
        <v>10224</v>
      </c>
      <c r="E256" s="10" t="n">
        <f aca="false">ROUND(D256*INDEX(مناطق!$AF$2:$AF$23,B256),0)</f>
        <v>8863</v>
      </c>
      <c r="F256" s="11" t="n">
        <f aca="false">ROUND(100*(راهنما!$B$4*(H256-MIN($H$2:$H$350))/(MAX($H$2:$H$350)-MIN($H$2:$H$350))+راهنما!$B$5*(N256-MIN($N$2:$N$350))/(MAX($N$2:$N$350)-MIN($N$2:$N$350))+راهنما!$B$6*(J256-MIN($J$2:$J$350))/(MAX($J$2:$J$350)-MIN($J$2:$J$350))+راهنما!$B$7*(MAX($I$2:$I$350)-I256)/(MAX($I$2:$I$350)-MIN($I$2:$I$350)))/راهنما!$B$8,1)</f>
        <v>28</v>
      </c>
      <c r="G256" s="3" t="str">
        <f aca="false">IF(V256&lt;=ROUND(349*0.2,0),"بسیار بالا",IF(V256&lt;=ROUND(349*0.4,0),"بالا",IF(V256&lt;=ROUND(349*0.6,0),"متوسط",IF(V256&lt;=ROUND(349*0.8,0),"پایین","بسیار پایین"))))</f>
        <v>بسیار پایین</v>
      </c>
      <c r="H256" s="11" t="n">
        <f aca="false">(100-I256)*(100-L256)/100</f>
        <v>63.963914</v>
      </c>
      <c r="I256" s="11" t="n">
        <v>10.59</v>
      </c>
      <c r="J256" s="11" t="n">
        <v>32.6</v>
      </c>
      <c r="K256" s="11" t="n">
        <f aca="false">J256/(1-I256/100)</f>
        <v>36.4612459456437</v>
      </c>
      <c r="L256" s="11" t="n">
        <v>28.46</v>
      </c>
      <c r="M256" s="11" t="n">
        <v>32.53</v>
      </c>
      <c r="N256" s="11" t="n">
        <v>16.23</v>
      </c>
      <c r="O256" s="11" t="n">
        <v>8.19</v>
      </c>
      <c r="P256" s="10" t="n">
        <f aca="false">ROUND(E256*J256/100,0)</f>
        <v>2889</v>
      </c>
      <c r="Q256" s="10" t="n">
        <f aca="false">ROUND(P256*I256/(100-I256),0)</f>
        <v>342</v>
      </c>
      <c r="R256" s="10" t="n">
        <f aca="false">ROUND(P256*(100-L256)/100,0)</f>
        <v>2067</v>
      </c>
      <c r="S256" s="10" t="n">
        <f aca="false">ROUND(P256*M256/100,0)</f>
        <v>940</v>
      </c>
      <c r="T256" s="11" t="n">
        <v>63.95</v>
      </c>
      <c r="U256" s="11" t="n">
        <v>63.99</v>
      </c>
      <c r="V256" s="3" t="n">
        <f aca="false">RANK(F256,$F$2:$F$350,0)</f>
        <v>342</v>
      </c>
      <c r="W256" s="12"/>
      <c r="X256" s="10" t="n">
        <v>0</v>
      </c>
      <c r="Y256" s="3" t="s">
        <v>77</v>
      </c>
      <c r="Z256" s="13" t="s">
        <v>78</v>
      </c>
      <c r="AA256" s="13" t="s">
        <v>79</v>
      </c>
      <c r="AB256" s="11" t="n">
        <v>6.91</v>
      </c>
    </row>
    <row r="257" customFormat="false" ht="16.4" hidden="false" customHeight="false" outlineLevel="0" collapsed="false">
      <c r="A257" s="3" t="n">
        <v>256</v>
      </c>
      <c r="B257" s="3" t="n">
        <v>16</v>
      </c>
      <c r="C257" s="3" t="s">
        <v>387</v>
      </c>
      <c r="D257" s="10" t="n">
        <v>38015</v>
      </c>
      <c r="E257" s="10" t="n">
        <f aca="false">ROUND(D257*INDEX(مناطق!$AF$2:$AF$23,B257),0)</f>
        <v>32954</v>
      </c>
      <c r="F257" s="11" t="n">
        <f aca="false">ROUND(100*(راهنما!$B$4*(H257-MIN($H$2:$H$350))/(MAX($H$2:$H$350)-MIN($H$2:$H$350))+راهنما!$B$5*(N257-MIN($N$2:$N$350))/(MAX($N$2:$N$350)-MIN($N$2:$N$350))+راهنما!$B$6*(J257-MIN($J$2:$J$350))/(MAX($J$2:$J$350)-MIN($J$2:$J$350))+راهنما!$B$7*(MAX($I$2:$I$350)-I257)/(MAX($I$2:$I$350)-MIN($I$2:$I$350)))/راهنما!$B$8,1)</f>
        <v>25.7</v>
      </c>
      <c r="G257" s="3" t="str">
        <f aca="false">IF(V257&lt;=ROUND(349*0.2,0),"بسیار بالا",IF(V257&lt;=ROUND(349*0.4,0),"بالا",IF(V257&lt;=ROUND(349*0.6,0),"متوسط",IF(V257&lt;=ROUND(349*0.8,0),"پایین","بسیار پایین"))))</f>
        <v>بسیار پایین</v>
      </c>
      <c r="H257" s="11" t="n">
        <f aca="false">(100-I257)*(100-L257)/100</f>
        <v>63.132401</v>
      </c>
      <c r="I257" s="11" t="n">
        <v>10.59</v>
      </c>
      <c r="J257" s="11" t="n">
        <v>32.73</v>
      </c>
      <c r="K257" s="11" t="n">
        <f aca="false">J257/(1-I257/100)</f>
        <v>36.6066435521754</v>
      </c>
      <c r="L257" s="11" t="n">
        <v>29.39</v>
      </c>
      <c r="M257" s="11" t="n">
        <v>32.53</v>
      </c>
      <c r="N257" s="11" t="n">
        <v>14.17</v>
      </c>
      <c r="O257" s="11" t="n">
        <v>8.63</v>
      </c>
      <c r="P257" s="10" t="n">
        <f aca="false">ROUND(E257*J257/100,0)</f>
        <v>10786</v>
      </c>
      <c r="Q257" s="10" t="n">
        <f aca="false">ROUND(P257*I257/(100-I257),0)</f>
        <v>1278</v>
      </c>
      <c r="R257" s="10" t="n">
        <f aca="false">ROUND(P257*(100-L257)/100,0)</f>
        <v>7616</v>
      </c>
      <c r="S257" s="10" t="n">
        <f aca="false">ROUND(P257*M257/100,0)</f>
        <v>3509</v>
      </c>
      <c r="T257" s="11" t="n">
        <v>62.81</v>
      </c>
      <c r="U257" s="11" t="n">
        <v>63.47</v>
      </c>
      <c r="V257" s="3" t="n">
        <f aca="false">RANK(F257,$F$2:$F$350,0)</f>
        <v>344</v>
      </c>
      <c r="W257" s="12" t="n">
        <v>130.4</v>
      </c>
      <c r="X257" s="10" t="n">
        <v>84</v>
      </c>
      <c r="Y257" s="3" t="s">
        <v>58</v>
      </c>
      <c r="Z257" s="3" t="s">
        <v>387</v>
      </c>
      <c r="AA257" s="13" t="s">
        <v>59</v>
      </c>
      <c r="AB257" s="11" t="n">
        <v>6</v>
      </c>
    </row>
    <row r="258" customFormat="false" ht="16.4" hidden="false" customHeight="false" outlineLevel="0" collapsed="false">
      <c r="A258" s="3" t="n">
        <v>257</v>
      </c>
      <c r="B258" s="3" t="n">
        <v>16</v>
      </c>
      <c r="C258" s="3" t="s">
        <v>166</v>
      </c>
      <c r="D258" s="10" t="n">
        <v>48252</v>
      </c>
      <c r="E258" s="10" t="n">
        <f aca="false">ROUND(D258*INDEX(مناطق!$AF$2:$AF$23,B258),0)</f>
        <v>41828</v>
      </c>
      <c r="F258" s="11" t="n">
        <f aca="false">ROUND(100*(راهنما!$B$4*(H258-MIN($H$2:$H$350))/(MAX($H$2:$H$350)-MIN($H$2:$H$350))+راهنما!$B$5*(N258-MIN($N$2:$N$350))/(MAX($N$2:$N$350)-MIN($N$2:$N$350))+راهنما!$B$6*(J258-MIN($J$2:$J$350))/(MAX($J$2:$J$350)-MIN($J$2:$J$350))+راهنما!$B$7*(MAX($I$2:$I$350)-I258)/(MAX($I$2:$I$350)-MIN($I$2:$I$350)))/راهنما!$B$8,1)</f>
        <v>25.1</v>
      </c>
      <c r="G258" s="3" t="str">
        <f aca="false">IF(V258&lt;=ROUND(349*0.2,0),"بسیار بالا",IF(V258&lt;=ROUND(349*0.4,0),"بالا",IF(V258&lt;=ROUND(349*0.6,0),"متوسط",IF(V258&lt;=ROUND(349*0.8,0),"پایین","بسیار پایین"))))</f>
        <v>بسیار پایین</v>
      </c>
      <c r="H258" s="11" t="n">
        <f aca="false">(100-I258)*(100-L258)/100</f>
        <v>62.917817</v>
      </c>
      <c r="I258" s="11" t="n">
        <v>10.59</v>
      </c>
      <c r="J258" s="11" t="n">
        <v>32.77</v>
      </c>
      <c r="K258" s="11" t="n">
        <f aca="false">J258/(1-I258/100)</f>
        <v>36.6513812772621</v>
      </c>
      <c r="L258" s="11" t="n">
        <v>29.63</v>
      </c>
      <c r="M258" s="11" t="n">
        <v>32.53</v>
      </c>
      <c r="N258" s="11" t="n">
        <v>13.67</v>
      </c>
      <c r="O258" s="11" t="n">
        <v>8.74</v>
      </c>
      <c r="P258" s="10" t="n">
        <f aca="false">ROUND(E258*J258/100,0)</f>
        <v>13707</v>
      </c>
      <c r="Q258" s="10" t="n">
        <f aca="false">ROUND(P258*I258/(100-I258),0)</f>
        <v>1623</v>
      </c>
      <c r="R258" s="10" t="n">
        <f aca="false">ROUND(P258*(100-L258)/100,0)</f>
        <v>9646</v>
      </c>
      <c r="S258" s="10" t="n">
        <f aca="false">ROUND(P258*M258/100,0)</f>
        <v>4459</v>
      </c>
      <c r="T258" s="11" t="n">
        <v>62.49</v>
      </c>
      <c r="U258" s="11" t="n">
        <v>63.34</v>
      </c>
      <c r="V258" s="3" t="n">
        <f aca="false">RANK(F258,$F$2:$F$350,0)</f>
        <v>346</v>
      </c>
      <c r="W258" s="12" t="n">
        <v>117.3</v>
      </c>
      <c r="X258" s="10" t="n">
        <v>77</v>
      </c>
      <c r="Y258" s="3" t="s">
        <v>67</v>
      </c>
      <c r="Z258" s="3" t="s">
        <v>166</v>
      </c>
      <c r="AA258" s="13" t="s">
        <v>59</v>
      </c>
      <c r="AB258" s="11" t="n">
        <v>5.78</v>
      </c>
    </row>
    <row r="259" customFormat="false" ht="16.4" hidden="false" customHeight="false" outlineLevel="0" collapsed="false">
      <c r="A259" s="3" t="n">
        <v>258</v>
      </c>
      <c r="B259" s="3" t="n">
        <v>16</v>
      </c>
      <c r="C259" s="3" t="s">
        <v>388</v>
      </c>
      <c r="D259" s="10" t="n">
        <v>30345</v>
      </c>
      <c r="E259" s="10" t="n">
        <f aca="false">ROUND(D259*INDEX(مناطق!$AF$2:$AF$23,B259),0)</f>
        <v>26305</v>
      </c>
      <c r="F259" s="11" t="n">
        <f aca="false">ROUND(100*(راهنما!$B$4*(H259-MIN($H$2:$H$350))/(MAX($H$2:$H$350)-MIN($H$2:$H$350))+راهنما!$B$5*(N259-MIN($N$2:$N$350))/(MAX($N$2:$N$350)-MIN($N$2:$N$350))+راهنما!$B$6*(J259-MIN($J$2:$J$350))/(MAX($J$2:$J$350)-MIN($J$2:$J$350))+راهنما!$B$7*(MAX($I$2:$I$350)-I259)/(MAX($I$2:$I$350)-MIN($I$2:$I$350)))/راهنما!$B$8,1)</f>
        <v>24.1</v>
      </c>
      <c r="G259" s="3" t="str">
        <f aca="false">IF(V259&lt;=ROUND(349*0.2,0),"بسیار بالا",IF(V259&lt;=ROUND(349*0.4,0),"بالا",IF(V259&lt;=ROUND(349*0.6,0),"متوسط",IF(V259&lt;=ROUND(349*0.8,0),"پایین","بسیار پایین"))))</f>
        <v>بسیار پایین</v>
      </c>
      <c r="H259" s="11" t="n">
        <f aca="false">(100-I259)*(100-L259)/100</f>
        <v>62.524413</v>
      </c>
      <c r="I259" s="11" t="n">
        <v>10.59</v>
      </c>
      <c r="J259" s="11" t="n">
        <v>32.83</v>
      </c>
      <c r="K259" s="11" t="n">
        <f aca="false">J259/(1-I259/100)</f>
        <v>36.7184878648921</v>
      </c>
      <c r="L259" s="11" t="n">
        <v>30.07</v>
      </c>
      <c r="M259" s="11" t="n">
        <v>32.53</v>
      </c>
      <c r="N259" s="11" t="n">
        <v>12.82</v>
      </c>
      <c r="O259" s="11" t="n">
        <v>8.96</v>
      </c>
      <c r="P259" s="10" t="n">
        <f aca="false">ROUND(E259*J259/100,0)</f>
        <v>8636</v>
      </c>
      <c r="Q259" s="10" t="n">
        <f aca="false">ROUND(P259*I259/(100-I259),0)</f>
        <v>1023</v>
      </c>
      <c r="R259" s="10" t="n">
        <f aca="false">ROUND(P259*(100-L259)/100,0)</f>
        <v>6039</v>
      </c>
      <c r="S259" s="10" t="n">
        <f aca="false">ROUND(P259*M259/100,0)</f>
        <v>2809</v>
      </c>
      <c r="T259" s="11" t="n">
        <v>61.92</v>
      </c>
      <c r="U259" s="11" t="n">
        <v>63.11</v>
      </c>
      <c r="V259" s="3" t="n">
        <f aca="false">RANK(F259,$F$2:$F$350,0)</f>
        <v>347</v>
      </c>
      <c r="W259" s="12" t="n">
        <v>122.5</v>
      </c>
      <c r="X259" s="10" t="n">
        <v>72</v>
      </c>
      <c r="Y259" s="3" t="s">
        <v>67</v>
      </c>
      <c r="Z259" s="3" t="s">
        <v>389</v>
      </c>
      <c r="AA259" s="13" t="s">
        <v>59</v>
      </c>
      <c r="AB259" s="11" t="n">
        <v>5.4</v>
      </c>
    </row>
    <row r="260" customFormat="false" ht="16.4" hidden="false" customHeight="false" outlineLevel="0" collapsed="false">
      <c r="A260" s="3" t="n">
        <v>259</v>
      </c>
      <c r="B260" s="3" t="n">
        <v>16</v>
      </c>
      <c r="C260" s="3" t="s">
        <v>390</v>
      </c>
      <c r="D260" s="10" t="n">
        <v>17410</v>
      </c>
      <c r="E260" s="10" t="n">
        <f aca="false">ROUND(D260*INDEX(مناطق!$AF$2:$AF$23,B260),0)</f>
        <v>15092</v>
      </c>
      <c r="F260" s="11" t="n">
        <f aca="false">ROUND(100*(راهنما!$B$4*(H260-MIN($H$2:$H$350))/(MAX($H$2:$H$350)-MIN($H$2:$H$350))+راهنما!$B$5*(N260-MIN($N$2:$N$350))/(MAX($N$2:$N$350)-MIN($N$2:$N$350))+راهنما!$B$6*(J260-MIN($J$2:$J$350))/(MAX($J$2:$J$350)-MIN($J$2:$J$350))+راهنما!$B$7*(MAX($I$2:$I$350)-I260)/(MAX($I$2:$I$350)-MIN($I$2:$I$350)))/راهنما!$B$8,1)</f>
        <v>24.1</v>
      </c>
      <c r="G260" s="3" t="str">
        <f aca="false">IF(V260&lt;=ROUND(349*0.2,0),"بسیار بالا",IF(V260&lt;=ROUND(349*0.4,0),"بالا",IF(V260&lt;=ROUND(349*0.6,0),"متوسط",IF(V260&lt;=ROUND(349*0.8,0),"پایین","بسیار پایین"))))</f>
        <v>بسیار پایین</v>
      </c>
      <c r="H260" s="11" t="n">
        <f aca="false">(100-I260)*(100-L260)/100</f>
        <v>62.524413</v>
      </c>
      <c r="I260" s="11" t="n">
        <v>10.59</v>
      </c>
      <c r="J260" s="11" t="n">
        <v>32.83</v>
      </c>
      <c r="K260" s="11" t="n">
        <f aca="false">J260/(1-I260/100)</f>
        <v>36.7184878648921</v>
      </c>
      <c r="L260" s="11" t="n">
        <v>30.07</v>
      </c>
      <c r="M260" s="11" t="n">
        <v>32.53</v>
      </c>
      <c r="N260" s="11" t="n">
        <v>12.82</v>
      </c>
      <c r="O260" s="11" t="n">
        <v>8.96</v>
      </c>
      <c r="P260" s="10" t="n">
        <f aca="false">ROUND(E260*J260/100,0)</f>
        <v>4955</v>
      </c>
      <c r="Q260" s="10" t="n">
        <f aca="false">ROUND(P260*I260/(100-I260),0)</f>
        <v>587</v>
      </c>
      <c r="R260" s="10" t="n">
        <f aca="false">ROUND(P260*(100-L260)/100,0)</f>
        <v>3465</v>
      </c>
      <c r="S260" s="10" t="n">
        <f aca="false">ROUND(P260*M260/100,0)</f>
        <v>1612</v>
      </c>
      <c r="T260" s="11" t="n">
        <v>61.92</v>
      </c>
      <c r="U260" s="11" t="n">
        <v>63.11</v>
      </c>
      <c r="V260" s="3" t="n">
        <f aca="false">RANK(F260,$F$2:$F$350,0)</f>
        <v>347</v>
      </c>
      <c r="W260" s="12" t="n">
        <v>122.5</v>
      </c>
      <c r="X260" s="10" t="n">
        <v>72</v>
      </c>
      <c r="Y260" s="3" t="s">
        <v>67</v>
      </c>
      <c r="Z260" s="3" t="s">
        <v>389</v>
      </c>
      <c r="AA260" s="13" t="s">
        <v>59</v>
      </c>
      <c r="AB260" s="11" t="n">
        <v>5.4</v>
      </c>
    </row>
    <row r="261" customFormat="false" ht="16.4" hidden="false" customHeight="false" outlineLevel="0" collapsed="false">
      <c r="A261" s="3" t="n">
        <v>260</v>
      </c>
      <c r="B261" s="3" t="n">
        <v>16</v>
      </c>
      <c r="C261" s="3" t="s">
        <v>391</v>
      </c>
      <c r="D261" s="10" t="n">
        <v>10200</v>
      </c>
      <c r="E261" s="10" t="n">
        <f aca="false">ROUND(D261*INDEX(مناطق!$AF$2:$AF$23,B261),0)</f>
        <v>8842</v>
      </c>
      <c r="F261" s="11" t="n">
        <f aca="false">ROUND(100*(راهنما!$B$4*(H261-MIN($H$2:$H$350))/(MAX($H$2:$H$350)-MIN($H$2:$H$350))+راهنما!$B$5*(N261-MIN($N$2:$N$350))/(MAX($N$2:$N$350)-MIN($N$2:$N$350))+راهنما!$B$6*(J261-MIN($J$2:$J$350))/(MAX($J$2:$J$350)-MIN($J$2:$J$350))+راهنما!$B$7*(MAX($I$2:$I$350)-I261)/(MAX($I$2:$I$350)-MIN($I$2:$I$350)))/راهنما!$B$8,1)</f>
        <v>21</v>
      </c>
      <c r="G261" s="3" t="str">
        <f aca="false">IF(V261&lt;=ROUND(349*0.2,0),"بسیار بالا",IF(V261&lt;=ROUND(349*0.4,0),"بالا",IF(V261&lt;=ROUND(349*0.6,0),"متوسط",IF(V261&lt;=ROUND(349*0.8,0),"پایین","بسیار پایین"))))</f>
        <v>بسیار پایین</v>
      </c>
      <c r="H261" s="11" t="n">
        <f aca="false">(100-I261)*(100-L261)/100</f>
        <v>61.317378</v>
      </c>
      <c r="I261" s="11" t="n">
        <v>10.59</v>
      </c>
      <c r="J261" s="11" t="n">
        <v>33.02</v>
      </c>
      <c r="K261" s="11" t="n">
        <f aca="false">J261/(1-I261/100)</f>
        <v>36.9309920590538</v>
      </c>
      <c r="L261" s="11" t="n">
        <v>31.42</v>
      </c>
      <c r="M261" s="11" t="n">
        <v>32.53</v>
      </c>
      <c r="N261" s="11" t="n">
        <v>10.53</v>
      </c>
      <c r="O261" s="11" t="n">
        <v>9.62</v>
      </c>
      <c r="P261" s="10" t="n">
        <f aca="false">ROUND(E261*J261/100,0)</f>
        <v>2920</v>
      </c>
      <c r="Q261" s="10" t="n">
        <f aca="false">ROUND(P261*I261/(100-I261),0)</f>
        <v>346</v>
      </c>
      <c r="R261" s="10" t="n">
        <f aca="false">ROUND(P261*(100-L261)/100,0)</f>
        <v>2003</v>
      </c>
      <c r="S261" s="10" t="n">
        <f aca="false">ROUND(P261*M261/100,0)</f>
        <v>950</v>
      </c>
      <c r="T261" s="11" t="n">
        <v>60.2</v>
      </c>
      <c r="U261" s="11" t="n">
        <v>62.43</v>
      </c>
      <c r="V261" s="3" t="n">
        <f aca="false">RANK(F261,$F$2:$F$350,0)</f>
        <v>349</v>
      </c>
      <c r="W261" s="12" t="n">
        <v>97.2</v>
      </c>
      <c r="X261" s="10" t="n">
        <v>13</v>
      </c>
      <c r="Y261" s="3" t="s">
        <v>58</v>
      </c>
      <c r="Z261" s="3" t="s">
        <v>392</v>
      </c>
      <c r="AA261" s="13" t="s">
        <v>63</v>
      </c>
      <c r="AB261" s="11" t="n">
        <v>4.42</v>
      </c>
    </row>
    <row r="262" customFormat="false" ht="16.4" hidden="false" customHeight="false" outlineLevel="0" collapsed="false">
      <c r="A262" s="3" t="n">
        <v>261</v>
      </c>
      <c r="B262" s="3" t="n">
        <v>17</v>
      </c>
      <c r="C262" s="3" t="s">
        <v>393</v>
      </c>
      <c r="D262" s="10" t="n">
        <v>22920</v>
      </c>
      <c r="E262" s="10" t="n">
        <f aca="false">ROUND(D262*INDEX(مناطق!$AF$2:$AF$23,B262),0)</f>
        <v>19466</v>
      </c>
      <c r="F262" s="11" t="n">
        <f aca="false">ROUND(100*(راهنما!$B$4*(H262-MIN($H$2:$H$350))/(MAX($H$2:$H$350)-MIN($H$2:$H$350))+راهنما!$B$5*(N262-MIN($N$2:$N$350))/(MAX($N$2:$N$350)-MIN($N$2:$N$350))+راهنما!$B$6*(J262-MIN($J$2:$J$350))/(MAX($J$2:$J$350)-MIN($J$2:$J$350))+راهنما!$B$7*(MAX($I$2:$I$350)-I262)/(MAX($I$2:$I$350)-MIN($I$2:$I$350)))/راهنما!$B$8,1)</f>
        <v>48.2</v>
      </c>
      <c r="G262" s="3" t="str">
        <f aca="false">IF(V262&lt;=ROUND(349*0.2,0),"بسیار بالا",IF(V262&lt;=ROUND(349*0.4,0),"بالا",IF(V262&lt;=ROUND(349*0.6,0),"متوسط",IF(V262&lt;=ROUND(349*0.8,0),"پایین","بسیار پایین"))))</f>
        <v>متوسط</v>
      </c>
      <c r="H262" s="11" t="n">
        <f aca="false">(100-I262)*(100-L262)/100</f>
        <v>70.372975</v>
      </c>
      <c r="I262" s="11" t="n">
        <v>10.25</v>
      </c>
      <c r="J262" s="11" t="n">
        <v>32.69</v>
      </c>
      <c r="K262" s="11" t="n">
        <f aca="false">J262/(1-I262/100)</f>
        <v>36.4233983286908</v>
      </c>
      <c r="L262" s="11" t="n">
        <v>21.59</v>
      </c>
      <c r="M262" s="11" t="n">
        <v>29.5</v>
      </c>
      <c r="N262" s="11" t="n">
        <v>23.87</v>
      </c>
      <c r="O262" s="11" t="n">
        <v>7.65</v>
      </c>
      <c r="P262" s="10" t="n">
        <f aca="false">ROUND(E262*J262/100,0)</f>
        <v>6363</v>
      </c>
      <c r="Q262" s="10" t="n">
        <f aca="false">ROUND(P262*I262/(100-I262),0)</f>
        <v>727</v>
      </c>
      <c r="R262" s="10" t="n">
        <f aca="false">ROUND(P262*(100-L262)/100,0)</f>
        <v>4989</v>
      </c>
      <c r="S262" s="10" t="n">
        <f aca="false">ROUND(P262*M262/100,0)</f>
        <v>1877</v>
      </c>
      <c r="T262" s="11" t="n">
        <v>69.2</v>
      </c>
      <c r="U262" s="11" t="n">
        <v>71.5</v>
      </c>
      <c r="V262" s="3" t="n">
        <f aca="false">RANK(F262,$F$2:$F$350,0)</f>
        <v>189</v>
      </c>
      <c r="W262" s="12" t="n">
        <v>193.1</v>
      </c>
      <c r="X262" s="10" t="n">
        <v>85</v>
      </c>
      <c r="Y262" s="3" t="s">
        <v>67</v>
      </c>
      <c r="Z262" s="3" t="s">
        <v>342</v>
      </c>
      <c r="AA262" s="13" t="s">
        <v>59</v>
      </c>
      <c r="AB262" s="11" t="n">
        <v>10.67</v>
      </c>
    </row>
    <row r="263" customFormat="false" ht="16.4" hidden="false" customHeight="false" outlineLevel="0" collapsed="false">
      <c r="A263" s="3" t="n">
        <v>262</v>
      </c>
      <c r="B263" s="3" t="n">
        <v>17</v>
      </c>
      <c r="C263" s="3" t="s">
        <v>394</v>
      </c>
      <c r="D263" s="10" t="n">
        <v>18554</v>
      </c>
      <c r="E263" s="10" t="n">
        <f aca="false">ROUND(D263*INDEX(مناطق!$AF$2:$AF$23,B263),0)</f>
        <v>15758</v>
      </c>
      <c r="F263" s="11" t="n">
        <f aca="false">ROUND(100*(راهنما!$B$4*(H263-MIN($H$2:$H$350))/(MAX($H$2:$H$350)-MIN($H$2:$H$350))+راهنما!$B$5*(N263-MIN($N$2:$N$350))/(MAX($N$2:$N$350)-MIN($N$2:$N$350))+راهنما!$B$6*(J263-MIN($J$2:$J$350))/(MAX($J$2:$J$350)-MIN($J$2:$J$350))+راهنما!$B$7*(MAX($I$2:$I$350)-I263)/(MAX($I$2:$I$350)-MIN($I$2:$I$350)))/راهنما!$B$8,1)</f>
        <v>48.2</v>
      </c>
      <c r="G263" s="3" t="str">
        <f aca="false">IF(V263&lt;=ROUND(349*0.2,0),"بسیار بالا",IF(V263&lt;=ROUND(349*0.4,0),"بالا",IF(V263&lt;=ROUND(349*0.6,0),"متوسط",IF(V263&lt;=ROUND(349*0.8,0),"پایین","بسیار پایین"))))</f>
        <v>متوسط</v>
      </c>
      <c r="H263" s="11" t="n">
        <f aca="false">(100-I263)*(100-L263)/100</f>
        <v>70.372975</v>
      </c>
      <c r="I263" s="11" t="n">
        <v>10.25</v>
      </c>
      <c r="J263" s="11" t="n">
        <v>32.69</v>
      </c>
      <c r="K263" s="11" t="n">
        <f aca="false">J263/(1-I263/100)</f>
        <v>36.4233983286908</v>
      </c>
      <c r="L263" s="11" t="n">
        <v>21.59</v>
      </c>
      <c r="M263" s="11" t="n">
        <v>29.5</v>
      </c>
      <c r="N263" s="11" t="n">
        <v>23.87</v>
      </c>
      <c r="O263" s="11" t="n">
        <v>7.65</v>
      </c>
      <c r="P263" s="10" t="n">
        <f aca="false">ROUND(E263*J263/100,0)</f>
        <v>5151</v>
      </c>
      <c r="Q263" s="10" t="n">
        <f aca="false">ROUND(P263*I263/(100-I263),0)</f>
        <v>588</v>
      </c>
      <c r="R263" s="10" t="n">
        <f aca="false">ROUND(P263*(100-L263)/100,0)</f>
        <v>4039</v>
      </c>
      <c r="S263" s="10" t="n">
        <f aca="false">ROUND(P263*M263/100,0)</f>
        <v>1520</v>
      </c>
      <c r="T263" s="11" t="n">
        <v>69.2</v>
      </c>
      <c r="U263" s="11" t="n">
        <v>71.5</v>
      </c>
      <c r="V263" s="3" t="n">
        <f aca="false">RANK(F263,$F$2:$F$350,0)</f>
        <v>189</v>
      </c>
      <c r="W263" s="12" t="n">
        <v>193.1</v>
      </c>
      <c r="X263" s="10" t="n">
        <v>85</v>
      </c>
      <c r="Y263" s="3" t="s">
        <v>67</v>
      </c>
      <c r="Z263" s="3" t="s">
        <v>342</v>
      </c>
      <c r="AA263" s="13" t="s">
        <v>59</v>
      </c>
      <c r="AB263" s="11" t="n">
        <v>10.67</v>
      </c>
    </row>
    <row r="264" customFormat="false" ht="16.4" hidden="false" customHeight="false" outlineLevel="0" collapsed="false">
      <c r="A264" s="3" t="n">
        <v>263</v>
      </c>
      <c r="B264" s="3" t="n">
        <v>17</v>
      </c>
      <c r="C264" s="3" t="s">
        <v>395</v>
      </c>
      <c r="D264" s="10" t="n">
        <v>22736</v>
      </c>
      <c r="E264" s="10" t="n">
        <f aca="false">ROUND(D264*INDEX(مناطق!$AF$2:$AF$23,B264),0)</f>
        <v>19310</v>
      </c>
      <c r="F264" s="11" t="n">
        <f aca="false">ROUND(100*(راهنما!$B$4*(H264-MIN($H$2:$H$350))/(MAX($H$2:$H$350)-MIN($H$2:$H$350))+راهنما!$B$5*(N264-MIN($N$2:$N$350))/(MAX($N$2:$N$350)-MIN($N$2:$N$350))+راهنما!$B$6*(J264-MIN($J$2:$J$350))/(MAX($J$2:$J$350)-MIN($J$2:$J$350))+راهنما!$B$7*(MAX($I$2:$I$350)-I264)/(MAX($I$2:$I$350)-MIN($I$2:$I$350)))/راهنما!$B$8,1)</f>
        <v>41.4</v>
      </c>
      <c r="G264" s="3" t="str">
        <f aca="false">IF(V264&lt;=ROUND(349*0.2,0),"بسیار بالا",IF(V264&lt;=ROUND(349*0.4,0),"بالا",IF(V264&lt;=ROUND(349*0.6,0),"متوسط",IF(V264&lt;=ROUND(349*0.8,0),"پایین","بسیار پایین"))))</f>
        <v>پایین</v>
      </c>
      <c r="H264" s="11" t="n">
        <f aca="false">(100-I264)*(100-L264)/100</f>
        <v>68.201025</v>
      </c>
      <c r="I264" s="11" t="n">
        <v>10.25</v>
      </c>
      <c r="J264" s="11" t="n">
        <v>33.1</v>
      </c>
      <c r="K264" s="11" t="n">
        <f aca="false">J264/(1-I264/100)</f>
        <v>36.8802228412256</v>
      </c>
      <c r="L264" s="11" t="n">
        <v>24.01</v>
      </c>
      <c r="M264" s="11" t="n">
        <v>29.5</v>
      </c>
      <c r="N264" s="11" t="n">
        <v>16.16</v>
      </c>
      <c r="O264" s="11" t="n">
        <v>8.97</v>
      </c>
      <c r="P264" s="10" t="n">
        <f aca="false">ROUND(E264*J264/100,0)</f>
        <v>6392</v>
      </c>
      <c r="Q264" s="10" t="n">
        <f aca="false">ROUND(P264*I264/(100-I264),0)</f>
        <v>730</v>
      </c>
      <c r="R264" s="10" t="n">
        <f aca="false">ROUND(P264*(100-L264)/100,0)</f>
        <v>4857</v>
      </c>
      <c r="S264" s="10" t="n">
        <f aca="false">ROUND(P264*M264/100,0)</f>
        <v>1886</v>
      </c>
      <c r="T264" s="11" t="n">
        <v>67.9</v>
      </c>
      <c r="U264" s="11" t="n">
        <v>68.5</v>
      </c>
      <c r="V264" s="3" t="n">
        <f aca="false">RANK(F264,$F$2:$F$350,0)</f>
        <v>246</v>
      </c>
      <c r="W264" s="12" t="n">
        <v>143.3</v>
      </c>
      <c r="X264" s="10" t="n">
        <v>91</v>
      </c>
      <c r="Y264" s="3" t="s">
        <v>58</v>
      </c>
      <c r="Z264" s="3" t="s">
        <v>395</v>
      </c>
      <c r="AA264" s="13" t="s">
        <v>59</v>
      </c>
      <c r="AB264" s="11" t="n">
        <v>7.01</v>
      </c>
    </row>
    <row r="265" customFormat="false" ht="16.4" hidden="false" customHeight="false" outlineLevel="0" collapsed="false">
      <c r="A265" s="3" t="n">
        <v>264</v>
      </c>
      <c r="B265" s="3" t="n">
        <v>17</v>
      </c>
      <c r="C265" s="3" t="s">
        <v>396</v>
      </c>
      <c r="D265" s="10" t="n">
        <v>21417</v>
      </c>
      <c r="E265" s="10" t="n">
        <f aca="false">ROUND(D265*INDEX(مناطق!$AF$2:$AF$23,B265),0)</f>
        <v>18190</v>
      </c>
      <c r="F265" s="11" t="n">
        <f aca="false">ROUND(100*(راهنما!$B$4*(H265-MIN($H$2:$H$350))/(MAX($H$2:$H$350)-MIN($H$2:$H$350))+راهنما!$B$5*(N265-MIN($N$2:$N$350))/(MAX($N$2:$N$350)-MIN($N$2:$N$350))+راهنما!$B$6*(J265-MIN($J$2:$J$350))/(MAX($J$2:$J$350)-MIN($J$2:$J$350))+راهنما!$B$7*(MAX($I$2:$I$350)-I265)/(MAX($I$2:$I$350)-MIN($I$2:$I$350)))/راهنما!$B$8,1)</f>
        <v>40</v>
      </c>
      <c r="G265" s="3" t="str">
        <f aca="false">IF(V265&lt;=ROUND(349*0.2,0),"بسیار بالا",IF(V265&lt;=ROUND(349*0.4,0),"بالا",IF(V265&lt;=ROUND(349*0.6,0),"متوسط",IF(V265&lt;=ROUND(349*0.8,0),"پایین","بسیار پایین"))))</f>
        <v>پایین</v>
      </c>
      <c r="H265" s="11" t="n">
        <f aca="false">(100-I265)*(100-L265)/100</f>
        <v>67.698425</v>
      </c>
      <c r="I265" s="11" t="n">
        <v>10.25</v>
      </c>
      <c r="J265" s="11" t="n">
        <v>33.19</v>
      </c>
      <c r="K265" s="11" t="n">
        <f aca="false">J265/(1-I265/100)</f>
        <v>36.9805013927577</v>
      </c>
      <c r="L265" s="11" t="n">
        <v>24.57</v>
      </c>
      <c r="M265" s="11" t="n">
        <v>29.5</v>
      </c>
      <c r="N265" s="11" t="n">
        <v>14.77</v>
      </c>
      <c r="O265" s="11" t="n">
        <v>9.28</v>
      </c>
      <c r="P265" s="10" t="n">
        <f aca="false">ROUND(E265*J265/100,0)</f>
        <v>6037</v>
      </c>
      <c r="Q265" s="10" t="n">
        <f aca="false">ROUND(P265*I265/(100-I265),0)</f>
        <v>689</v>
      </c>
      <c r="R265" s="10" t="n">
        <f aca="false">ROUND(P265*(100-L265)/100,0)</f>
        <v>4554</v>
      </c>
      <c r="S265" s="10" t="n">
        <f aca="false">ROUND(P265*M265/100,0)</f>
        <v>1781</v>
      </c>
      <c r="T265" s="11" t="n">
        <v>67.61</v>
      </c>
      <c r="U265" s="11" t="n">
        <v>67.8</v>
      </c>
      <c r="V265" s="3" t="n">
        <f aca="false">RANK(F265,$F$2:$F$350,0)</f>
        <v>256</v>
      </c>
      <c r="W265" s="12" t="n">
        <v>132.9</v>
      </c>
      <c r="X265" s="10" t="n">
        <v>84</v>
      </c>
      <c r="Y265" s="3" t="s">
        <v>58</v>
      </c>
      <c r="Z265" s="3" t="s">
        <v>396</v>
      </c>
      <c r="AA265" s="13" t="s">
        <v>59</v>
      </c>
      <c r="AB265" s="11" t="n">
        <v>6.38</v>
      </c>
    </row>
    <row r="266" customFormat="false" ht="16.4" hidden="false" customHeight="false" outlineLevel="0" collapsed="false">
      <c r="A266" s="3" t="n">
        <v>265</v>
      </c>
      <c r="B266" s="3" t="n">
        <v>17</v>
      </c>
      <c r="C266" s="3" t="s">
        <v>397</v>
      </c>
      <c r="D266" s="10" t="n">
        <v>21145</v>
      </c>
      <c r="E266" s="10" t="n">
        <f aca="false">ROUND(D266*INDEX(مناطق!$AF$2:$AF$23,B266),0)</f>
        <v>17959</v>
      </c>
      <c r="F266" s="11" t="n">
        <f aca="false">ROUND(100*(راهنما!$B$4*(H266-MIN($H$2:$H$350))/(MAX($H$2:$H$350)-MIN($H$2:$H$350))+راهنما!$B$5*(N266-MIN($N$2:$N$350))/(MAX($N$2:$N$350)-MIN($N$2:$N$350))+راهنما!$B$6*(J266-MIN($J$2:$J$350))/(MAX($J$2:$J$350)-MIN($J$2:$J$350))+راهنما!$B$7*(MAX($I$2:$I$350)-I266)/(MAX($I$2:$I$350)-MIN($I$2:$I$350)))/راهنما!$B$8,1)</f>
        <v>39.9</v>
      </c>
      <c r="G266" s="3" t="str">
        <f aca="false">IF(V266&lt;=ROUND(349*0.2,0),"بسیار بالا",IF(V266&lt;=ROUND(349*0.4,0),"بالا",IF(V266&lt;=ROUND(349*0.6,0),"متوسط",IF(V266&lt;=ROUND(349*0.8,0),"پایین","بسیار پایین"))))</f>
        <v>پایین</v>
      </c>
      <c r="H266" s="11" t="n">
        <f aca="false">(100-I266)*(100-L266)/100</f>
        <v>67.68945</v>
      </c>
      <c r="I266" s="11" t="n">
        <v>10.25</v>
      </c>
      <c r="J266" s="11" t="n">
        <v>33.19</v>
      </c>
      <c r="K266" s="11" t="n">
        <f aca="false">J266/(1-I266/100)</f>
        <v>36.9805013927577</v>
      </c>
      <c r="L266" s="11" t="n">
        <v>24.58</v>
      </c>
      <c r="M266" s="11" t="n">
        <v>29.5</v>
      </c>
      <c r="N266" s="11" t="n">
        <v>14.75</v>
      </c>
      <c r="O266" s="11" t="n">
        <v>9.29</v>
      </c>
      <c r="P266" s="10" t="n">
        <f aca="false">ROUND(E266*J266/100,0)</f>
        <v>5961</v>
      </c>
      <c r="Q266" s="10" t="n">
        <f aca="false">ROUND(P266*I266/(100-I266),0)</f>
        <v>681</v>
      </c>
      <c r="R266" s="10" t="n">
        <f aca="false">ROUND(P266*(100-L266)/100,0)</f>
        <v>4496</v>
      </c>
      <c r="S266" s="10" t="n">
        <f aca="false">ROUND(P266*M266/100,0)</f>
        <v>1758</v>
      </c>
      <c r="T266" s="11" t="n">
        <v>67.61</v>
      </c>
      <c r="U266" s="11" t="n">
        <v>67.79</v>
      </c>
      <c r="V266" s="3" t="n">
        <f aca="false">RANK(F266,$F$2:$F$350,0)</f>
        <v>258</v>
      </c>
      <c r="W266" s="12" t="n">
        <v>133.3</v>
      </c>
      <c r="X266" s="10" t="n">
        <v>88</v>
      </c>
      <c r="Y266" s="3" t="s">
        <v>58</v>
      </c>
      <c r="Z266" s="3" t="s">
        <v>397</v>
      </c>
      <c r="AA266" s="13" t="s">
        <v>59</v>
      </c>
      <c r="AB266" s="11" t="n">
        <v>6.37</v>
      </c>
    </row>
    <row r="267" customFormat="false" ht="16.4" hidden="false" customHeight="false" outlineLevel="0" collapsed="false">
      <c r="A267" s="3" t="n">
        <v>266</v>
      </c>
      <c r="B267" s="3" t="n">
        <v>17</v>
      </c>
      <c r="C267" s="3" t="s">
        <v>398</v>
      </c>
      <c r="D267" s="10" t="n">
        <v>25174</v>
      </c>
      <c r="E267" s="10" t="n">
        <f aca="false">ROUND(D267*INDEX(مناطق!$AF$2:$AF$23,B267),0)</f>
        <v>21381</v>
      </c>
      <c r="F267" s="11" t="n">
        <f aca="false">ROUND(100*(راهنما!$B$4*(H267-MIN($H$2:$H$350))/(MAX($H$2:$H$350)-MIN($H$2:$H$350))+راهنما!$B$5*(N267-MIN($N$2:$N$350))/(MAX($N$2:$N$350)-MIN($N$2:$N$350))+راهنما!$B$6*(J267-MIN($J$2:$J$350))/(MAX($J$2:$J$350)-MIN($J$2:$J$350))+راهنما!$B$7*(MAX($I$2:$I$350)-I267)/(MAX($I$2:$I$350)-MIN($I$2:$I$350)))/راهنما!$B$8,1)</f>
        <v>38.8</v>
      </c>
      <c r="G267" s="3" t="str">
        <f aca="false">IF(V267&lt;=ROUND(349*0.2,0),"بسیار بالا",IF(V267&lt;=ROUND(349*0.4,0),"بالا",IF(V267&lt;=ROUND(349*0.6,0),"متوسط",IF(V267&lt;=ROUND(349*0.8,0),"پایین","بسیار پایین"))))</f>
        <v>پایین</v>
      </c>
      <c r="H267" s="11" t="n">
        <f aca="false">(100-I267)*(100-L267)/100</f>
        <v>67.285575</v>
      </c>
      <c r="I267" s="11" t="n">
        <v>10.25</v>
      </c>
      <c r="J267" s="11" t="n">
        <v>33.26</v>
      </c>
      <c r="K267" s="11" t="n">
        <f aca="false">J267/(1-I267/100)</f>
        <v>37.058495821727</v>
      </c>
      <c r="L267" s="11" t="n">
        <v>25.03</v>
      </c>
      <c r="M267" s="11" t="n">
        <v>29.5</v>
      </c>
      <c r="N267" s="11" t="n">
        <v>13.71</v>
      </c>
      <c r="O267" s="11" t="n">
        <v>9.54</v>
      </c>
      <c r="P267" s="10" t="n">
        <f aca="false">ROUND(E267*J267/100,0)</f>
        <v>7111</v>
      </c>
      <c r="Q267" s="10" t="n">
        <f aca="false">ROUND(P267*I267/(100-I267),0)</f>
        <v>812</v>
      </c>
      <c r="R267" s="10" t="n">
        <f aca="false">ROUND(P267*(100-L267)/100,0)</f>
        <v>5331</v>
      </c>
      <c r="S267" s="10" t="n">
        <f aca="false">ROUND(P267*M267/100,0)</f>
        <v>2098</v>
      </c>
      <c r="T267" s="11" t="n">
        <v>67.21</v>
      </c>
      <c r="U267" s="11" t="n">
        <v>67.37</v>
      </c>
      <c r="V267" s="3" t="n">
        <f aca="false">RANK(F267,$F$2:$F$350,0)</f>
        <v>276</v>
      </c>
      <c r="W267" s="12" t="n">
        <v>125.8</v>
      </c>
      <c r="X267" s="10" t="n">
        <v>88</v>
      </c>
      <c r="Y267" s="3" t="s">
        <v>58</v>
      </c>
      <c r="Z267" s="3" t="s">
        <v>398</v>
      </c>
      <c r="AA267" s="13" t="s">
        <v>59</v>
      </c>
      <c r="AB267" s="11" t="n">
        <v>5.91</v>
      </c>
    </row>
    <row r="268" customFormat="false" ht="16.4" hidden="false" customHeight="false" outlineLevel="0" collapsed="false">
      <c r="A268" s="3" t="n">
        <v>267</v>
      </c>
      <c r="B268" s="3" t="n">
        <v>17</v>
      </c>
      <c r="C268" s="3" t="s">
        <v>399</v>
      </c>
      <c r="D268" s="10" t="n">
        <v>20420</v>
      </c>
      <c r="E268" s="10" t="n">
        <f aca="false">ROUND(D268*INDEX(مناطق!$AF$2:$AF$23,B268),0)</f>
        <v>17343</v>
      </c>
      <c r="F268" s="11" t="n">
        <f aca="false">ROUND(100*(راهنما!$B$4*(H268-MIN($H$2:$H$350))/(MAX($H$2:$H$350)-MIN($H$2:$H$350))+راهنما!$B$5*(N268-MIN($N$2:$N$350))/(MAX($N$2:$N$350)-MIN($N$2:$N$350))+راهنما!$B$6*(J268-MIN($J$2:$J$350))/(MAX($J$2:$J$350)-MIN($J$2:$J$350))+راهنما!$B$7*(MAX($I$2:$I$350)-I268)/(MAX($I$2:$I$350)-MIN($I$2:$I$350)))/راهنما!$B$8,1)</f>
        <v>38.1</v>
      </c>
      <c r="G268" s="3" t="str">
        <f aca="false">IF(V268&lt;=ROUND(349*0.2,0),"بسیار بالا",IF(V268&lt;=ROUND(349*0.4,0),"بالا",IF(V268&lt;=ROUND(349*0.6,0),"متوسط",IF(V268&lt;=ROUND(349*0.8,0),"پایین","بسیار پایین"))))</f>
        <v>بسیار پایین</v>
      </c>
      <c r="H268" s="11" t="n">
        <f aca="false">(100-I268)*(100-L268)/100</f>
        <v>67.00735</v>
      </c>
      <c r="I268" s="11" t="n">
        <v>10.25</v>
      </c>
      <c r="J268" s="11" t="n">
        <v>33.31</v>
      </c>
      <c r="K268" s="11" t="n">
        <f aca="false">J268/(1-I268/100)</f>
        <v>37.1142061281337</v>
      </c>
      <c r="L268" s="11" t="n">
        <v>25.34</v>
      </c>
      <c r="M268" s="11" t="n">
        <v>29.5</v>
      </c>
      <c r="N268" s="11" t="n">
        <v>13.03</v>
      </c>
      <c r="O268" s="11" t="n">
        <v>9.73</v>
      </c>
      <c r="P268" s="10" t="n">
        <f aca="false">ROUND(E268*J268/100,0)</f>
        <v>5777</v>
      </c>
      <c r="Q268" s="10" t="n">
        <f aca="false">ROUND(P268*I268/(100-I268),0)</f>
        <v>660</v>
      </c>
      <c r="R268" s="10" t="n">
        <f aca="false">ROUND(P268*(100-L268)/100,0)</f>
        <v>4313</v>
      </c>
      <c r="S268" s="10" t="n">
        <f aca="false">ROUND(P268*M268/100,0)</f>
        <v>1704</v>
      </c>
      <c r="T268" s="11" t="n">
        <v>66.81</v>
      </c>
      <c r="U268" s="11" t="n">
        <v>67.21</v>
      </c>
      <c r="V268" s="3" t="n">
        <f aca="false">RANK(F268,$F$2:$F$350,0)</f>
        <v>282</v>
      </c>
      <c r="W268" s="12" t="n">
        <v>115.4</v>
      </c>
      <c r="X268" s="10" t="n">
        <v>83</v>
      </c>
      <c r="Y268" s="3" t="s">
        <v>58</v>
      </c>
      <c r="Z268" s="3" t="s">
        <v>399</v>
      </c>
      <c r="AA268" s="13" t="s">
        <v>59</v>
      </c>
      <c r="AB268" s="11" t="n">
        <v>5.61</v>
      </c>
    </row>
    <row r="269" customFormat="false" ht="16.4" hidden="false" customHeight="false" outlineLevel="0" collapsed="false">
      <c r="A269" s="3" t="n">
        <v>268</v>
      </c>
      <c r="B269" s="3" t="n">
        <v>17</v>
      </c>
      <c r="C269" s="3" t="s">
        <v>400</v>
      </c>
      <c r="D269" s="10" t="n">
        <v>20061</v>
      </c>
      <c r="E269" s="10" t="n">
        <f aca="false">ROUND(D269*INDEX(مناطق!$AF$2:$AF$23,B269),0)</f>
        <v>17038</v>
      </c>
      <c r="F269" s="11" t="n">
        <f aca="false">ROUND(100*(راهنما!$B$4*(H269-MIN($H$2:$H$350))/(MAX($H$2:$H$350)-MIN($H$2:$H$350))+راهنما!$B$5*(N269-MIN($N$2:$N$350))/(MAX($N$2:$N$350)-MIN($N$2:$N$350))+راهنما!$B$6*(J269-MIN($J$2:$J$350))/(MAX($J$2:$J$350)-MIN($J$2:$J$350))+راهنما!$B$7*(MAX($I$2:$I$350)-I269)/(MAX($I$2:$I$350)-MIN($I$2:$I$350)))/راهنما!$B$8,1)</f>
        <v>37.9</v>
      </c>
      <c r="G269" s="3" t="str">
        <f aca="false">IF(V269&lt;=ROUND(349*0.2,0),"بسیار بالا",IF(V269&lt;=ROUND(349*0.4,0),"بالا",IF(V269&lt;=ROUND(349*0.6,0),"متوسط",IF(V269&lt;=ROUND(349*0.8,0),"پایین","بسیار پایین"))))</f>
        <v>بسیار پایین</v>
      </c>
      <c r="H269" s="11" t="n">
        <f aca="false">(100-I269)*(100-L269)/100</f>
        <v>66.93555</v>
      </c>
      <c r="I269" s="11" t="n">
        <v>10.25</v>
      </c>
      <c r="J269" s="11" t="n">
        <v>33.33</v>
      </c>
      <c r="K269" s="11" t="n">
        <f aca="false">J269/(1-I269/100)</f>
        <v>37.1364902506964</v>
      </c>
      <c r="L269" s="11" t="n">
        <v>25.42</v>
      </c>
      <c r="M269" s="11" t="n">
        <v>29.5</v>
      </c>
      <c r="N269" s="11" t="n">
        <v>12.87</v>
      </c>
      <c r="O269" s="11" t="n">
        <v>9.77</v>
      </c>
      <c r="P269" s="10" t="n">
        <f aca="false">ROUND(E269*J269/100,0)</f>
        <v>5679</v>
      </c>
      <c r="Q269" s="10" t="n">
        <f aca="false">ROUND(P269*I269/(100-I269),0)</f>
        <v>649</v>
      </c>
      <c r="R269" s="10" t="n">
        <f aca="false">ROUND(P269*(100-L269)/100,0)</f>
        <v>4235</v>
      </c>
      <c r="S269" s="10" t="n">
        <f aca="false">ROUND(P269*M269/100,0)</f>
        <v>1675</v>
      </c>
      <c r="T269" s="11" t="n">
        <v>66.71</v>
      </c>
      <c r="U269" s="11" t="n">
        <v>67.17</v>
      </c>
      <c r="V269" s="3" t="n">
        <f aca="false">RANK(F269,$F$2:$F$350,0)</f>
        <v>287</v>
      </c>
      <c r="W269" s="12" t="n">
        <v>118.4</v>
      </c>
      <c r="X269" s="10" t="n">
        <v>84</v>
      </c>
      <c r="Y269" s="3" t="s">
        <v>58</v>
      </c>
      <c r="Z269" s="3" t="s">
        <v>400</v>
      </c>
      <c r="AA269" s="13" t="s">
        <v>59</v>
      </c>
      <c r="AB269" s="11" t="n">
        <v>5.54</v>
      </c>
    </row>
    <row r="270" customFormat="false" ht="16.4" hidden="false" customHeight="false" outlineLevel="0" collapsed="false">
      <c r="A270" s="3" t="n">
        <v>269</v>
      </c>
      <c r="B270" s="3" t="n">
        <v>17</v>
      </c>
      <c r="C270" s="3" t="s">
        <v>401</v>
      </c>
      <c r="D270" s="10" t="n">
        <v>15628</v>
      </c>
      <c r="E270" s="10" t="n">
        <f aca="false">ROUND(D270*INDEX(مناطق!$AF$2:$AF$23,B270),0)</f>
        <v>13273</v>
      </c>
      <c r="F270" s="11" t="n">
        <f aca="false">ROUND(100*(راهنما!$B$4*(H270-MIN($H$2:$H$350))/(MAX($H$2:$H$350)-MIN($H$2:$H$350))+راهنما!$B$5*(N270-MIN($N$2:$N$350))/(MAX($N$2:$N$350)-MIN($N$2:$N$350))+راهنما!$B$6*(J270-MIN($J$2:$J$350))/(MAX($J$2:$J$350)-MIN($J$2:$J$350))+راهنما!$B$7*(MAX($I$2:$I$350)-I270)/(MAX($I$2:$I$350)-MIN($I$2:$I$350)))/راهنما!$B$8,1)</f>
        <v>37.6</v>
      </c>
      <c r="G270" s="3" t="str">
        <f aca="false">IF(V270&lt;=ROUND(349*0.2,0),"بسیار بالا",IF(V270&lt;=ROUND(349*0.4,0),"بالا",IF(V270&lt;=ROUND(349*0.6,0),"متوسط",IF(V270&lt;=ROUND(349*0.8,0),"پایین","بسیار پایین"))))</f>
        <v>بسیار پایین</v>
      </c>
      <c r="H270" s="11" t="n">
        <f aca="false">(100-I270)*(100-L270)/100</f>
        <v>66.82785</v>
      </c>
      <c r="I270" s="11" t="n">
        <v>10.25</v>
      </c>
      <c r="J270" s="11" t="n">
        <v>33.34</v>
      </c>
      <c r="K270" s="11" t="n">
        <f aca="false">J270/(1-I270/100)</f>
        <v>37.1476323119777</v>
      </c>
      <c r="L270" s="11" t="n">
        <v>25.54</v>
      </c>
      <c r="M270" s="11" t="n">
        <v>29.5</v>
      </c>
      <c r="N270" s="11" t="n">
        <v>12.62</v>
      </c>
      <c r="O270" s="11" t="n">
        <v>9.84</v>
      </c>
      <c r="P270" s="10" t="n">
        <f aca="false">ROUND(E270*J270/100,0)</f>
        <v>4425</v>
      </c>
      <c r="Q270" s="10" t="n">
        <f aca="false">ROUND(P270*I270/(100-I270),0)</f>
        <v>505</v>
      </c>
      <c r="R270" s="10" t="n">
        <f aca="false">ROUND(P270*(100-L270)/100,0)</f>
        <v>3295</v>
      </c>
      <c r="S270" s="10" t="n">
        <f aca="false">ROUND(P270*M270/100,0)</f>
        <v>1305</v>
      </c>
      <c r="T270" s="11" t="n">
        <v>66.56</v>
      </c>
      <c r="U270" s="11" t="n">
        <v>67.1</v>
      </c>
      <c r="V270" s="3" t="n">
        <f aca="false">RANK(F270,$F$2:$F$350,0)</f>
        <v>291</v>
      </c>
      <c r="W270" s="12" t="n">
        <v>117.9</v>
      </c>
      <c r="X270" s="10" t="n">
        <v>88</v>
      </c>
      <c r="Y270" s="3" t="s">
        <v>58</v>
      </c>
      <c r="Z270" s="3" t="s">
        <v>401</v>
      </c>
      <c r="AA270" s="13" t="s">
        <v>59</v>
      </c>
      <c r="AB270" s="11" t="n">
        <v>5.43</v>
      </c>
    </row>
    <row r="271" customFormat="false" ht="16.4" hidden="false" customHeight="false" outlineLevel="0" collapsed="false">
      <c r="A271" s="3" t="n">
        <v>270</v>
      </c>
      <c r="B271" s="3" t="n">
        <v>17</v>
      </c>
      <c r="C271" s="3" t="s">
        <v>402</v>
      </c>
      <c r="D271" s="10" t="n">
        <v>25792</v>
      </c>
      <c r="E271" s="10" t="n">
        <f aca="false">ROUND(D271*INDEX(مناطق!$AF$2:$AF$23,B271),0)</f>
        <v>21906</v>
      </c>
      <c r="F271" s="11" t="n">
        <f aca="false">ROUND(100*(راهنما!$B$4*(H271-MIN($H$2:$H$350))/(MAX($H$2:$H$350)-MIN($H$2:$H$350))+راهنما!$B$5*(N271-MIN($N$2:$N$350))/(MAX($N$2:$N$350)-MIN($N$2:$N$350))+راهنما!$B$6*(J271-MIN($J$2:$J$350))/(MAX($J$2:$J$350)-MIN($J$2:$J$350))+راهنما!$B$7*(MAX($I$2:$I$350)-I271)/(MAX($I$2:$I$350)-MIN($I$2:$I$350)))/راهنما!$B$8,1)</f>
        <v>37.6</v>
      </c>
      <c r="G271" s="3" t="str">
        <f aca="false">IF(V271&lt;=ROUND(349*0.2,0),"بسیار بالا",IF(V271&lt;=ROUND(349*0.4,0),"بالا",IF(V271&lt;=ROUND(349*0.6,0),"متوسط",IF(V271&lt;=ROUND(349*0.8,0),"پایین","بسیار پایین"))))</f>
        <v>بسیار پایین</v>
      </c>
      <c r="H271" s="11" t="n">
        <f aca="false">(100-I271)*(100-L271)/100</f>
        <v>66.800925</v>
      </c>
      <c r="I271" s="11" t="n">
        <v>10.25</v>
      </c>
      <c r="J271" s="11" t="n">
        <v>33.35</v>
      </c>
      <c r="K271" s="11" t="n">
        <f aca="false">J271/(1-I271/100)</f>
        <v>37.1587743732591</v>
      </c>
      <c r="L271" s="11" t="n">
        <v>25.57</v>
      </c>
      <c r="M271" s="11" t="n">
        <v>29.5</v>
      </c>
      <c r="N271" s="11" t="n">
        <v>12.55</v>
      </c>
      <c r="O271" s="11" t="n">
        <v>9.86</v>
      </c>
      <c r="P271" s="10" t="n">
        <f aca="false">ROUND(E271*J271/100,0)</f>
        <v>7306</v>
      </c>
      <c r="Q271" s="10" t="n">
        <f aca="false">ROUND(P271*I271/(100-I271),0)</f>
        <v>834</v>
      </c>
      <c r="R271" s="10" t="n">
        <f aca="false">ROUND(P271*(100-L271)/100,0)</f>
        <v>5438</v>
      </c>
      <c r="S271" s="10" t="n">
        <f aca="false">ROUND(P271*M271/100,0)</f>
        <v>2155</v>
      </c>
      <c r="T271" s="11" t="n">
        <v>66.52</v>
      </c>
      <c r="U271" s="11" t="n">
        <v>67.09</v>
      </c>
      <c r="V271" s="3" t="n">
        <f aca="false">RANK(F271,$F$2:$F$350,0)</f>
        <v>291</v>
      </c>
      <c r="W271" s="12" t="n">
        <v>116.4</v>
      </c>
      <c r="X271" s="10" t="n">
        <v>73</v>
      </c>
      <c r="Y271" s="3" t="s">
        <v>58</v>
      </c>
      <c r="Z271" s="3" t="s">
        <v>403</v>
      </c>
      <c r="AA271" s="13" t="s">
        <v>59</v>
      </c>
      <c r="AB271" s="11" t="n">
        <v>5.4</v>
      </c>
    </row>
    <row r="272" customFormat="false" ht="16.4" hidden="false" customHeight="false" outlineLevel="0" collapsed="false">
      <c r="A272" s="3" t="n">
        <v>271</v>
      </c>
      <c r="B272" s="3" t="n">
        <v>17</v>
      </c>
      <c r="C272" s="3" t="s">
        <v>404</v>
      </c>
      <c r="D272" s="10" t="n">
        <v>14553</v>
      </c>
      <c r="E272" s="10" t="n">
        <f aca="false">ROUND(D272*INDEX(مناطق!$AF$2:$AF$23,B272),0)</f>
        <v>12360</v>
      </c>
      <c r="F272" s="11" t="n">
        <f aca="false">ROUND(100*(راهنما!$B$4*(H272-MIN($H$2:$H$350))/(MAX($H$2:$H$350)-MIN($H$2:$H$350))+راهنما!$B$5*(N272-MIN($N$2:$N$350))/(MAX($N$2:$N$350)-MIN($N$2:$N$350))+راهنما!$B$6*(J272-MIN($J$2:$J$350))/(MAX($J$2:$J$350)-MIN($J$2:$J$350))+راهنما!$B$7*(MAX($I$2:$I$350)-I272)/(MAX($I$2:$I$350)-MIN($I$2:$I$350)))/راهنما!$B$8,1)</f>
        <v>37.1</v>
      </c>
      <c r="G272" s="3" t="str">
        <f aca="false">IF(V272&lt;=ROUND(349*0.2,0),"بسیار بالا",IF(V272&lt;=ROUND(349*0.4,0),"بالا",IF(V272&lt;=ROUND(349*0.6,0),"متوسط",IF(V272&lt;=ROUND(349*0.8,0),"پایین","بسیار پایین"))))</f>
        <v>بسیار پایین</v>
      </c>
      <c r="H272" s="11" t="n">
        <f aca="false">(100-I272)*(100-L272)/100</f>
        <v>66.603475</v>
      </c>
      <c r="I272" s="11" t="n">
        <v>10.25</v>
      </c>
      <c r="J272" s="11" t="n">
        <v>33.39</v>
      </c>
      <c r="K272" s="11" t="n">
        <f aca="false">J272/(1-I272/100)</f>
        <v>37.2033426183844</v>
      </c>
      <c r="L272" s="11" t="n">
        <v>25.79</v>
      </c>
      <c r="M272" s="11" t="n">
        <v>29.5</v>
      </c>
      <c r="N272" s="11" t="n">
        <v>12.1</v>
      </c>
      <c r="O272" s="11" t="n">
        <v>9.99</v>
      </c>
      <c r="P272" s="10" t="n">
        <f aca="false">ROUND(E272*J272/100,0)</f>
        <v>4127</v>
      </c>
      <c r="Q272" s="10" t="n">
        <f aca="false">ROUND(P272*I272/(100-I272),0)</f>
        <v>471</v>
      </c>
      <c r="R272" s="10" t="n">
        <f aca="false">ROUND(P272*(100-L272)/100,0)</f>
        <v>3063</v>
      </c>
      <c r="S272" s="10" t="n">
        <f aca="false">ROUND(P272*M272/100,0)</f>
        <v>1217</v>
      </c>
      <c r="T272" s="11" t="n">
        <v>66.23</v>
      </c>
      <c r="U272" s="11" t="n">
        <v>66.97</v>
      </c>
      <c r="V272" s="3" t="n">
        <f aca="false">RANK(F272,$F$2:$F$350,0)</f>
        <v>296</v>
      </c>
      <c r="W272" s="12" t="n">
        <v>114.7</v>
      </c>
      <c r="X272" s="10" t="n">
        <v>89</v>
      </c>
      <c r="Y272" s="3" t="s">
        <v>58</v>
      </c>
      <c r="Z272" s="3" t="s">
        <v>404</v>
      </c>
      <c r="AA272" s="13" t="s">
        <v>59</v>
      </c>
      <c r="AB272" s="11" t="n">
        <v>5.2</v>
      </c>
    </row>
    <row r="273" customFormat="false" ht="16.4" hidden="false" customHeight="false" outlineLevel="0" collapsed="false">
      <c r="A273" s="3" t="n">
        <v>272</v>
      </c>
      <c r="B273" s="3" t="n">
        <v>17</v>
      </c>
      <c r="C273" s="3" t="s">
        <v>405</v>
      </c>
      <c r="D273" s="10" t="n">
        <v>10860</v>
      </c>
      <c r="E273" s="10" t="n">
        <f aca="false">ROUND(D273*INDEX(مناطق!$AF$2:$AF$23,B273),0)</f>
        <v>9224</v>
      </c>
      <c r="F273" s="11" t="n">
        <f aca="false">ROUND(100*(راهنما!$B$4*(H273-MIN($H$2:$H$350))/(MAX($H$2:$H$350)-MIN($H$2:$H$350))+راهنما!$B$5*(N273-MIN($N$2:$N$350))/(MAX($N$2:$N$350)-MIN($N$2:$N$350))+راهنما!$B$6*(J273-MIN($J$2:$J$350))/(MAX($J$2:$J$350)-MIN($J$2:$J$350))+راهنما!$B$7*(MAX($I$2:$I$350)-I273)/(MAX($I$2:$I$350)-MIN($I$2:$I$350)))/راهنما!$B$8,1)</f>
        <v>36</v>
      </c>
      <c r="G273" s="3" t="str">
        <f aca="false">IF(V273&lt;=ROUND(349*0.2,0),"بسیار بالا",IF(V273&lt;=ROUND(349*0.4,0),"بالا",IF(V273&lt;=ROUND(349*0.6,0),"متوسط",IF(V273&lt;=ROUND(349*0.8,0),"پایین","بسیار پایین"))))</f>
        <v>بسیار پایین</v>
      </c>
      <c r="H273" s="11" t="n">
        <f aca="false">(100-I273)*(100-L273)/100</f>
        <v>66.190625</v>
      </c>
      <c r="I273" s="11" t="n">
        <v>10.25</v>
      </c>
      <c r="J273" s="11" t="n">
        <v>33.46</v>
      </c>
      <c r="K273" s="11" t="n">
        <f aca="false">J273/(1-I273/100)</f>
        <v>37.2813370473538</v>
      </c>
      <c r="L273" s="11" t="n">
        <v>26.25</v>
      </c>
      <c r="M273" s="11" t="n">
        <v>29.5</v>
      </c>
      <c r="N273" s="11" t="n">
        <v>11.25</v>
      </c>
      <c r="O273" s="11" t="n">
        <v>10.26</v>
      </c>
      <c r="P273" s="10" t="n">
        <f aca="false">ROUND(E273*J273/100,0)</f>
        <v>3086</v>
      </c>
      <c r="Q273" s="10" t="n">
        <f aca="false">ROUND(P273*I273/(100-I273),0)</f>
        <v>352</v>
      </c>
      <c r="R273" s="10" t="n">
        <f aca="false">ROUND(P273*(100-L273)/100,0)</f>
        <v>2276</v>
      </c>
      <c r="S273" s="10" t="n">
        <f aca="false">ROUND(P273*M273/100,0)</f>
        <v>910</v>
      </c>
      <c r="T273" s="11" t="n">
        <v>65.65</v>
      </c>
      <c r="U273" s="11" t="n">
        <v>66.74</v>
      </c>
      <c r="V273" s="3" t="n">
        <f aca="false">RANK(F273,$F$2:$F$350,0)</f>
        <v>305</v>
      </c>
      <c r="W273" s="12" t="n">
        <v>106.7</v>
      </c>
      <c r="X273" s="10" t="n">
        <v>88</v>
      </c>
      <c r="Y273" s="3" t="s">
        <v>58</v>
      </c>
      <c r="Z273" s="3" t="s">
        <v>405</v>
      </c>
      <c r="AA273" s="13" t="s">
        <v>59</v>
      </c>
      <c r="AB273" s="11" t="n">
        <v>4.83</v>
      </c>
    </row>
    <row r="274" customFormat="false" ht="16.4" hidden="false" customHeight="false" outlineLevel="0" collapsed="false">
      <c r="A274" s="3" t="n">
        <v>273</v>
      </c>
      <c r="B274" s="3" t="n">
        <v>17</v>
      </c>
      <c r="C274" s="3" t="s">
        <v>406</v>
      </c>
      <c r="D274" s="10" t="n">
        <v>19359</v>
      </c>
      <c r="E274" s="10" t="n">
        <f aca="false">ROUND(D274*INDEX(مناطق!$AF$2:$AF$23,B274),0)</f>
        <v>16442</v>
      </c>
      <c r="F274" s="11" t="n">
        <f aca="false">ROUND(100*(راهنما!$B$4*(H274-MIN($H$2:$H$350))/(MAX($H$2:$H$350)-MIN($H$2:$H$350))+راهنما!$B$5*(N274-MIN($N$2:$N$350))/(MAX($N$2:$N$350)-MIN($N$2:$N$350))+راهنما!$B$6*(J274-MIN($J$2:$J$350))/(MAX($J$2:$J$350)-MIN($J$2:$J$350))+راهنما!$B$7*(MAX($I$2:$I$350)-I274)/(MAX($I$2:$I$350)-MIN($I$2:$I$350)))/راهنما!$B$8,1)</f>
        <v>36</v>
      </c>
      <c r="G274" s="3" t="str">
        <f aca="false">IF(V274&lt;=ROUND(349*0.2,0),"بسیار بالا",IF(V274&lt;=ROUND(349*0.4,0),"بالا",IF(V274&lt;=ROUND(349*0.6,0),"متوسط",IF(V274&lt;=ROUND(349*0.8,0),"پایین","بسیار پایین"))))</f>
        <v>بسیار پایین</v>
      </c>
      <c r="H274" s="11" t="n">
        <f aca="false">(100-I274)*(100-L274)/100</f>
        <v>66.190625</v>
      </c>
      <c r="I274" s="11" t="n">
        <v>10.25</v>
      </c>
      <c r="J274" s="11" t="n">
        <v>33.46</v>
      </c>
      <c r="K274" s="11" t="n">
        <f aca="false">J274/(1-I274/100)</f>
        <v>37.2813370473538</v>
      </c>
      <c r="L274" s="11" t="n">
        <v>26.25</v>
      </c>
      <c r="M274" s="11" t="n">
        <v>29.5</v>
      </c>
      <c r="N274" s="11" t="n">
        <v>11.23</v>
      </c>
      <c r="O274" s="11" t="n">
        <v>10.27</v>
      </c>
      <c r="P274" s="10" t="n">
        <f aca="false">ROUND(E274*J274/100,0)</f>
        <v>5501</v>
      </c>
      <c r="Q274" s="10" t="n">
        <f aca="false">ROUND(P274*I274/(100-I274),0)</f>
        <v>628</v>
      </c>
      <c r="R274" s="10" t="n">
        <f aca="false">ROUND(P274*(100-L274)/100,0)</f>
        <v>4057</v>
      </c>
      <c r="S274" s="10" t="n">
        <f aca="false">ROUND(P274*M274/100,0)</f>
        <v>1623</v>
      </c>
      <c r="T274" s="11" t="n">
        <v>65.64</v>
      </c>
      <c r="U274" s="11" t="n">
        <v>66.74</v>
      </c>
      <c r="V274" s="3" t="n">
        <f aca="false">RANK(F274,$F$2:$F$350,0)</f>
        <v>305</v>
      </c>
      <c r="W274" s="12" t="n">
        <v>103.3</v>
      </c>
      <c r="X274" s="10" t="n">
        <v>85</v>
      </c>
      <c r="Y274" s="3" t="s">
        <v>58</v>
      </c>
      <c r="Z274" s="3" t="s">
        <v>406</v>
      </c>
      <c r="AA274" s="13" t="s">
        <v>59</v>
      </c>
      <c r="AB274" s="11" t="n">
        <v>4.82</v>
      </c>
    </row>
    <row r="275" customFormat="false" ht="16.4" hidden="false" customHeight="false" outlineLevel="0" collapsed="false">
      <c r="A275" s="3" t="n">
        <v>274</v>
      </c>
      <c r="B275" s="3" t="n">
        <v>17</v>
      </c>
      <c r="C275" s="3" t="s">
        <v>407</v>
      </c>
      <c r="D275" s="10" t="n">
        <v>19735</v>
      </c>
      <c r="E275" s="10" t="n">
        <f aca="false">ROUND(D275*INDEX(مناطق!$AF$2:$AF$23,B275),0)</f>
        <v>16761</v>
      </c>
      <c r="F275" s="11" t="n">
        <f aca="false">ROUND(100*(راهنما!$B$4*(H275-MIN($H$2:$H$350))/(MAX($H$2:$H$350)-MIN($H$2:$H$350))+راهنما!$B$5*(N275-MIN($N$2:$N$350))/(MAX($N$2:$N$350)-MIN($N$2:$N$350))+راهنما!$B$6*(J275-MIN($J$2:$J$350))/(MAX($J$2:$J$350)-MIN($J$2:$J$350))+راهنما!$B$7*(MAX($I$2:$I$350)-I275)/(MAX($I$2:$I$350)-MIN($I$2:$I$350)))/راهنما!$B$8,1)</f>
        <v>35</v>
      </c>
      <c r="G275" s="3" t="str">
        <f aca="false">IF(V275&lt;=ROUND(349*0.2,0),"بسیار بالا",IF(V275&lt;=ROUND(349*0.4,0),"بالا",IF(V275&lt;=ROUND(349*0.6,0),"متوسط",IF(V275&lt;=ROUND(349*0.8,0),"پایین","بسیار پایین"))))</f>
        <v>بسیار پایین</v>
      </c>
      <c r="H275" s="11" t="n">
        <f aca="false">(100-I275)*(100-L275)/100</f>
        <v>65.777775</v>
      </c>
      <c r="I275" s="11" t="n">
        <v>10.25</v>
      </c>
      <c r="J275" s="11" t="n">
        <v>33.53</v>
      </c>
      <c r="K275" s="11" t="n">
        <f aca="false">J275/(1-I275/100)</f>
        <v>37.3593314763231</v>
      </c>
      <c r="L275" s="11" t="n">
        <v>26.71</v>
      </c>
      <c r="M275" s="11" t="n">
        <v>29.5</v>
      </c>
      <c r="N275" s="11" t="n">
        <v>10.43</v>
      </c>
      <c r="O275" s="11" t="n">
        <v>10.54</v>
      </c>
      <c r="P275" s="10" t="n">
        <f aca="false">ROUND(E275*J275/100,0)</f>
        <v>5620</v>
      </c>
      <c r="Q275" s="10" t="n">
        <f aca="false">ROUND(P275*I275/(100-I275),0)</f>
        <v>642</v>
      </c>
      <c r="R275" s="10" t="n">
        <f aca="false">ROUND(P275*(100-L275)/100,0)</f>
        <v>4119</v>
      </c>
      <c r="S275" s="10" t="n">
        <f aca="false">ROUND(P275*M275/100,0)</f>
        <v>1658</v>
      </c>
      <c r="T275" s="11" t="n">
        <v>65.05</v>
      </c>
      <c r="U275" s="11" t="n">
        <v>66.5</v>
      </c>
      <c r="V275" s="3" t="n">
        <f aca="false">RANK(F275,$F$2:$F$350,0)</f>
        <v>318</v>
      </c>
      <c r="W275" s="12" t="n">
        <v>97.3</v>
      </c>
      <c r="X275" s="10" t="n">
        <v>84</v>
      </c>
      <c r="Y275" s="3" t="s">
        <v>58</v>
      </c>
      <c r="Z275" s="3" t="s">
        <v>407</v>
      </c>
      <c r="AA275" s="13" t="s">
        <v>59</v>
      </c>
      <c r="AB275" s="11" t="n">
        <v>4.47</v>
      </c>
    </row>
    <row r="276" customFormat="false" ht="16.4" hidden="false" customHeight="false" outlineLevel="0" collapsed="false">
      <c r="A276" s="3" t="n">
        <v>275</v>
      </c>
      <c r="B276" s="3" t="n">
        <v>18</v>
      </c>
      <c r="C276" s="3" t="s">
        <v>408</v>
      </c>
      <c r="D276" s="10" t="n">
        <v>11694</v>
      </c>
      <c r="E276" s="10" t="n">
        <f aca="false">ROUND(D276*INDEX(مناطق!$AF$2:$AF$23,B276),0)</f>
        <v>9746</v>
      </c>
      <c r="F276" s="11" t="n">
        <f aca="false">ROUND(100*(راهنما!$B$4*(H276-MIN($H$2:$H$350))/(MAX($H$2:$H$350)-MIN($H$2:$H$350))+راهنما!$B$5*(N276-MIN($N$2:$N$350))/(MAX($N$2:$N$350)-MIN($N$2:$N$350))+راهنما!$B$6*(J276-MIN($J$2:$J$350))/(MAX($J$2:$J$350)-MIN($J$2:$J$350))+راهنما!$B$7*(MAX($I$2:$I$350)-I276)/(MAX($I$2:$I$350)-MIN($I$2:$I$350)))/راهنما!$B$8,1)</f>
        <v>60.3</v>
      </c>
      <c r="G276" s="3" t="str">
        <f aca="false">IF(V276&lt;=ROUND(349*0.2,0),"بسیار بالا",IF(V276&lt;=ROUND(349*0.4,0),"بالا",IF(V276&lt;=ROUND(349*0.6,0),"متوسط",IF(V276&lt;=ROUND(349*0.8,0),"پایین","بسیار پایین"))))</f>
        <v>بالا</v>
      </c>
      <c r="H276" s="11" t="n">
        <f aca="false">(100-I276)*(100-L276)/100</f>
        <v>71.395506</v>
      </c>
      <c r="I276" s="11" t="n">
        <v>9.82</v>
      </c>
      <c r="J276" s="11" t="n">
        <v>33.05</v>
      </c>
      <c r="K276" s="11" t="n">
        <f aca="false">J276/(1-I276/100)</f>
        <v>36.6489243734753</v>
      </c>
      <c r="L276" s="11" t="n">
        <v>20.83</v>
      </c>
      <c r="M276" s="11" t="n">
        <v>28.49</v>
      </c>
      <c r="N276" s="11" t="n">
        <v>39.62</v>
      </c>
      <c r="O276" s="11" t="n">
        <v>6.22</v>
      </c>
      <c r="P276" s="10" t="n">
        <f aca="false">ROUND(E276*J276/100,0)</f>
        <v>3221</v>
      </c>
      <c r="Q276" s="10" t="n">
        <f aca="false">ROUND(P276*I276/(100-I276),0)</f>
        <v>351</v>
      </c>
      <c r="R276" s="10" t="n">
        <f aca="false">ROUND(P276*(100-L276)/100,0)</f>
        <v>2550</v>
      </c>
      <c r="S276" s="10" t="n">
        <f aca="false">ROUND(P276*M276/100,0)</f>
        <v>918</v>
      </c>
      <c r="T276" s="11" t="n">
        <v>68.88</v>
      </c>
      <c r="U276" s="11" t="n">
        <v>73.69</v>
      </c>
      <c r="V276" s="3" t="n">
        <f aca="false">RANK(F276,$F$2:$F$350,0)</f>
        <v>78</v>
      </c>
      <c r="W276" s="12" t="n">
        <v>306.5</v>
      </c>
      <c r="X276" s="10" t="n">
        <v>90</v>
      </c>
      <c r="Y276" s="3" t="s">
        <v>58</v>
      </c>
      <c r="Z276" s="3" t="s">
        <v>409</v>
      </c>
      <c r="AA276" s="13" t="s">
        <v>59</v>
      </c>
      <c r="AB276" s="11" t="n">
        <v>19.38</v>
      </c>
    </row>
    <row r="277" customFormat="false" ht="16.4" hidden="false" customHeight="false" outlineLevel="0" collapsed="false">
      <c r="A277" s="3" t="n">
        <v>276</v>
      </c>
      <c r="B277" s="3" t="n">
        <v>18</v>
      </c>
      <c r="C277" s="3" t="s">
        <v>410</v>
      </c>
      <c r="D277" s="10" t="n">
        <v>20071</v>
      </c>
      <c r="E277" s="10" t="n">
        <f aca="false">ROUND(D277*INDEX(مناطق!$AF$2:$AF$23,B277),0)</f>
        <v>16728</v>
      </c>
      <c r="F277" s="11" t="n">
        <f aca="false">ROUND(100*(راهنما!$B$4*(H277-MIN($H$2:$H$350))/(MAX($H$2:$H$350)-MIN($H$2:$H$350))+راهنما!$B$5*(N277-MIN($N$2:$N$350))/(MAX($N$2:$N$350)-MIN($N$2:$N$350))+راهنما!$B$6*(J277-MIN($J$2:$J$350))/(MAX($J$2:$J$350)-MIN($J$2:$J$350))+راهنما!$B$7*(MAX($I$2:$I$350)-I277)/(MAX($I$2:$I$350)-MIN($I$2:$I$350)))/راهنما!$B$8,1)</f>
        <v>42.7</v>
      </c>
      <c r="G277" s="3" t="str">
        <f aca="false">IF(V277&lt;=ROUND(349*0.2,0),"بسیار بالا",IF(V277&lt;=ROUND(349*0.4,0),"بالا",IF(V277&lt;=ROUND(349*0.6,0),"متوسط",IF(V277&lt;=ROUND(349*0.8,0),"پایین","بسیار پایین"))))</f>
        <v>پایین</v>
      </c>
      <c r="H277" s="11" t="n">
        <f aca="false">(100-I277)*(100-L277)/100</f>
        <v>66.354444</v>
      </c>
      <c r="I277" s="11" t="n">
        <v>9.82</v>
      </c>
      <c r="J277" s="11" t="n">
        <v>33.98</v>
      </c>
      <c r="K277" s="11" t="n">
        <f aca="false">J277/(1-I277/100)</f>
        <v>37.6801951652251</v>
      </c>
      <c r="L277" s="11" t="n">
        <v>26.42</v>
      </c>
      <c r="M277" s="11" t="n">
        <v>28.49</v>
      </c>
      <c r="N277" s="11" t="n">
        <v>17.94</v>
      </c>
      <c r="O277" s="11" t="n">
        <v>8.92</v>
      </c>
      <c r="P277" s="10" t="n">
        <f aca="false">ROUND(E277*J277/100,0)</f>
        <v>5684</v>
      </c>
      <c r="Q277" s="10" t="n">
        <f aca="false">ROUND(P277*I277/(100-I277),0)</f>
        <v>619</v>
      </c>
      <c r="R277" s="10" t="n">
        <f aca="false">ROUND(P277*(100-L277)/100,0)</f>
        <v>4182</v>
      </c>
      <c r="S277" s="10" t="n">
        <f aca="false">ROUND(P277*M277/100,0)</f>
        <v>1619</v>
      </c>
      <c r="T277" s="11" t="n">
        <v>65.79</v>
      </c>
      <c r="U277" s="11" t="n">
        <v>66.91</v>
      </c>
      <c r="V277" s="3" t="n">
        <f aca="false">RANK(F277,$F$2:$F$350,0)</f>
        <v>238</v>
      </c>
      <c r="W277" s="12" t="n">
        <v>147.1</v>
      </c>
      <c r="X277" s="10" t="n">
        <v>86</v>
      </c>
      <c r="Y277" s="3" t="s">
        <v>58</v>
      </c>
      <c r="Z277" s="3" t="s">
        <v>410</v>
      </c>
      <c r="AA277" s="13" t="s">
        <v>59</v>
      </c>
      <c r="AB277" s="11" t="n">
        <v>7.83</v>
      </c>
    </row>
    <row r="278" customFormat="false" ht="16.4" hidden="false" customHeight="false" outlineLevel="0" collapsed="false">
      <c r="A278" s="3" t="n">
        <v>277</v>
      </c>
      <c r="B278" s="3" t="n">
        <v>18</v>
      </c>
      <c r="C278" s="3" t="s">
        <v>411</v>
      </c>
      <c r="D278" s="10" t="n">
        <v>26965</v>
      </c>
      <c r="E278" s="10" t="n">
        <f aca="false">ROUND(D278*INDEX(مناطق!$AF$2:$AF$23,B278),0)</f>
        <v>22474</v>
      </c>
      <c r="F278" s="11" t="n">
        <f aca="false">ROUND(100*(راهنما!$B$4*(H278-MIN($H$2:$H$350))/(MAX($H$2:$H$350)-MIN($H$2:$H$350))+راهنما!$B$5*(N278-MIN($N$2:$N$350))/(MAX($N$2:$N$350)-MIN($N$2:$N$350))+راهنما!$B$6*(J278-MIN($J$2:$J$350))/(MAX($J$2:$J$350)-MIN($J$2:$J$350))+راهنما!$B$7*(MAX($I$2:$I$350)-I278)/(MAX($I$2:$I$350)-MIN($I$2:$I$350)))/راهنما!$B$8,1)</f>
        <v>42.6</v>
      </c>
      <c r="G278" s="3" t="str">
        <f aca="false">IF(V278&lt;=ROUND(349*0.2,0),"بسیار بالا",IF(V278&lt;=ROUND(349*0.4,0),"بالا",IF(V278&lt;=ROUND(349*0.6,0),"متوسط",IF(V278&lt;=ROUND(349*0.8,0),"پایین","بسیار پایین"))))</f>
        <v>پایین</v>
      </c>
      <c r="H278" s="11" t="n">
        <f aca="false">(100-I278)*(100-L278)/100</f>
        <v>66.32739</v>
      </c>
      <c r="I278" s="11" t="n">
        <v>9.82</v>
      </c>
      <c r="J278" s="11" t="n">
        <v>33.99</v>
      </c>
      <c r="K278" s="11" t="n">
        <f aca="false">J278/(1-I278/100)</f>
        <v>37.6912840984697</v>
      </c>
      <c r="L278" s="11" t="n">
        <v>26.45</v>
      </c>
      <c r="M278" s="11" t="n">
        <v>28.49</v>
      </c>
      <c r="N278" s="11" t="n">
        <v>17.85</v>
      </c>
      <c r="O278" s="11" t="n">
        <v>8.94</v>
      </c>
      <c r="P278" s="10" t="n">
        <f aca="false">ROUND(E278*J278/100,0)</f>
        <v>7639</v>
      </c>
      <c r="Q278" s="10" t="n">
        <f aca="false">ROUND(P278*I278/(100-I278),0)</f>
        <v>832</v>
      </c>
      <c r="R278" s="10" t="n">
        <f aca="false">ROUND(P278*(100-L278)/100,0)</f>
        <v>5618</v>
      </c>
      <c r="S278" s="10" t="n">
        <f aca="false">ROUND(P278*M278/100,0)</f>
        <v>2176</v>
      </c>
      <c r="T278" s="11" t="n">
        <v>65.77</v>
      </c>
      <c r="U278" s="11" t="n">
        <v>66.87</v>
      </c>
      <c r="V278" s="3" t="n">
        <f aca="false">RANK(F278,$F$2:$F$350,0)</f>
        <v>239</v>
      </c>
      <c r="W278" s="12" t="n">
        <v>139.2</v>
      </c>
      <c r="X278" s="10" t="n">
        <v>84</v>
      </c>
      <c r="Y278" s="3" t="s">
        <v>58</v>
      </c>
      <c r="Z278" s="3" t="s">
        <v>411</v>
      </c>
      <c r="AA278" s="13" t="s">
        <v>59</v>
      </c>
      <c r="AB278" s="11" t="n">
        <v>7.79</v>
      </c>
    </row>
    <row r="279" customFormat="false" ht="16.4" hidden="false" customHeight="false" outlineLevel="0" collapsed="false">
      <c r="A279" s="3" t="n">
        <v>278</v>
      </c>
      <c r="B279" s="3" t="n">
        <v>18</v>
      </c>
      <c r="C279" s="3" t="s">
        <v>412</v>
      </c>
      <c r="D279" s="10" t="n">
        <v>34720</v>
      </c>
      <c r="E279" s="10" t="n">
        <f aca="false">ROUND(D279*INDEX(مناطق!$AF$2:$AF$23,B279),0)</f>
        <v>28937</v>
      </c>
      <c r="F279" s="11" t="n">
        <f aca="false">ROUND(100*(راهنما!$B$4*(H279-MIN($H$2:$H$350))/(MAX($H$2:$H$350)-MIN($H$2:$H$350))+راهنما!$B$5*(N279-MIN($N$2:$N$350))/(MAX($N$2:$N$350)-MIN($N$2:$N$350))+راهنما!$B$6*(J279-MIN($J$2:$J$350))/(MAX($J$2:$J$350)-MIN($J$2:$J$350))+راهنما!$B$7*(MAX($I$2:$I$350)-I279)/(MAX($I$2:$I$350)-MIN($I$2:$I$350)))/راهنما!$B$8,1)</f>
        <v>40.6</v>
      </c>
      <c r="G279" s="3" t="str">
        <f aca="false">IF(V279&lt;=ROUND(349*0.2,0),"بسیار بالا",IF(V279&lt;=ROUND(349*0.4,0),"بالا",IF(V279&lt;=ROUND(349*0.6,0),"متوسط",IF(V279&lt;=ROUND(349*0.8,0),"پایین","بسیار پایین"))))</f>
        <v>پایین</v>
      </c>
      <c r="H279" s="11" t="n">
        <f aca="false">(100-I279)*(100-L279)/100</f>
        <v>65.623986</v>
      </c>
      <c r="I279" s="11" t="n">
        <v>9.82</v>
      </c>
      <c r="J279" s="11" t="n">
        <v>34.11</v>
      </c>
      <c r="K279" s="11" t="n">
        <f aca="false">J279/(1-I279/100)</f>
        <v>37.8243512974052</v>
      </c>
      <c r="L279" s="11" t="n">
        <v>27.23</v>
      </c>
      <c r="M279" s="11" t="n">
        <v>28.49</v>
      </c>
      <c r="N279" s="11" t="n">
        <v>15.9</v>
      </c>
      <c r="O279" s="11" t="n">
        <v>9.35</v>
      </c>
      <c r="P279" s="10" t="n">
        <f aca="false">ROUND(E279*J279/100,0)</f>
        <v>9870</v>
      </c>
      <c r="Q279" s="10" t="n">
        <f aca="false">ROUND(P279*I279/(100-I279),0)</f>
        <v>1075</v>
      </c>
      <c r="R279" s="10" t="n">
        <f aca="false">ROUND(P279*(100-L279)/100,0)</f>
        <v>7182</v>
      </c>
      <c r="S279" s="10" t="n">
        <f aca="false">ROUND(P279*M279/100,0)</f>
        <v>2812</v>
      </c>
      <c r="T279" s="11" t="n">
        <v>65.36</v>
      </c>
      <c r="U279" s="11" t="n">
        <v>65.9</v>
      </c>
      <c r="V279" s="3" t="n">
        <f aca="false">RANK(F279,$F$2:$F$350,0)</f>
        <v>249</v>
      </c>
      <c r="W279" s="12" t="n">
        <v>135.2</v>
      </c>
      <c r="X279" s="10" t="n">
        <v>91</v>
      </c>
      <c r="Y279" s="3" t="s">
        <v>67</v>
      </c>
      <c r="Z279" s="3" t="s">
        <v>413</v>
      </c>
      <c r="AA279" s="13" t="s">
        <v>59</v>
      </c>
      <c r="AB279" s="11" t="n">
        <v>6.9</v>
      </c>
    </row>
    <row r="280" customFormat="false" ht="16.4" hidden="false" customHeight="false" outlineLevel="0" collapsed="false">
      <c r="A280" s="3" t="n">
        <v>279</v>
      </c>
      <c r="B280" s="3" t="n">
        <v>18</v>
      </c>
      <c r="C280" s="3" t="s">
        <v>414</v>
      </c>
      <c r="D280" s="10" t="n">
        <v>31007</v>
      </c>
      <c r="E280" s="10" t="n">
        <f aca="false">ROUND(D280*INDEX(مناطق!$AF$2:$AF$23,B280),0)</f>
        <v>25843</v>
      </c>
      <c r="F280" s="11" t="n">
        <f aca="false">ROUND(100*(راهنما!$B$4*(H280-MIN($H$2:$H$350))/(MAX($H$2:$H$350)-MIN($H$2:$H$350))+راهنما!$B$5*(N280-MIN($N$2:$N$350))/(MAX($N$2:$N$350)-MIN($N$2:$N$350))+راهنما!$B$6*(J280-MIN($J$2:$J$350))/(MAX($J$2:$J$350)-MIN($J$2:$J$350))+راهنما!$B$7*(MAX($I$2:$I$350)-I280)/(MAX($I$2:$I$350)-MIN($I$2:$I$350)))/راهنما!$B$8,1)</f>
        <v>40.6</v>
      </c>
      <c r="G280" s="3" t="str">
        <f aca="false">IF(V280&lt;=ROUND(349*0.2,0),"بسیار بالا",IF(V280&lt;=ROUND(349*0.4,0),"بالا",IF(V280&lt;=ROUND(349*0.6,0),"متوسط",IF(V280&lt;=ROUND(349*0.8,0),"پایین","بسیار پایین"))))</f>
        <v>پایین</v>
      </c>
      <c r="H280" s="11" t="n">
        <f aca="false">(100-I280)*(100-L280)/100</f>
        <v>65.623986</v>
      </c>
      <c r="I280" s="11" t="n">
        <v>9.82</v>
      </c>
      <c r="J280" s="11" t="n">
        <v>34.11</v>
      </c>
      <c r="K280" s="11" t="n">
        <f aca="false">J280/(1-I280/100)</f>
        <v>37.8243512974052</v>
      </c>
      <c r="L280" s="11" t="n">
        <v>27.23</v>
      </c>
      <c r="M280" s="11" t="n">
        <v>28.49</v>
      </c>
      <c r="N280" s="11" t="n">
        <v>15.9</v>
      </c>
      <c r="O280" s="11" t="n">
        <v>9.35</v>
      </c>
      <c r="P280" s="10" t="n">
        <f aca="false">ROUND(E280*J280/100,0)</f>
        <v>8815</v>
      </c>
      <c r="Q280" s="10" t="n">
        <f aca="false">ROUND(P280*I280/(100-I280),0)</f>
        <v>960</v>
      </c>
      <c r="R280" s="10" t="n">
        <f aca="false">ROUND(P280*(100-L280)/100,0)</f>
        <v>6415</v>
      </c>
      <c r="S280" s="10" t="n">
        <f aca="false">ROUND(P280*M280/100,0)</f>
        <v>2511</v>
      </c>
      <c r="T280" s="11" t="n">
        <v>65.36</v>
      </c>
      <c r="U280" s="11" t="n">
        <v>65.9</v>
      </c>
      <c r="V280" s="3" t="n">
        <f aca="false">RANK(F280,$F$2:$F$350,0)</f>
        <v>249</v>
      </c>
      <c r="W280" s="12" t="n">
        <v>135.2</v>
      </c>
      <c r="X280" s="10" t="n">
        <v>91</v>
      </c>
      <c r="Y280" s="3" t="s">
        <v>67</v>
      </c>
      <c r="Z280" s="3" t="s">
        <v>413</v>
      </c>
      <c r="AA280" s="13" t="s">
        <v>59</v>
      </c>
      <c r="AB280" s="11" t="n">
        <v>6.9</v>
      </c>
    </row>
    <row r="281" customFormat="false" ht="16.4" hidden="false" customHeight="false" outlineLevel="0" collapsed="false">
      <c r="A281" s="3" t="n">
        <v>280</v>
      </c>
      <c r="B281" s="3" t="n">
        <v>18</v>
      </c>
      <c r="C281" s="3" t="s">
        <v>180</v>
      </c>
      <c r="D281" s="10" t="n">
        <v>34739</v>
      </c>
      <c r="E281" s="10" t="n">
        <f aca="false">ROUND(D281*INDEX(مناطق!$AF$2:$AF$23,B281),0)</f>
        <v>28953</v>
      </c>
      <c r="F281" s="11" t="n">
        <f aca="false">ROUND(100*(راهنما!$B$4*(H281-MIN($H$2:$H$350))/(MAX($H$2:$H$350)-MIN($H$2:$H$350))+راهنما!$B$5*(N281-MIN($N$2:$N$350))/(MAX($N$2:$N$350)-MIN($N$2:$N$350))+راهنما!$B$6*(J281-MIN($J$2:$J$350))/(MAX($J$2:$J$350)-MIN($J$2:$J$350))+راهنما!$B$7*(MAX($I$2:$I$350)-I281)/(MAX($I$2:$I$350)-MIN($I$2:$I$350)))/راهنما!$B$8,1)</f>
        <v>40.1</v>
      </c>
      <c r="G281" s="3" t="str">
        <f aca="false">IF(V281&lt;=ROUND(349*0.2,0),"بسیار بالا",IF(V281&lt;=ROUND(349*0.4,0),"بالا",IF(V281&lt;=ROUND(349*0.6,0),"متوسط",IF(V281&lt;=ROUND(349*0.8,0),"پایین","بسیار پایین"))))</f>
        <v>پایین</v>
      </c>
      <c r="H281" s="11" t="n">
        <f aca="false">(100-I281)*(100-L281)/100</f>
        <v>65.47068</v>
      </c>
      <c r="I281" s="11" t="n">
        <v>9.82</v>
      </c>
      <c r="J281" s="11" t="n">
        <v>34.13</v>
      </c>
      <c r="K281" s="11" t="n">
        <f aca="false">J281/(1-I281/100)</f>
        <v>37.8465291638944</v>
      </c>
      <c r="L281" s="11" t="n">
        <v>27.4</v>
      </c>
      <c r="M281" s="11" t="n">
        <v>28.49</v>
      </c>
      <c r="N281" s="11" t="n">
        <v>15.49</v>
      </c>
      <c r="O281" s="11" t="n">
        <v>9.44</v>
      </c>
      <c r="P281" s="10" t="n">
        <f aca="false">ROUND(E281*J281/100,0)</f>
        <v>9882</v>
      </c>
      <c r="Q281" s="10" t="n">
        <f aca="false">ROUND(P281*I281/(100-I281),0)</f>
        <v>1076</v>
      </c>
      <c r="R281" s="10" t="n">
        <f aca="false">ROUND(P281*(100-L281)/100,0)</f>
        <v>7174</v>
      </c>
      <c r="S281" s="10" t="n">
        <f aca="false">ROUND(P281*M281/100,0)</f>
        <v>2815</v>
      </c>
      <c r="T281" s="11" t="n">
        <v>65.27</v>
      </c>
      <c r="U281" s="11" t="n">
        <v>65.67</v>
      </c>
      <c r="V281" s="3" t="n">
        <f aca="false">RANK(F281,$F$2:$F$350,0)</f>
        <v>253</v>
      </c>
      <c r="W281" s="12" t="n">
        <v>131</v>
      </c>
      <c r="X281" s="10" t="n">
        <v>85</v>
      </c>
      <c r="Y281" s="3" t="s">
        <v>67</v>
      </c>
      <c r="Z281" s="3" t="s">
        <v>415</v>
      </c>
      <c r="AA281" s="13" t="s">
        <v>59</v>
      </c>
      <c r="AB281" s="11" t="n">
        <v>6.71</v>
      </c>
    </row>
    <row r="282" customFormat="false" ht="16.4" hidden="false" customHeight="false" outlineLevel="0" collapsed="false">
      <c r="A282" s="3" t="n">
        <v>281</v>
      </c>
      <c r="B282" s="3" t="n">
        <v>18</v>
      </c>
      <c r="C282" s="3" t="s">
        <v>416</v>
      </c>
      <c r="D282" s="10" t="n">
        <v>35697</v>
      </c>
      <c r="E282" s="10" t="n">
        <f aca="false">ROUND(D282*INDEX(مناطق!$AF$2:$AF$23,B282),0)</f>
        <v>29751</v>
      </c>
      <c r="F282" s="11" t="n">
        <f aca="false">ROUND(100*(راهنما!$B$4*(H282-MIN($H$2:$H$350))/(MAX($H$2:$H$350)-MIN($H$2:$H$350))+راهنما!$B$5*(N282-MIN($N$2:$N$350))/(MAX($N$2:$N$350)-MIN($N$2:$N$350))+راهنما!$B$6*(J282-MIN($J$2:$J$350))/(MAX($J$2:$J$350)-MIN($J$2:$J$350))+راهنما!$B$7*(MAX($I$2:$I$350)-I282)/(MAX($I$2:$I$350)-MIN($I$2:$I$350)))/راهنما!$B$8,1)</f>
        <v>39.5</v>
      </c>
      <c r="G282" s="3" t="str">
        <f aca="false">IF(V282&lt;=ROUND(349*0.2,0),"بسیار بالا",IF(V282&lt;=ROUND(349*0.4,0),"بالا",IF(V282&lt;=ROUND(349*0.6,0),"متوسط",IF(V282&lt;=ROUND(349*0.8,0),"پایین","بسیار پایین"))))</f>
        <v>پایین</v>
      </c>
      <c r="H282" s="11" t="n">
        <f aca="false">(100-I282)*(100-L282)/100</f>
        <v>65.24523</v>
      </c>
      <c r="I282" s="11" t="n">
        <v>9.82</v>
      </c>
      <c r="J282" s="11" t="n">
        <v>34.17</v>
      </c>
      <c r="K282" s="11" t="n">
        <f aca="false">J282/(1-I282/100)</f>
        <v>37.8908848968729</v>
      </c>
      <c r="L282" s="11" t="n">
        <v>27.65</v>
      </c>
      <c r="M282" s="11" t="n">
        <v>28.49</v>
      </c>
      <c r="N282" s="11" t="n">
        <v>14.92</v>
      </c>
      <c r="O282" s="11" t="n">
        <v>9.58</v>
      </c>
      <c r="P282" s="10" t="n">
        <f aca="false">ROUND(E282*J282/100,0)</f>
        <v>10166</v>
      </c>
      <c r="Q282" s="10" t="n">
        <f aca="false">ROUND(P282*I282/(100-I282),0)</f>
        <v>1107</v>
      </c>
      <c r="R282" s="10" t="n">
        <f aca="false">ROUND(P282*(100-L282)/100,0)</f>
        <v>7355</v>
      </c>
      <c r="S282" s="10" t="n">
        <f aca="false">ROUND(P282*M282/100,0)</f>
        <v>2896</v>
      </c>
      <c r="T282" s="11" t="n">
        <v>65.14</v>
      </c>
      <c r="U282" s="11" t="n">
        <v>65.36</v>
      </c>
      <c r="V282" s="3" t="n">
        <f aca="false">RANK(F282,$F$2:$F$350,0)</f>
        <v>263</v>
      </c>
      <c r="W282" s="12" t="n">
        <v>127.5</v>
      </c>
      <c r="X282" s="10" t="n">
        <v>75</v>
      </c>
      <c r="Y282" s="3" t="s">
        <v>58</v>
      </c>
      <c r="Z282" s="3" t="s">
        <v>416</v>
      </c>
      <c r="AA282" s="13" t="s">
        <v>59</v>
      </c>
      <c r="AB282" s="11" t="n">
        <v>6.46</v>
      </c>
    </row>
    <row r="283" customFormat="false" ht="16.4" hidden="false" customHeight="false" outlineLevel="0" collapsed="false">
      <c r="A283" s="3" t="n">
        <v>282</v>
      </c>
      <c r="B283" s="3" t="n">
        <v>18</v>
      </c>
      <c r="C283" s="3" t="s">
        <v>417</v>
      </c>
      <c r="D283" s="10" t="n">
        <v>8997</v>
      </c>
      <c r="E283" s="10" t="n">
        <f aca="false">ROUND(D283*INDEX(مناطق!$AF$2:$AF$23,B283),0)</f>
        <v>7498</v>
      </c>
      <c r="F283" s="11" t="n">
        <f aca="false">ROUND(100*(راهنما!$B$4*(H283-MIN($H$2:$H$350))/(MAX($H$2:$H$350)-MIN($H$2:$H$350))+راهنما!$B$5*(N283-MIN($N$2:$N$350))/(MAX($N$2:$N$350)-MIN($N$2:$N$350))+راهنما!$B$6*(J283-MIN($J$2:$J$350))/(MAX($J$2:$J$350)-MIN($J$2:$J$350))+راهنما!$B$7*(MAX($I$2:$I$350)-I283)/(MAX($I$2:$I$350)-MIN($I$2:$I$350)))/راهنما!$B$8,1)</f>
        <v>39</v>
      </c>
      <c r="G283" s="3" t="str">
        <f aca="false">IF(V283&lt;=ROUND(349*0.2,0),"بسیار بالا",IF(V283&lt;=ROUND(349*0.4,0),"بالا",IF(V283&lt;=ROUND(349*0.6,0),"متوسط",IF(V283&lt;=ROUND(349*0.8,0),"پایین","بسیار پایین"))))</f>
        <v>پایین</v>
      </c>
      <c r="H283" s="11" t="n">
        <f aca="false">(100-I283)*(100-L283)/100</f>
        <v>65.046834</v>
      </c>
      <c r="I283" s="11" t="n">
        <v>9.82</v>
      </c>
      <c r="J283" s="11" t="n">
        <v>34.21</v>
      </c>
      <c r="K283" s="11" t="n">
        <f aca="false">J283/(1-I283/100)</f>
        <v>37.9352406298514</v>
      </c>
      <c r="L283" s="11" t="n">
        <v>27.87</v>
      </c>
      <c r="M283" s="11" t="n">
        <v>28.49</v>
      </c>
      <c r="N283" s="11" t="n">
        <v>14.44</v>
      </c>
      <c r="O283" s="11" t="n">
        <v>9.69</v>
      </c>
      <c r="P283" s="10" t="n">
        <f aca="false">ROUND(E283*J283/100,0)</f>
        <v>2565</v>
      </c>
      <c r="Q283" s="10" t="n">
        <f aca="false">ROUND(P283*I283/(100-I283),0)</f>
        <v>279</v>
      </c>
      <c r="R283" s="10" t="n">
        <f aca="false">ROUND(P283*(100-L283)/100,0)</f>
        <v>1850</v>
      </c>
      <c r="S283" s="10" t="n">
        <f aca="false">ROUND(P283*M283/100,0)</f>
        <v>731</v>
      </c>
      <c r="T283" s="11" t="n">
        <v>65.03</v>
      </c>
      <c r="U283" s="11" t="n">
        <v>65.08</v>
      </c>
      <c r="V283" s="3" t="n">
        <f aca="false">RANK(F283,$F$2:$F$350,0)</f>
        <v>268</v>
      </c>
      <c r="W283" s="12"/>
      <c r="X283" s="10" t="n">
        <v>0</v>
      </c>
      <c r="Y283" s="3" t="s">
        <v>77</v>
      </c>
      <c r="Z283" s="13" t="s">
        <v>78</v>
      </c>
      <c r="AA283" s="13" t="s">
        <v>79</v>
      </c>
      <c r="AB283" s="11" t="n">
        <v>6.24</v>
      </c>
    </row>
    <row r="284" customFormat="false" ht="16.4" hidden="false" customHeight="false" outlineLevel="0" collapsed="false">
      <c r="A284" s="3" t="n">
        <v>283</v>
      </c>
      <c r="B284" s="3" t="n">
        <v>18</v>
      </c>
      <c r="C284" s="3" t="s">
        <v>418</v>
      </c>
      <c r="D284" s="10" t="n">
        <v>8217</v>
      </c>
      <c r="E284" s="10" t="n">
        <f aca="false">ROUND(D284*INDEX(مناطق!$AF$2:$AF$23,B284),0)</f>
        <v>6848</v>
      </c>
      <c r="F284" s="11" t="n">
        <f aca="false">ROUND(100*(راهنما!$B$4*(H284-MIN($H$2:$H$350))/(MAX($H$2:$H$350)-MIN($H$2:$H$350))+راهنما!$B$5*(N284-MIN($N$2:$N$350))/(MAX($N$2:$N$350)-MIN($N$2:$N$350))+راهنما!$B$6*(J284-MIN($J$2:$J$350))/(MAX($J$2:$J$350)-MIN($J$2:$J$350))+راهنما!$B$7*(MAX($I$2:$I$350)-I284)/(MAX($I$2:$I$350)-MIN($I$2:$I$350)))/راهنما!$B$8,1)</f>
        <v>39</v>
      </c>
      <c r="G284" s="3" t="str">
        <f aca="false">IF(V284&lt;=ROUND(349*0.2,0),"بسیار بالا",IF(V284&lt;=ROUND(349*0.4,0),"بالا",IF(V284&lt;=ROUND(349*0.6,0),"متوسط",IF(V284&lt;=ROUND(349*0.8,0),"پایین","بسیار پایین"))))</f>
        <v>پایین</v>
      </c>
      <c r="H284" s="11" t="n">
        <f aca="false">(100-I284)*(100-L284)/100</f>
        <v>65.046834</v>
      </c>
      <c r="I284" s="11" t="n">
        <v>9.82</v>
      </c>
      <c r="J284" s="11" t="n">
        <v>34.21</v>
      </c>
      <c r="K284" s="11" t="n">
        <f aca="false">J284/(1-I284/100)</f>
        <v>37.9352406298514</v>
      </c>
      <c r="L284" s="11" t="n">
        <v>27.87</v>
      </c>
      <c r="M284" s="11" t="n">
        <v>28.49</v>
      </c>
      <c r="N284" s="11" t="n">
        <v>14.44</v>
      </c>
      <c r="O284" s="11" t="n">
        <v>9.69</v>
      </c>
      <c r="P284" s="10" t="n">
        <f aca="false">ROUND(E284*J284/100,0)</f>
        <v>2343</v>
      </c>
      <c r="Q284" s="10" t="n">
        <f aca="false">ROUND(P284*I284/(100-I284),0)</f>
        <v>255</v>
      </c>
      <c r="R284" s="10" t="n">
        <f aca="false">ROUND(P284*(100-L284)/100,0)</f>
        <v>1690</v>
      </c>
      <c r="S284" s="10" t="n">
        <f aca="false">ROUND(P284*M284/100,0)</f>
        <v>668</v>
      </c>
      <c r="T284" s="11" t="n">
        <v>65.03</v>
      </c>
      <c r="U284" s="11" t="n">
        <v>65.08</v>
      </c>
      <c r="V284" s="3" t="n">
        <f aca="false">RANK(F284,$F$2:$F$350,0)</f>
        <v>268</v>
      </c>
      <c r="W284" s="12"/>
      <c r="X284" s="10" t="n">
        <v>0</v>
      </c>
      <c r="Y284" s="3" t="s">
        <v>58</v>
      </c>
      <c r="Z284" s="13" t="s">
        <v>78</v>
      </c>
      <c r="AA284" s="13" t="s">
        <v>79</v>
      </c>
      <c r="AB284" s="11" t="n">
        <v>6.24</v>
      </c>
    </row>
    <row r="285" customFormat="false" ht="16.4" hidden="false" customHeight="false" outlineLevel="0" collapsed="false">
      <c r="A285" s="3" t="n">
        <v>284</v>
      </c>
      <c r="B285" s="3" t="n">
        <v>18</v>
      </c>
      <c r="C285" s="3" t="s">
        <v>121</v>
      </c>
      <c r="D285" s="10" t="n">
        <v>6547</v>
      </c>
      <c r="E285" s="10" t="n">
        <f aca="false">ROUND(D285*INDEX(مناطق!$AF$2:$AF$23,B285),0)</f>
        <v>5457</v>
      </c>
      <c r="F285" s="11" t="n">
        <f aca="false">ROUND(100*(راهنما!$B$4*(H285-MIN($H$2:$H$350))/(MAX($H$2:$H$350)-MIN($H$2:$H$350))+راهنما!$B$5*(N285-MIN($N$2:$N$350))/(MAX($N$2:$N$350)-MIN($N$2:$N$350))+راهنما!$B$6*(J285-MIN($J$2:$J$350))/(MAX($J$2:$J$350)-MIN($J$2:$J$350))+راهنما!$B$7*(MAX($I$2:$I$350)-I285)/(MAX($I$2:$I$350)-MIN($I$2:$I$350)))/راهنما!$B$8,1)</f>
        <v>39</v>
      </c>
      <c r="G285" s="3" t="str">
        <f aca="false">IF(V285&lt;=ROUND(349*0.2,0),"بسیار بالا",IF(V285&lt;=ROUND(349*0.4,0),"بالا",IF(V285&lt;=ROUND(349*0.6,0),"متوسط",IF(V285&lt;=ROUND(349*0.8,0),"پایین","بسیار پایین"))))</f>
        <v>پایین</v>
      </c>
      <c r="H285" s="11" t="n">
        <f aca="false">(100-I285)*(100-L285)/100</f>
        <v>65.046834</v>
      </c>
      <c r="I285" s="11" t="n">
        <v>9.82</v>
      </c>
      <c r="J285" s="11" t="n">
        <v>34.21</v>
      </c>
      <c r="K285" s="11" t="n">
        <f aca="false">J285/(1-I285/100)</f>
        <v>37.9352406298514</v>
      </c>
      <c r="L285" s="11" t="n">
        <v>27.87</v>
      </c>
      <c r="M285" s="11" t="n">
        <v>28.49</v>
      </c>
      <c r="N285" s="11" t="n">
        <v>14.44</v>
      </c>
      <c r="O285" s="11" t="n">
        <v>9.69</v>
      </c>
      <c r="P285" s="10" t="n">
        <f aca="false">ROUND(E285*J285/100,0)</f>
        <v>1867</v>
      </c>
      <c r="Q285" s="10" t="n">
        <f aca="false">ROUND(P285*I285/(100-I285),0)</f>
        <v>203</v>
      </c>
      <c r="R285" s="10" t="n">
        <f aca="false">ROUND(P285*(100-L285)/100,0)</f>
        <v>1347</v>
      </c>
      <c r="S285" s="10" t="n">
        <f aca="false">ROUND(P285*M285/100,0)</f>
        <v>532</v>
      </c>
      <c r="T285" s="11" t="n">
        <v>65.03</v>
      </c>
      <c r="U285" s="11" t="n">
        <v>65.08</v>
      </c>
      <c r="V285" s="3" t="n">
        <f aca="false">RANK(F285,$F$2:$F$350,0)</f>
        <v>268</v>
      </c>
      <c r="W285" s="12"/>
      <c r="X285" s="10" t="n">
        <v>0</v>
      </c>
      <c r="Y285" s="3" t="s">
        <v>77</v>
      </c>
      <c r="Z285" s="13" t="s">
        <v>78</v>
      </c>
      <c r="AA285" s="13" t="s">
        <v>79</v>
      </c>
      <c r="AB285" s="11" t="n">
        <v>6.24</v>
      </c>
    </row>
    <row r="286" customFormat="false" ht="16.4" hidden="false" customHeight="false" outlineLevel="0" collapsed="false">
      <c r="A286" s="3" t="n">
        <v>285</v>
      </c>
      <c r="B286" s="3" t="n">
        <v>18</v>
      </c>
      <c r="C286" s="3" t="s">
        <v>419</v>
      </c>
      <c r="D286" s="10" t="n">
        <v>10188</v>
      </c>
      <c r="E286" s="10" t="n">
        <f aca="false">ROUND(D286*INDEX(مناطق!$AF$2:$AF$23,B286),0)</f>
        <v>8491</v>
      </c>
      <c r="F286" s="11" t="n">
        <f aca="false">ROUND(100*(راهنما!$B$4*(H286-MIN($H$2:$H$350))/(MAX($H$2:$H$350)-MIN($H$2:$H$350))+راهنما!$B$5*(N286-MIN($N$2:$N$350))/(MAX($N$2:$N$350)-MIN($N$2:$N$350))+راهنما!$B$6*(J286-MIN($J$2:$J$350))/(MAX($J$2:$J$350)-MIN($J$2:$J$350))+راهنما!$B$7*(MAX($I$2:$I$350)-I286)/(MAX($I$2:$I$350)-MIN($I$2:$I$350)))/راهنما!$B$8,1)</f>
        <v>38.6</v>
      </c>
      <c r="G286" s="3" t="str">
        <f aca="false">IF(V286&lt;=ROUND(349*0.2,0),"بسیار بالا",IF(V286&lt;=ROUND(349*0.4,0),"بالا",IF(V286&lt;=ROUND(349*0.6,0),"متوسط",IF(V286&lt;=ROUND(349*0.8,0),"پایین","بسیار پایین"))))</f>
        <v>پایین</v>
      </c>
      <c r="H286" s="11" t="n">
        <f aca="false">(100-I286)*(100-L286)/100</f>
        <v>64.911564</v>
      </c>
      <c r="I286" s="11" t="n">
        <v>9.82</v>
      </c>
      <c r="J286" s="11" t="n">
        <v>34.23</v>
      </c>
      <c r="K286" s="11" t="n">
        <f aca="false">J286/(1-I286/100)</f>
        <v>37.9574184963407</v>
      </c>
      <c r="L286" s="11" t="n">
        <v>28.02</v>
      </c>
      <c r="M286" s="11" t="n">
        <v>28.49</v>
      </c>
      <c r="N286" s="11" t="n">
        <v>14.12</v>
      </c>
      <c r="O286" s="11" t="n">
        <v>9.78</v>
      </c>
      <c r="P286" s="10" t="n">
        <f aca="false">ROUND(E286*J286/100,0)</f>
        <v>2906</v>
      </c>
      <c r="Q286" s="10" t="n">
        <f aca="false">ROUND(P286*I286/(100-I286),0)</f>
        <v>316</v>
      </c>
      <c r="R286" s="10" t="n">
        <f aca="false">ROUND(P286*(100-L286)/100,0)</f>
        <v>2092</v>
      </c>
      <c r="S286" s="10" t="n">
        <f aca="false">ROUND(P286*M286/100,0)</f>
        <v>828</v>
      </c>
      <c r="T286" s="11" t="n">
        <v>64.89</v>
      </c>
      <c r="U286" s="11" t="n">
        <v>64.95</v>
      </c>
      <c r="V286" s="3" t="n">
        <f aca="false">RANK(F286,$F$2:$F$350,0)</f>
        <v>279</v>
      </c>
      <c r="W286" s="12" t="n">
        <v>121</v>
      </c>
      <c r="X286" s="10" t="n">
        <v>80</v>
      </c>
      <c r="Y286" s="3" t="s">
        <v>58</v>
      </c>
      <c r="Z286" s="3" t="s">
        <v>420</v>
      </c>
      <c r="AA286" s="13" t="s">
        <v>59</v>
      </c>
      <c r="AB286" s="11" t="n">
        <v>6.1</v>
      </c>
    </row>
    <row r="287" customFormat="false" ht="16.4" hidden="false" customHeight="false" outlineLevel="0" collapsed="false">
      <c r="A287" s="3" t="n">
        <v>286</v>
      </c>
      <c r="B287" s="3" t="n">
        <v>18</v>
      </c>
      <c r="C287" s="3" t="s">
        <v>421</v>
      </c>
      <c r="D287" s="10" t="n">
        <v>36772</v>
      </c>
      <c r="E287" s="10" t="n">
        <f aca="false">ROUND(D287*INDEX(مناطق!$AF$2:$AF$23,B287),0)</f>
        <v>30647</v>
      </c>
      <c r="F287" s="11" t="n">
        <f aca="false">ROUND(100*(راهنما!$B$4*(H287-MIN($H$2:$H$350))/(MAX($H$2:$H$350)-MIN($H$2:$H$350))+راهنما!$B$5*(N287-MIN($N$2:$N$350))/(MAX($N$2:$N$350)-MIN($N$2:$N$350))+راهنما!$B$6*(J287-MIN($J$2:$J$350))/(MAX($J$2:$J$350)-MIN($J$2:$J$350))+راهنما!$B$7*(MAX($I$2:$I$350)-I287)/(MAX($I$2:$I$350)-MIN($I$2:$I$350)))/راهنما!$B$8,1)</f>
        <v>38.1</v>
      </c>
      <c r="G287" s="3" t="str">
        <f aca="false">IF(V287&lt;=ROUND(349*0.2,0),"بسیار بالا",IF(V287&lt;=ROUND(349*0.4,0),"بالا",IF(V287&lt;=ROUND(349*0.6,0),"متوسط",IF(V287&lt;=ROUND(349*0.8,0),"پایین","بسیار پایین"))))</f>
        <v>بسیار پایین</v>
      </c>
      <c r="H287" s="11" t="n">
        <f aca="false">(100-I287)*(100-L287)/100</f>
        <v>64.713168</v>
      </c>
      <c r="I287" s="11" t="n">
        <v>9.82</v>
      </c>
      <c r="J287" s="11" t="n">
        <v>34.26</v>
      </c>
      <c r="K287" s="11" t="n">
        <f aca="false">J287/(1-I287/100)</f>
        <v>37.9906852960745</v>
      </c>
      <c r="L287" s="11" t="n">
        <v>28.24</v>
      </c>
      <c r="M287" s="11" t="n">
        <v>28.49</v>
      </c>
      <c r="N287" s="11" t="n">
        <v>13.65</v>
      </c>
      <c r="O287" s="11" t="n">
        <v>9.9</v>
      </c>
      <c r="P287" s="10" t="n">
        <f aca="false">ROUND(E287*J287/100,0)</f>
        <v>10500</v>
      </c>
      <c r="Q287" s="10" t="n">
        <f aca="false">ROUND(P287*I287/(100-I287),0)</f>
        <v>1143</v>
      </c>
      <c r="R287" s="10" t="n">
        <f aca="false">ROUND(P287*(100-L287)/100,0)</f>
        <v>7535</v>
      </c>
      <c r="S287" s="10" t="n">
        <f aca="false">ROUND(P287*M287/100,0)</f>
        <v>2991</v>
      </c>
      <c r="T287" s="11" t="n">
        <v>64.6</v>
      </c>
      <c r="U287" s="11" t="n">
        <v>64.83</v>
      </c>
      <c r="V287" s="3" t="n">
        <f aca="false">RANK(F287,$F$2:$F$350,0)</f>
        <v>282</v>
      </c>
      <c r="W287" s="12" t="n">
        <v>113.9</v>
      </c>
      <c r="X287" s="10" t="n">
        <v>89</v>
      </c>
      <c r="Y287" s="3" t="s">
        <v>119</v>
      </c>
      <c r="Z287" s="3" t="s">
        <v>422</v>
      </c>
      <c r="AA287" s="13" t="s">
        <v>63</v>
      </c>
      <c r="AB287" s="11" t="n">
        <v>5.89</v>
      </c>
    </row>
    <row r="288" customFormat="false" ht="16.4" hidden="false" customHeight="false" outlineLevel="0" collapsed="false">
      <c r="A288" s="3" t="n">
        <v>287</v>
      </c>
      <c r="B288" s="3" t="n">
        <v>18</v>
      </c>
      <c r="C288" s="3" t="s">
        <v>423</v>
      </c>
      <c r="D288" s="10" t="n">
        <v>30523</v>
      </c>
      <c r="E288" s="10" t="n">
        <f aca="false">ROUND(D288*INDEX(مناطق!$AF$2:$AF$23,B288),0)</f>
        <v>25439</v>
      </c>
      <c r="F288" s="11" t="n">
        <f aca="false">ROUND(100*(راهنما!$B$4*(H288-MIN($H$2:$H$350))/(MAX($H$2:$H$350)-MIN($H$2:$H$350))+راهنما!$B$5*(N288-MIN($N$2:$N$350))/(MAX($N$2:$N$350)-MIN($N$2:$N$350))+راهنما!$B$6*(J288-MIN($J$2:$J$350))/(MAX($J$2:$J$350)-MIN($J$2:$J$350))+راهنما!$B$7*(MAX($I$2:$I$350)-I288)/(MAX($I$2:$I$350)-MIN($I$2:$I$350)))/راهنما!$B$8,1)</f>
        <v>38.1</v>
      </c>
      <c r="G288" s="3" t="str">
        <f aca="false">IF(V288&lt;=ROUND(349*0.2,0),"بسیار بالا",IF(V288&lt;=ROUND(349*0.4,0),"بالا",IF(V288&lt;=ROUND(349*0.6,0),"متوسط",IF(V288&lt;=ROUND(349*0.8,0),"پایین","بسیار پایین"))))</f>
        <v>بسیار پایین</v>
      </c>
      <c r="H288" s="11" t="n">
        <f aca="false">(100-I288)*(100-L288)/100</f>
        <v>64.713168</v>
      </c>
      <c r="I288" s="11" t="n">
        <v>9.82</v>
      </c>
      <c r="J288" s="11" t="n">
        <v>34.26</v>
      </c>
      <c r="K288" s="11" t="n">
        <f aca="false">J288/(1-I288/100)</f>
        <v>37.9906852960745</v>
      </c>
      <c r="L288" s="11" t="n">
        <v>28.24</v>
      </c>
      <c r="M288" s="11" t="n">
        <v>28.49</v>
      </c>
      <c r="N288" s="11" t="n">
        <v>13.65</v>
      </c>
      <c r="O288" s="11" t="n">
        <v>9.9</v>
      </c>
      <c r="P288" s="10" t="n">
        <f aca="false">ROUND(E288*J288/100,0)</f>
        <v>8715</v>
      </c>
      <c r="Q288" s="10" t="n">
        <f aca="false">ROUND(P288*I288/(100-I288),0)</f>
        <v>949</v>
      </c>
      <c r="R288" s="10" t="n">
        <f aca="false">ROUND(P288*(100-L288)/100,0)</f>
        <v>6254</v>
      </c>
      <c r="S288" s="10" t="n">
        <f aca="false">ROUND(P288*M288/100,0)</f>
        <v>2483</v>
      </c>
      <c r="T288" s="11" t="n">
        <v>64.6</v>
      </c>
      <c r="U288" s="11" t="n">
        <v>64.83</v>
      </c>
      <c r="V288" s="3" t="n">
        <f aca="false">RANK(F288,$F$2:$F$350,0)</f>
        <v>282</v>
      </c>
      <c r="W288" s="12" t="n">
        <v>113.9</v>
      </c>
      <c r="X288" s="10" t="n">
        <v>89</v>
      </c>
      <c r="Y288" s="3" t="s">
        <v>58</v>
      </c>
      <c r="Z288" s="3" t="s">
        <v>422</v>
      </c>
      <c r="AA288" s="13" t="s">
        <v>59</v>
      </c>
      <c r="AB288" s="11" t="n">
        <v>5.89</v>
      </c>
    </row>
    <row r="289" customFormat="false" ht="16.4" hidden="false" customHeight="false" outlineLevel="0" collapsed="false">
      <c r="A289" s="3" t="n">
        <v>288</v>
      </c>
      <c r="B289" s="3" t="n">
        <v>18</v>
      </c>
      <c r="C289" s="3" t="s">
        <v>424</v>
      </c>
      <c r="D289" s="10" t="n">
        <v>43277</v>
      </c>
      <c r="E289" s="10" t="n">
        <f aca="false">ROUND(D289*INDEX(مناطق!$AF$2:$AF$23,B289),0)</f>
        <v>36069</v>
      </c>
      <c r="F289" s="11" t="n">
        <f aca="false">ROUND(100*(راهنما!$B$4*(H289-MIN($H$2:$H$350))/(MAX($H$2:$H$350)-MIN($H$2:$H$350))+راهنما!$B$5*(N289-MIN($N$2:$N$350))/(MAX($N$2:$N$350)-MIN($N$2:$N$350))+راهنما!$B$6*(J289-MIN($J$2:$J$350))/(MAX($J$2:$J$350)-MIN($J$2:$J$350))+راهنما!$B$7*(MAX($I$2:$I$350)-I289)/(MAX($I$2:$I$350)-MIN($I$2:$I$350)))/راهنما!$B$8,1)</f>
        <v>38</v>
      </c>
      <c r="G289" s="3" t="str">
        <f aca="false">IF(V289&lt;=ROUND(349*0.2,0),"بسیار بالا",IF(V289&lt;=ROUND(349*0.4,0),"بالا",IF(V289&lt;=ROUND(349*0.6,0),"متوسط",IF(V289&lt;=ROUND(349*0.8,0),"پایین","بسیار پایین"))))</f>
        <v>بسیار پایین</v>
      </c>
      <c r="H289" s="11" t="n">
        <f aca="false">(100-I289)*(100-L289)/100</f>
        <v>64.70415</v>
      </c>
      <c r="I289" s="11" t="n">
        <v>9.82</v>
      </c>
      <c r="J289" s="11" t="n">
        <v>34.26</v>
      </c>
      <c r="K289" s="11" t="n">
        <f aca="false">J289/(1-I289/100)</f>
        <v>37.9906852960745</v>
      </c>
      <c r="L289" s="11" t="n">
        <v>28.25</v>
      </c>
      <c r="M289" s="11" t="n">
        <v>28.49</v>
      </c>
      <c r="N289" s="11" t="n">
        <v>13.63</v>
      </c>
      <c r="O289" s="11" t="n">
        <v>9.91</v>
      </c>
      <c r="P289" s="10" t="n">
        <f aca="false">ROUND(E289*J289/100,0)</f>
        <v>12357</v>
      </c>
      <c r="Q289" s="10" t="n">
        <f aca="false">ROUND(P289*I289/(100-I289),0)</f>
        <v>1346</v>
      </c>
      <c r="R289" s="10" t="n">
        <f aca="false">ROUND(P289*(100-L289)/100,0)</f>
        <v>8866</v>
      </c>
      <c r="S289" s="10" t="n">
        <f aca="false">ROUND(P289*M289/100,0)</f>
        <v>3521</v>
      </c>
      <c r="T289" s="11" t="n">
        <v>64.59</v>
      </c>
      <c r="U289" s="11" t="n">
        <v>64.82</v>
      </c>
      <c r="V289" s="3" t="n">
        <f aca="false">RANK(F289,$F$2:$F$350,0)</f>
        <v>285</v>
      </c>
      <c r="W289" s="12" t="n">
        <v>114.6</v>
      </c>
      <c r="X289" s="10" t="n">
        <v>79</v>
      </c>
      <c r="Y289" s="3" t="s">
        <v>58</v>
      </c>
      <c r="Z289" s="3" t="s">
        <v>424</v>
      </c>
      <c r="AA289" s="13" t="s">
        <v>59</v>
      </c>
      <c r="AB289" s="11" t="n">
        <v>5.88</v>
      </c>
    </row>
    <row r="290" customFormat="false" ht="16.4" hidden="false" customHeight="false" outlineLevel="0" collapsed="false">
      <c r="A290" s="3" t="n">
        <v>289</v>
      </c>
      <c r="B290" s="3" t="n">
        <v>18</v>
      </c>
      <c r="C290" s="3" t="s">
        <v>346</v>
      </c>
      <c r="D290" s="10" t="n">
        <v>25065</v>
      </c>
      <c r="E290" s="10" t="n">
        <f aca="false">ROUND(D290*INDEX(مناطق!$AF$2:$AF$23,B290),0)</f>
        <v>20890</v>
      </c>
      <c r="F290" s="11" t="n">
        <f aca="false">ROUND(100*(راهنما!$B$4*(H290-MIN($H$2:$H$350))/(MAX($H$2:$H$350)-MIN($H$2:$H$350))+راهنما!$B$5*(N290-MIN($N$2:$N$350))/(MAX($N$2:$N$350)-MIN($N$2:$N$350))+راهنما!$B$6*(J290-MIN($J$2:$J$350))/(MAX($J$2:$J$350)-MIN($J$2:$J$350))+راهنما!$B$7*(MAX($I$2:$I$350)-I290)/(MAX($I$2:$I$350)-MIN($I$2:$I$350)))/راهنما!$B$8,1)</f>
        <v>36.7</v>
      </c>
      <c r="G290" s="3" t="str">
        <f aca="false">IF(V290&lt;=ROUND(349*0.2,0),"بسیار بالا",IF(V290&lt;=ROUND(349*0.4,0),"بالا",IF(V290&lt;=ROUND(349*0.6,0),"متوسط",IF(V290&lt;=ROUND(349*0.8,0),"پایین","بسیار پایین"))))</f>
        <v>بسیار پایین</v>
      </c>
      <c r="H290" s="11" t="n">
        <f aca="false">(100-I290)*(100-L290)/100</f>
        <v>64.199142</v>
      </c>
      <c r="I290" s="11" t="n">
        <v>9.82</v>
      </c>
      <c r="J290" s="11" t="n">
        <v>34.35</v>
      </c>
      <c r="K290" s="11" t="n">
        <f aca="false">J290/(1-I290/100)</f>
        <v>38.0904856952761</v>
      </c>
      <c r="L290" s="11" t="n">
        <v>28.81</v>
      </c>
      <c r="M290" s="11" t="n">
        <v>28.49</v>
      </c>
      <c r="N290" s="11" t="n">
        <v>12.53</v>
      </c>
      <c r="O290" s="11" t="n">
        <v>10.22</v>
      </c>
      <c r="P290" s="10" t="n">
        <f aca="false">ROUND(E290*J290/100,0)</f>
        <v>7176</v>
      </c>
      <c r="Q290" s="10" t="n">
        <f aca="false">ROUND(P290*I290/(100-I290),0)</f>
        <v>781</v>
      </c>
      <c r="R290" s="10" t="n">
        <f aca="false">ROUND(P290*(100-L290)/100,0)</f>
        <v>5109</v>
      </c>
      <c r="S290" s="10" t="n">
        <f aca="false">ROUND(P290*M290/100,0)</f>
        <v>2044</v>
      </c>
      <c r="T290" s="11" t="n">
        <v>63.87</v>
      </c>
      <c r="U290" s="11" t="n">
        <v>64.53</v>
      </c>
      <c r="V290" s="3" t="n">
        <f aca="false">RANK(F290,$F$2:$F$350,0)</f>
        <v>298</v>
      </c>
      <c r="W290" s="12" t="n">
        <v>110.5</v>
      </c>
      <c r="X290" s="10" t="n">
        <v>73</v>
      </c>
      <c r="Y290" s="3" t="s">
        <v>67</v>
      </c>
      <c r="Z290" s="3" t="s">
        <v>346</v>
      </c>
      <c r="AA290" s="13" t="s">
        <v>59</v>
      </c>
      <c r="AB290" s="11" t="n">
        <v>5.39</v>
      </c>
    </row>
    <row r="291" customFormat="false" ht="16.4" hidden="false" customHeight="false" outlineLevel="0" collapsed="false">
      <c r="A291" s="3" t="n">
        <v>290</v>
      </c>
      <c r="B291" s="3" t="n">
        <v>18</v>
      </c>
      <c r="C291" s="3" t="s">
        <v>425</v>
      </c>
      <c r="D291" s="10" t="n">
        <v>22091</v>
      </c>
      <c r="E291" s="10" t="n">
        <f aca="false">ROUND(D291*INDEX(مناطق!$AF$2:$AF$23,B291),0)</f>
        <v>18412</v>
      </c>
      <c r="F291" s="11" t="n">
        <f aca="false">ROUND(100*(راهنما!$B$4*(H291-MIN($H$2:$H$350))/(MAX($H$2:$H$350)-MIN($H$2:$H$350))+راهنما!$B$5*(N291-MIN($N$2:$N$350))/(MAX($N$2:$N$350)-MIN($N$2:$N$350))+راهنما!$B$6*(J291-MIN($J$2:$J$350))/(MAX($J$2:$J$350)-MIN($J$2:$J$350))+راهنما!$B$7*(MAX($I$2:$I$350)-I291)/(MAX($I$2:$I$350)-MIN($I$2:$I$350)))/راهنما!$B$8,1)</f>
        <v>33.6</v>
      </c>
      <c r="G291" s="3" t="str">
        <f aca="false">IF(V291&lt;=ROUND(349*0.2,0),"بسیار بالا",IF(V291&lt;=ROUND(349*0.4,0),"بالا",IF(V291&lt;=ROUND(349*0.6,0),"متوسط",IF(V291&lt;=ROUND(349*0.8,0),"پایین","بسیار پایین"))))</f>
        <v>بسیار پایین</v>
      </c>
      <c r="H291" s="11" t="n">
        <f aca="false">(100-I291)*(100-L291)/100</f>
        <v>62.954658</v>
      </c>
      <c r="I291" s="11" t="n">
        <v>9.82</v>
      </c>
      <c r="J291" s="11" t="n">
        <v>34.55</v>
      </c>
      <c r="K291" s="11" t="n">
        <f aca="false">J291/(1-I291/100)</f>
        <v>38.3122643601686</v>
      </c>
      <c r="L291" s="11" t="n">
        <v>30.19</v>
      </c>
      <c r="M291" s="11" t="n">
        <v>28.49</v>
      </c>
      <c r="N291" s="11" t="n">
        <v>10.18</v>
      </c>
      <c r="O291" s="11" t="n">
        <v>11</v>
      </c>
      <c r="P291" s="10" t="n">
        <f aca="false">ROUND(E291*J291/100,0)</f>
        <v>6361</v>
      </c>
      <c r="Q291" s="10" t="n">
        <f aca="false">ROUND(P291*I291/(100-I291),0)</f>
        <v>693</v>
      </c>
      <c r="R291" s="10" t="n">
        <f aca="false">ROUND(P291*(100-L291)/100,0)</f>
        <v>4441</v>
      </c>
      <c r="S291" s="10" t="n">
        <f aca="false">ROUND(P291*M291/100,0)</f>
        <v>1812</v>
      </c>
      <c r="T291" s="11" t="n">
        <v>62.09</v>
      </c>
      <c r="U291" s="11" t="n">
        <v>63.82</v>
      </c>
      <c r="V291" s="3" t="n">
        <f aca="false">RANK(F291,$F$2:$F$350,0)</f>
        <v>322</v>
      </c>
      <c r="W291" s="12" t="n">
        <v>94.5</v>
      </c>
      <c r="X291" s="10" t="n">
        <v>78</v>
      </c>
      <c r="Y291" s="3" t="s">
        <v>58</v>
      </c>
      <c r="Z291" s="3" t="s">
        <v>425</v>
      </c>
      <c r="AA291" s="13" t="s">
        <v>59</v>
      </c>
      <c r="AB291" s="11" t="n">
        <v>4.37</v>
      </c>
    </row>
    <row r="292" customFormat="false" ht="16.4" hidden="false" customHeight="false" outlineLevel="0" collapsed="false">
      <c r="A292" s="3" t="n">
        <v>291</v>
      </c>
      <c r="B292" s="3" t="n">
        <v>18</v>
      </c>
      <c r="C292" s="3" t="s">
        <v>426</v>
      </c>
      <c r="D292" s="10" t="n">
        <v>2455</v>
      </c>
      <c r="E292" s="10" t="n">
        <f aca="false">ROUND(D292*INDEX(مناطق!$AF$2:$AF$23,B292),0)</f>
        <v>2046</v>
      </c>
      <c r="F292" s="11" t="n">
        <f aca="false">ROUND(100*(راهنما!$B$4*(H292-MIN($H$2:$H$350))/(MAX($H$2:$H$350)-MIN($H$2:$H$350))+راهنما!$B$5*(N292-MIN($N$2:$N$350))/(MAX($N$2:$N$350)-MIN($N$2:$N$350))+راهنما!$B$6*(J292-MIN($J$2:$J$350))/(MAX($J$2:$J$350)-MIN($J$2:$J$350))+راهنما!$B$7*(MAX($I$2:$I$350)-I292)/(MAX($I$2:$I$350)-MIN($I$2:$I$350)))/راهنما!$B$8,1)</f>
        <v>32.9</v>
      </c>
      <c r="G292" s="3" t="str">
        <f aca="false">IF(V292&lt;=ROUND(349*0.2,0),"بسیار بالا",IF(V292&lt;=ROUND(349*0.4,0),"بالا",IF(V292&lt;=ROUND(349*0.6,0),"متوسط",IF(V292&lt;=ROUND(349*0.8,0),"پایین","بسیار پایین"))))</f>
        <v>بسیار پایین</v>
      </c>
      <c r="H292" s="11" t="n">
        <f aca="false">(100-I292)*(100-L292)/100</f>
        <v>62.684118</v>
      </c>
      <c r="I292" s="11" t="n">
        <v>9.82</v>
      </c>
      <c r="J292" s="11" t="n">
        <v>34.59</v>
      </c>
      <c r="K292" s="11" t="n">
        <f aca="false">J292/(1-I292/100)</f>
        <v>38.356620093147</v>
      </c>
      <c r="L292" s="11" t="n">
        <v>30.49</v>
      </c>
      <c r="M292" s="11" t="n">
        <v>28.49</v>
      </c>
      <c r="N292" s="11" t="n">
        <v>9.73</v>
      </c>
      <c r="O292" s="11" t="n">
        <v>11.18</v>
      </c>
      <c r="P292" s="10" t="n">
        <f aca="false">ROUND(E292*J292/100,0)</f>
        <v>708</v>
      </c>
      <c r="Q292" s="10" t="n">
        <f aca="false">ROUND(P292*I292/(100-I292),0)</f>
        <v>77</v>
      </c>
      <c r="R292" s="10" t="n">
        <f aca="false">ROUND(P292*(100-L292)/100,0)</f>
        <v>492</v>
      </c>
      <c r="S292" s="10" t="n">
        <f aca="false">ROUND(P292*M292/100,0)</f>
        <v>202</v>
      </c>
      <c r="T292" s="11" t="n">
        <v>61.69</v>
      </c>
      <c r="U292" s="11" t="n">
        <v>63.66</v>
      </c>
      <c r="V292" s="3" t="n">
        <f aca="false">RANK(F292,$F$2:$F$350,0)</f>
        <v>324</v>
      </c>
      <c r="W292" s="12" t="n">
        <v>90.8</v>
      </c>
      <c r="X292" s="10" t="n">
        <v>13</v>
      </c>
      <c r="Y292" s="3" t="s">
        <v>58</v>
      </c>
      <c r="Z292" s="3" t="s">
        <v>427</v>
      </c>
      <c r="AA292" s="13" t="s">
        <v>63</v>
      </c>
      <c r="AB292" s="11" t="n">
        <v>4.18</v>
      </c>
    </row>
    <row r="293" customFormat="false" ht="16.4" hidden="false" customHeight="false" outlineLevel="0" collapsed="false">
      <c r="A293" s="3" t="n">
        <v>292</v>
      </c>
      <c r="B293" s="3" t="n">
        <v>18</v>
      </c>
      <c r="C293" s="3" t="s">
        <v>428</v>
      </c>
      <c r="D293" s="10" t="n">
        <v>30224</v>
      </c>
      <c r="E293" s="10" t="n">
        <f aca="false">ROUND(D293*INDEX(مناطق!$AF$2:$AF$23,B293),0)</f>
        <v>25190</v>
      </c>
      <c r="F293" s="11" t="n">
        <f aca="false">ROUND(100*(راهنما!$B$4*(H293-MIN($H$2:$H$350))/(MAX($H$2:$H$350)-MIN($H$2:$H$350))+راهنما!$B$5*(N293-MIN($N$2:$N$350))/(MAX($N$2:$N$350)-MIN($N$2:$N$350))+راهنما!$B$6*(J293-MIN($J$2:$J$350))/(MAX($J$2:$J$350)-MIN($J$2:$J$350))+راهنما!$B$7*(MAX($I$2:$I$350)-I293)/(MAX($I$2:$I$350)-MIN($I$2:$I$350)))/راهنما!$B$8,1)</f>
        <v>31.1</v>
      </c>
      <c r="G293" s="3" t="str">
        <f aca="false">IF(V293&lt;=ROUND(349*0.2,0),"بسیار بالا",IF(V293&lt;=ROUND(349*0.4,0),"بالا",IF(V293&lt;=ROUND(349*0.6,0),"متوسط",IF(V293&lt;=ROUND(349*0.8,0),"پایین","بسیار پایین"))))</f>
        <v>بسیار پایین</v>
      </c>
      <c r="H293" s="11" t="n">
        <f aca="false">(100-I293)*(100-L293)/100</f>
        <v>61.899552</v>
      </c>
      <c r="I293" s="11" t="n">
        <v>9.82</v>
      </c>
      <c r="J293" s="11" t="n">
        <v>34.72</v>
      </c>
      <c r="K293" s="11" t="n">
        <f aca="false">J293/(1-I293/100)</f>
        <v>38.5007762253271</v>
      </c>
      <c r="L293" s="11" t="n">
        <v>31.36</v>
      </c>
      <c r="M293" s="11" t="n">
        <v>28.49</v>
      </c>
      <c r="N293" s="11" t="n">
        <v>8.53</v>
      </c>
      <c r="O293" s="11" t="n">
        <v>11.7</v>
      </c>
      <c r="P293" s="10" t="n">
        <f aca="false">ROUND(E293*J293/100,0)</f>
        <v>8746</v>
      </c>
      <c r="Q293" s="10" t="n">
        <f aca="false">ROUND(P293*I293/(100-I293),0)</f>
        <v>952</v>
      </c>
      <c r="R293" s="10" t="n">
        <f aca="false">ROUND(P293*(100-L293)/100,0)</f>
        <v>6003</v>
      </c>
      <c r="S293" s="10" t="n">
        <f aca="false">ROUND(P293*M293/100,0)</f>
        <v>2492</v>
      </c>
      <c r="T293" s="11" t="n">
        <v>60.55</v>
      </c>
      <c r="U293" s="11" t="n">
        <v>63.22</v>
      </c>
      <c r="V293" s="3" t="n">
        <f aca="false">RANK(F293,$F$2:$F$350,0)</f>
        <v>331</v>
      </c>
      <c r="W293" s="12" t="n">
        <v>83.5</v>
      </c>
      <c r="X293" s="10" t="n">
        <v>84</v>
      </c>
      <c r="Y293" s="3" t="s">
        <v>58</v>
      </c>
      <c r="Z293" s="3" t="s">
        <v>428</v>
      </c>
      <c r="AA293" s="13" t="s">
        <v>59</v>
      </c>
      <c r="AB293" s="11" t="n">
        <v>3.66</v>
      </c>
    </row>
    <row r="294" customFormat="false" ht="16.4" hidden="false" customHeight="false" outlineLevel="0" collapsed="false">
      <c r="A294" s="3" t="n">
        <v>293</v>
      </c>
      <c r="B294" s="3" t="n">
        <v>19</v>
      </c>
      <c r="C294" s="3" t="s">
        <v>429</v>
      </c>
      <c r="D294" s="10" t="n">
        <v>17865</v>
      </c>
      <c r="E294" s="10" t="n">
        <f aca="false">ROUND(D294*INDEX(مناطق!$AF$2:$AF$23,B294),0)</f>
        <v>14881</v>
      </c>
      <c r="F294" s="11" t="n">
        <f aca="false">ROUND(100*(راهنما!$B$4*(H294-MIN($H$2:$H$350))/(MAX($H$2:$H$350)-MIN($H$2:$H$350))+راهنما!$B$5*(N294-MIN($N$2:$N$350))/(MAX($N$2:$N$350)-MIN($N$2:$N$350))+راهنما!$B$6*(J294-MIN($J$2:$J$350))/(MAX($J$2:$J$350)-MIN($J$2:$J$350))+راهنما!$B$7*(MAX($I$2:$I$350)-I294)/(MAX($I$2:$I$350)-MIN($I$2:$I$350)))/راهنما!$B$8,1)</f>
        <v>41.3</v>
      </c>
      <c r="G294" s="3" t="str">
        <f aca="false">IF(V294&lt;=ROUND(349*0.2,0),"بسیار بالا",IF(V294&lt;=ROUND(349*0.4,0),"بالا",IF(V294&lt;=ROUND(349*0.6,0),"متوسط",IF(V294&lt;=ROUND(349*0.8,0),"پایین","بسیار پایین"))))</f>
        <v>پایین</v>
      </c>
      <c r="H294" s="11" t="n">
        <f aca="false">(100-I294)*(100-L294)/100</f>
        <v>66.178398</v>
      </c>
      <c r="I294" s="11" t="n">
        <v>9.58</v>
      </c>
      <c r="J294" s="11" t="n">
        <v>33.86</v>
      </c>
      <c r="K294" s="11" t="n">
        <f aca="false">J294/(1-I294/100)</f>
        <v>37.4474673744747</v>
      </c>
      <c r="L294" s="11" t="n">
        <v>26.81</v>
      </c>
      <c r="M294" s="11" t="n">
        <v>27.57</v>
      </c>
      <c r="N294" s="11" t="n">
        <v>16.21</v>
      </c>
      <c r="O294" s="11" t="n">
        <v>9.49</v>
      </c>
      <c r="P294" s="10" t="n">
        <f aca="false">ROUND(E294*J294/100,0)</f>
        <v>5039</v>
      </c>
      <c r="Q294" s="10" t="n">
        <f aca="false">ROUND(P294*I294/(100-I294),0)</f>
        <v>534</v>
      </c>
      <c r="R294" s="10" t="n">
        <f aca="false">ROUND(P294*(100-L294)/100,0)</f>
        <v>3688</v>
      </c>
      <c r="S294" s="10" t="n">
        <f aca="false">ROUND(P294*M294/100,0)</f>
        <v>1389</v>
      </c>
      <c r="T294" s="11" t="n">
        <v>65.43</v>
      </c>
      <c r="U294" s="11" t="n">
        <v>66.92</v>
      </c>
      <c r="V294" s="3" t="n">
        <f aca="false">RANK(F294,$F$2:$F$350,0)</f>
        <v>247</v>
      </c>
      <c r="W294" s="12" t="n">
        <v>173.6</v>
      </c>
      <c r="X294" s="10" t="n">
        <v>59</v>
      </c>
      <c r="Y294" s="3" t="s">
        <v>67</v>
      </c>
      <c r="Z294" s="3" t="s">
        <v>430</v>
      </c>
      <c r="AA294" s="13" t="s">
        <v>59</v>
      </c>
      <c r="AB294" s="11" t="n">
        <v>7.48</v>
      </c>
    </row>
    <row r="295" customFormat="false" ht="16.4" hidden="false" customHeight="false" outlineLevel="0" collapsed="false">
      <c r="A295" s="3" t="n">
        <v>294</v>
      </c>
      <c r="B295" s="3" t="n">
        <v>19</v>
      </c>
      <c r="C295" s="3" t="s">
        <v>431</v>
      </c>
      <c r="D295" s="10" t="n">
        <v>13162</v>
      </c>
      <c r="E295" s="10" t="n">
        <f aca="false">ROUND(D295*INDEX(مناطق!$AF$2:$AF$23,B295),0)</f>
        <v>10964</v>
      </c>
      <c r="F295" s="11" t="n">
        <f aca="false">ROUND(100*(راهنما!$B$4*(H295-MIN($H$2:$H$350))/(MAX($H$2:$H$350)-MIN($H$2:$H$350))+راهنما!$B$5*(N295-MIN($N$2:$N$350))/(MAX($N$2:$N$350)-MIN($N$2:$N$350))+راهنما!$B$6*(J295-MIN($J$2:$J$350))/(MAX($J$2:$J$350)-MIN($J$2:$J$350))+راهنما!$B$7*(MAX($I$2:$I$350)-I295)/(MAX($I$2:$I$350)-MIN($I$2:$I$350)))/راهنما!$B$8,1)</f>
        <v>40.2</v>
      </c>
      <c r="G295" s="3" t="str">
        <f aca="false">IF(V295&lt;=ROUND(349*0.2,0),"بسیار بالا",IF(V295&lt;=ROUND(349*0.4,0),"بالا",IF(V295&lt;=ROUND(349*0.6,0),"متوسط",IF(V295&lt;=ROUND(349*0.8,0),"پایین","بسیار پایین"))))</f>
        <v>پایین</v>
      </c>
      <c r="H295" s="11" t="n">
        <f aca="false">(100-I295)*(100-L295)/100</f>
        <v>65.771508</v>
      </c>
      <c r="I295" s="11" t="n">
        <v>9.58</v>
      </c>
      <c r="J295" s="11" t="n">
        <v>33.93</v>
      </c>
      <c r="K295" s="11" t="n">
        <f aca="false">J295/(1-I295/100)</f>
        <v>37.5248838752488</v>
      </c>
      <c r="L295" s="11" t="n">
        <v>27.26</v>
      </c>
      <c r="M295" s="11" t="n">
        <v>27.57</v>
      </c>
      <c r="N295" s="11" t="n">
        <v>15.13</v>
      </c>
      <c r="O295" s="11" t="n">
        <v>9.75</v>
      </c>
      <c r="P295" s="10" t="n">
        <f aca="false">ROUND(E295*J295/100,0)</f>
        <v>3720</v>
      </c>
      <c r="Q295" s="10" t="n">
        <f aca="false">ROUND(P295*I295/(100-I295),0)</f>
        <v>394</v>
      </c>
      <c r="R295" s="10" t="n">
        <f aca="false">ROUND(P295*(100-L295)/100,0)</f>
        <v>2706</v>
      </c>
      <c r="S295" s="10" t="n">
        <f aca="false">ROUND(P295*M295/100,0)</f>
        <v>1026</v>
      </c>
      <c r="T295" s="11" t="n">
        <v>65.19</v>
      </c>
      <c r="U295" s="11" t="n">
        <v>66.35</v>
      </c>
      <c r="V295" s="3" t="n">
        <f aca="false">RANK(F295,$F$2:$F$350,0)</f>
        <v>252</v>
      </c>
      <c r="W295" s="12" t="n">
        <v>168.4</v>
      </c>
      <c r="X295" s="10" t="n">
        <v>25</v>
      </c>
      <c r="Y295" s="3" t="s">
        <v>58</v>
      </c>
      <c r="Z295" s="3" t="s">
        <v>432</v>
      </c>
      <c r="AA295" s="13" t="s">
        <v>63</v>
      </c>
      <c r="AB295" s="11" t="n">
        <v>6.96</v>
      </c>
    </row>
    <row r="296" customFormat="false" ht="16.4" hidden="false" customHeight="false" outlineLevel="0" collapsed="false">
      <c r="A296" s="3" t="n">
        <v>295</v>
      </c>
      <c r="B296" s="3" t="n">
        <v>19</v>
      </c>
      <c r="C296" s="3" t="s">
        <v>433</v>
      </c>
      <c r="D296" s="10" t="n">
        <v>23750</v>
      </c>
      <c r="E296" s="10" t="n">
        <f aca="false">ROUND(D296*INDEX(مناطق!$AF$2:$AF$23,B296),0)</f>
        <v>19783</v>
      </c>
      <c r="F296" s="11" t="n">
        <f aca="false">ROUND(100*(راهنما!$B$4*(H296-MIN($H$2:$H$350))/(MAX($H$2:$H$350)-MIN($H$2:$H$350))+راهنما!$B$5*(N296-MIN($N$2:$N$350))/(MAX($N$2:$N$350)-MIN($N$2:$N$350))+راهنما!$B$6*(J296-MIN($J$2:$J$350))/(MAX($J$2:$J$350)-MIN($J$2:$J$350))+راهنما!$B$7*(MAX($I$2:$I$350)-I296)/(MAX($I$2:$I$350)-MIN($I$2:$I$350)))/راهنما!$B$8,1)</f>
        <v>40.1</v>
      </c>
      <c r="G296" s="3" t="str">
        <f aca="false">IF(V296&lt;=ROUND(349*0.2,0),"بسیار بالا",IF(V296&lt;=ROUND(349*0.4,0),"بالا",IF(V296&lt;=ROUND(349*0.6,0),"متوسط",IF(V296&lt;=ROUND(349*0.8,0),"پایین","بسیار پایین"))))</f>
        <v>پایین</v>
      </c>
      <c r="H296" s="11" t="n">
        <f aca="false">(100-I296)*(100-L296)/100</f>
        <v>65.762466</v>
      </c>
      <c r="I296" s="11" t="n">
        <v>9.58</v>
      </c>
      <c r="J296" s="11" t="n">
        <v>33.93</v>
      </c>
      <c r="K296" s="11" t="n">
        <f aca="false">J296/(1-I296/100)</f>
        <v>37.5248838752488</v>
      </c>
      <c r="L296" s="11" t="n">
        <v>27.27</v>
      </c>
      <c r="M296" s="11" t="n">
        <v>27.57</v>
      </c>
      <c r="N296" s="11" t="n">
        <v>15.12</v>
      </c>
      <c r="O296" s="11" t="n">
        <v>9.75</v>
      </c>
      <c r="P296" s="10" t="n">
        <f aca="false">ROUND(E296*J296/100,0)</f>
        <v>6712</v>
      </c>
      <c r="Q296" s="10" t="n">
        <f aca="false">ROUND(P296*I296/(100-I296),0)</f>
        <v>711</v>
      </c>
      <c r="R296" s="10" t="n">
        <f aca="false">ROUND(P296*(100-L296)/100,0)</f>
        <v>4882</v>
      </c>
      <c r="S296" s="10" t="n">
        <f aca="false">ROUND(P296*M296/100,0)</f>
        <v>1850</v>
      </c>
      <c r="T296" s="11" t="n">
        <v>65.19</v>
      </c>
      <c r="U296" s="11" t="n">
        <v>66.35</v>
      </c>
      <c r="V296" s="3" t="n">
        <f aca="false">RANK(F296,$F$2:$F$350,0)</f>
        <v>253</v>
      </c>
      <c r="W296" s="12" t="n">
        <v>169.7</v>
      </c>
      <c r="X296" s="10" t="n">
        <v>86</v>
      </c>
      <c r="Y296" s="3" t="s">
        <v>67</v>
      </c>
      <c r="Z296" s="3" t="s">
        <v>352</v>
      </c>
      <c r="AA296" s="13" t="s">
        <v>59</v>
      </c>
      <c r="AB296" s="11" t="n">
        <v>6.96</v>
      </c>
    </row>
    <row r="297" customFormat="false" ht="16.4" hidden="false" customHeight="false" outlineLevel="0" collapsed="false">
      <c r="A297" s="3" t="n">
        <v>296</v>
      </c>
      <c r="B297" s="3" t="n">
        <v>19</v>
      </c>
      <c r="C297" s="3" t="s">
        <v>434</v>
      </c>
      <c r="D297" s="10" t="n">
        <v>21666</v>
      </c>
      <c r="E297" s="10" t="n">
        <f aca="false">ROUND(D297*INDEX(مناطق!$AF$2:$AF$23,B297),0)</f>
        <v>18048</v>
      </c>
      <c r="F297" s="11" t="n">
        <f aca="false">ROUND(100*(راهنما!$B$4*(H297-MIN($H$2:$H$350))/(MAX($H$2:$H$350)-MIN($H$2:$H$350))+راهنما!$B$5*(N297-MIN($N$2:$N$350))/(MAX($N$2:$N$350)-MIN($N$2:$N$350))+راهنما!$B$6*(J297-MIN($J$2:$J$350))/(MAX($J$2:$J$350)-MIN($J$2:$J$350))+راهنما!$B$7*(MAX($I$2:$I$350)-I297)/(MAX($I$2:$I$350)-MIN($I$2:$I$350)))/راهنما!$B$8,1)</f>
        <v>40.1</v>
      </c>
      <c r="G297" s="3" t="str">
        <f aca="false">IF(V297&lt;=ROUND(349*0.2,0),"بسیار بالا",IF(V297&lt;=ROUND(349*0.4,0),"بالا",IF(V297&lt;=ROUND(349*0.6,0),"متوسط",IF(V297&lt;=ROUND(349*0.8,0),"پایین","بسیار پایین"))))</f>
        <v>پایین</v>
      </c>
      <c r="H297" s="11" t="n">
        <f aca="false">(100-I297)*(100-L297)/100</f>
        <v>65.762466</v>
      </c>
      <c r="I297" s="11" t="n">
        <v>9.58</v>
      </c>
      <c r="J297" s="11" t="n">
        <v>33.93</v>
      </c>
      <c r="K297" s="11" t="n">
        <f aca="false">J297/(1-I297/100)</f>
        <v>37.5248838752488</v>
      </c>
      <c r="L297" s="11" t="n">
        <v>27.27</v>
      </c>
      <c r="M297" s="11" t="n">
        <v>27.57</v>
      </c>
      <c r="N297" s="11" t="n">
        <v>15.12</v>
      </c>
      <c r="O297" s="11" t="n">
        <v>9.75</v>
      </c>
      <c r="P297" s="10" t="n">
        <f aca="false">ROUND(E297*J297/100,0)</f>
        <v>6124</v>
      </c>
      <c r="Q297" s="10" t="n">
        <f aca="false">ROUND(P297*I297/(100-I297),0)</f>
        <v>649</v>
      </c>
      <c r="R297" s="10" t="n">
        <f aca="false">ROUND(P297*(100-L297)/100,0)</f>
        <v>4454</v>
      </c>
      <c r="S297" s="10" t="n">
        <f aca="false">ROUND(P297*M297/100,0)</f>
        <v>1688</v>
      </c>
      <c r="T297" s="11" t="n">
        <v>65.19</v>
      </c>
      <c r="U297" s="11" t="n">
        <v>66.35</v>
      </c>
      <c r="V297" s="3" t="n">
        <f aca="false">RANK(F297,$F$2:$F$350,0)</f>
        <v>253</v>
      </c>
      <c r="W297" s="12" t="n">
        <v>169.7</v>
      </c>
      <c r="X297" s="10" t="n">
        <v>86</v>
      </c>
      <c r="Y297" s="3" t="s">
        <v>67</v>
      </c>
      <c r="Z297" s="3" t="s">
        <v>352</v>
      </c>
      <c r="AA297" s="13" t="s">
        <v>59</v>
      </c>
      <c r="AB297" s="11" t="n">
        <v>6.96</v>
      </c>
    </row>
    <row r="298" customFormat="false" ht="16.4" hidden="false" customHeight="false" outlineLevel="0" collapsed="false">
      <c r="A298" s="3" t="n">
        <v>297</v>
      </c>
      <c r="B298" s="3" t="n">
        <v>19</v>
      </c>
      <c r="C298" s="3" t="s">
        <v>435</v>
      </c>
      <c r="D298" s="10" t="n">
        <v>27883</v>
      </c>
      <c r="E298" s="10" t="n">
        <f aca="false">ROUND(D298*INDEX(مناطق!$AF$2:$AF$23,B298),0)</f>
        <v>23226</v>
      </c>
      <c r="F298" s="11" t="n">
        <f aca="false">ROUND(100*(راهنما!$B$4*(H298-MIN($H$2:$H$350))/(MAX($H$2:$H$350)-MIN($H$2:$H$350))+راهنما!$B$5*(N298-MIN($N$2:$N$350))/(MAX($N$2:$N$350)-MIN($N$2:$N$350))+راهنما!$B$6*(J298-MIN($J$2:$J$350))/(MAX($J$2:$J$350)-MIN($J$2:$J$350))+راهنما!$B$7*(MAX($I$2:$I$350)-I298)/(MAX($I$2:$I$350)-MIN($I$2:$I$350)))/راهنما!$B$8,1)</f>
        <v>39.5</v>
      </c>
      <c r="G298" s="3" t="str">
        <f aca="false">IF(V298&lt;=ROUND(349*0.2,0),"بسیار بالا",IF(V298&lt;=ROUND(349*0.4,0),"بالا",IF(V298&lt;=ROUND(349*0.6,0),"متوسط",IF(V298&lt;=ROUND(349*0.8,0),"پایین","بسیار پایین"))))</f>
        <v>پایین</v>
      </c>
      <c r="H298" s="11" t="n">
        <f aca="false">(100-I298)*(100-L298)/100</f>
        <v>65.518332</v>
      </c>
      <c r="I298" s="11" t="n">
        <v>9.58</v>
      </c>
      <c r="J298" s="11" t="n">
        <v>33.97</v>
      </c>
      <c r="K298" s="11" t="n">
        <f aca="false">J298/(1-I298/100)</f>
        <v>37.5691218756912</v>
      </c>
      <c r="L298" s="11" t="n">
        <v>27.54</v>
      </c>
      <c r="M298" s="11" t="n">
        <v>27.57</v>
      </c>
      <c r="N298" s="11" t="n">
        <v>14.52</v>
      </c>
      <c r="O298" s="11" t="n">
        <v>9.9</v>
      </c>
      <c r="P298" s="10" t="n">
        <f aca="false">ROUND(E298*J298/100,0)</f>
        <v>7890</v>
      </c>
      <c r="Q298" s="10" t="n">
        <f aca="false">ROUND(P298*I298/(100-I298),0)</f>
        <v>836</v>
      </c>
      <c r="R298" s="10" t="n">
        <f aca="false">ROUND(P298*(100-L298)/100,0)</f>
        <v>5717</v>
      </c>
      <c r="S298" s="10" t="n">
        <f aca="false">ROUND(P298*M298/100,0)</f>
        <v>2175</v>
      </c>
      <c r="T298" s="11" t="n">
        <v>65.04</v>
      </c>
      <c r="U298" s="11" t="n">
        <v>66</v>
      </c>
      <c r="V298" s="3" t="n">
        <f aca="false">RANK(F298,$F$2:$F$350,0)</f>
        <v>263</v>
      </c>
      <c r="W298" s="12" t="n">
        <v>167.8</v>
      </c>
      <c r="X298" s="10" t="n">
        <v>86</v>
      </c>
      <c r="Y298" s="3" t="s">
        <v>67</v>
      </c>
      <c r="Z298" s="3" t="s">
        <v>436</v>
      </c>
      <c r="AA298" s="13" t="s">
        <v>59</v>
      </c>
      <c r="AB298" s="11" t="n">
        <v>6.67</v>
      </c>
    </row>
    <row r="299" customFormat="false" ht="16.4" hidden="false" customHeight="false" outlineLevel="0" collapsed="false">
      <c r="A299" s="3" t="n">
        <v>298</v>
      </c>
      <c r="B299" s="3" t="n">
        <v>19</v>
      </c>
      <c r="C299" s="3" t="s">
        <v>437</v>
      </c>
      <c r="D299" s="10" t="n">
        <v>24840</v>
      </c>
      <c r="E299" s="10" t="n">
        <f aca="false">ROUND(D299*INDEX(مناطق!$AF$2:$AF$23,B299),0)</f>
        <v>20691</v>
      </c>
      <c r="F299" s="11" t="n">
        <f aca="false">ROUND(100*(راهنما!$B$4*(H299-MIN($H$2:$H$350))/(MAX($H$2:$H$350)-MIN($H$2:$H$350))+راهنما!$B$5*(N299-MIN($N$2:$N$350))/(MAX($N$2:$N$350)-MIN($N$2:$N$350))+راهنما!$B$6*(J299-MIN($J$2:$J$350))/(MAX($J$2:$J$350)-MIN($J$2:$J$350))+راهنما!$B$7*(MAX($I$2:$I$350)-I299)/(MAX($I$2:$I$350)-MIN($I$2:$I$350)))/راهنما!$B$8,1)</f>
        <v>39.5</v>
      </c>
      <c r="G299" s="3" t="str">
        <f aca="false">IF(V299&lt;=ROUND(349*0.2,0),"بسیار بالا",IF(V299&lt;=ROUND(349*0.4,0),"بالا",IF(V299&lt;=ROUND(349*0.6,0),"متوسط",IF(V299&lt;=ROUND(349*0.8,0),"پایین","بسیار پایین"))))</f>
        <v>پایین</v>
      </c>
      <c r="H299" s="11" t="n">
        <f aca="false">(100-I299)*(100-L299)/100</f>
        <v>65.518332</v>
      </c>
      <c r="I299" s="11" t="n">
        <v>9.58</v>
      </c>
      <c r="J299" s="11" t="n">
        <v>33.97</v>
      </c>
      <c r="K299" s="11" t="n">
        <f aca="false">J299/(1-I299/100)</f>
        <v>37.5691218756912</v>
      </c>
      <c r="L299" s="11" t="n">
        <v>27.54</v>
      </c>
      <c r="M299" s="11" t="n">
        <v>27.57</v>
      </c>
      <c r="N299" s="11" t="n">
        <v>14.52</v>
      </c>
      <c r="O299" s="11" t="n">
        <v>9.9</v>
      </c>
      <c r="P299" s="10" t="n">
        <f aca="false">ROUND(E299*J299/100,0)</f>
        <v>7029</v>
      </c>
      <c r="Q299" s="10" t="n">
        <f aca="false">ROUND(P299*I299/(100-I299),0)</f>
        <v>745</v>
      </c>
      <c r="R299" s="10" t="n">
        <f aca="false">ROUND(P299*(100-L299)/100,0)</f>
        <v>5093</v>
      </c>
      <c r="S299" s="10" t="n">
        <f aca="false">ROUND(P299*M299/100,0)</f>
        <v>1938</v>
      </c>
      <c r="T299" s="11" t="n">
        <v>65.04</v>
      </c>
      <c r="U299" s="11" t="n">
        <v>66</v>
      </c>
      <c r="V299" s="3" t="n">
        <f aca="false">RANK(F299,$F$2:$F$350,0)</f>
        <v>263</v>
      </c>
      <c r="W299" s="12" t="n">
        <v>167.8</v>
      </c>
      <c r="X299" s="10" t="n">
        <v>86</v>
      </c>
      <c r="Y299" s="3" t="s">
        <v>67</v>
      </c>
      <c r="Z299" s="3" t="s">
        <v>436</v>
      </c>
      <c r="AA299" s="13" t="s">
        <v>59</v>
      </c>
      <c r="AB299" s="11" t="n">
        <v>6.67</v>
      </c>
    </row>
    <row r="300" customFormat="false" ht="16.4" hidden="false" customHeight="false" outlineLevel="0" collapsed="false">
      <c r="A300" s="3" t="n">
        <v>299</v>
      </c>
      <c r="B300" s="3" t="n">
        <v>19</v>
      </c>
      <c r="C300" s="13" t="s">
        <v>438</v>
      </c>
      <c r="D300" s="10" t="n">
        <v>29110</v>
      </c>
      <c r="E300" s="10" t="n">
        <f aca="false">ROUND(D300*INDEX(مناطق!$AF$2:$AF$23,B300),0)</f>
        <v>24248</v>
      </c>
      <c r="F300" s="11" t="n">
        <f aca="false">ROUND(100*(راهنما!$B$4*(H300-MIN($H$2:$H$350))/(MAX($H$2:$H$350)-MIN($H$2:$H$350))+راهنما!$B$5*(N300-MIN($N$2:$N$350))/(MAX($N$2:$N$350)-MIN($N$2:$N$350))+راهنما!$B$6*(J300-MIN($J$2:$J$350))/(MAX($J$2:$J$350)-MIN($J$2:$J$350))+راهنما!$B$7*(MAX($I$2:$I$350)-I300)/(MAX($I$2:$I$350)-MIN($I$2:$I$350)))/راهنما!$B$8,1)</f>
        <v>37.3</v>
      </c>
      <c r="G300" s="3" t="str">
        <f aca="false">IF(V300&lt;=ROUND(349*0.2,0),"بسیار بالا",IF(V300&lt;=ROUND(349*0.4,0),"بالا",IF(V300&lt;=ROUND(349*0.6,0),"متوسط",IF(V300&lt;=ROUND(349*0.8,0),"پایین","بسیار پایین"))))</f>
        <v>بسیار پایین</v>
      </c>
      <c r="H300" s="11" t="n">
        <f aca="false">(100-I300)*(100-L300)/100</f>
        <v>64.722636</v>
      </c>
      <c r="I300" s="11" t="n">
        <v>9.58</v>
      </c>
      <c r="J300" s="11" t="n">
        <v>34.1</v>
      </c>
      <c r="K300" s="11" t="n">
        <f aca="false">J300/(1-I300/100)</f>
        <v>37.712895377129</v>
      </c>
      <c r="L300" s="11" t="n">
        <v>28.42</v>
      </c>
      <c r="M300" s="11" t="n">
        <v>27.57</v>
      </c>
      <c r="N300" s="11" t="n">
        <v>12.7</v>
      </c>
      <c r="O300" s="11" t="n">
        <v>10.4</v>
      </c>
      <c r="P300" s="10" t="n">
        <f aca="false">ROUND(E300*J300/100,0)</f>
        <v>8269</v>
      </c>
      <c r="Q300" s="10" t="n">
        <f aca="false">ROUND(P300*I300/(100-I300),0)</f>
        <v>876</v>
      </c>
      <c r="R300" s="10" t="n">
        <f aca="false">ROUND(P300*(100-L300)/100,0)</f>
        <v>5919</v>
      </c>
      <c r="S300" s="10" t="n">
        <f aca="false">ROUND(P300*M300/100,0)</f>
        <v>2280</v>
      </c>
      <c r="T300" s="11" t="n">
        <v>64.58</v>
      </c>
      <c r="U300" s="11" t="n">
        <v>64.88</v>
      </c>
      <c r="V300" s="3" t="n">
        <f aca="false">RANK(F300,$F$2:$F$350,0)</f>
        <v>294</v>
      </c>
      <c r="W300" s="12" t="n">
        <v>148.9</v>
      </c>
      <c r="X300" s="10" t="n">
        <v>75</v>
      </c>
      <c r="Y300" s="3" t="s">
        <v>67</v>
      </c>
      <c r="Z300" s="3" t="s">
        <v>439</v>
      </c>
      <c r="AA300" s="13" t="s">
        <v>59</v>
      </c>
      <c r="AB300" s="11" t="n">
        <v>5.82</v>
      </c>
    </row>
    <row r="301" customFormat="false" ht="16.4" hidden="false" customHeight="false" outlineLevel="0" collapsed="false">
      <c r="A301" s="3" t="n">
        <v>300</v>
      </c>
      <c r="B301" s="3" t="n">
        <v>19</v>
      </c>
      <c r="C301" s="3" t="s">
        <v>440</v>
      </c>
      <c r="D301" s="10" t="n">
        <v>11005</v>
      </c>
      <c r="E301" s="10" t="n">
        <f aca="false">ROUND(D301*INDEX(مناطق!$AF$2:$AF$23,B301),0)</f>
        <v>9167</v>
      </c>
      <c r="F301" s="11" t="n">
        <f aca="false">ROUND(100*(راهنما!$B$4*(H301-MIN($H$2:$H$350))/(MAX($H$2:$H$350)-MIN($H$2:$H$350))+راهنما!$B$5*(N301-MIN($N$2:$N$350))/(MAX($N$2:$N$350)-MIN($N$2:$N$350))+راهنما!$B$6*(J301-MIN($J$2:$J$350))/(MAX($J$2:$J$350)-MIN($J$2:$J$350))+راهنما!$B$7*(MAX($I$2:$I$350)-I301)/(MAX($I$2:$I$350)-MIN($I$2:$I$350)))/راهنما!$B$8,1)</f>
        <v>36.5</v>
      </c>
      <c r="G301" s="3" t="str">
        <f aca="false">IF(V301&lt;=ROUND(349*0.2,0),"بسیار بالا",IF(V301&lt;=ROUND(349*0.4,0),"بالا",IF(V301&lt;=ROUND(349*0.6,0),"متوسط",IF(V301&lt;=ROUND(349*0.8,0),"پایین","بسیار پایین"))))</f>
        <v>بسیار پایین</v>
      </c>
      <c r="H301" s="11" t="n">
        <f aca="false">(100-I301)*(100-L301)/100</f>
        <v>64.415208</v>
      </c>
      <c r="I301" s="11" t="n">
        <v>9.58</v>
      </c>
      <c r="J301" s="11" t="n">
        <v>34.15</v>
      </c>
      <c r="K301" s="11" t="n">
        <f aca="false">J301/(1-I301/100)</f>
        <v>37.7681928776819</v>
      </c>
      <c r="L301" s="11" t="n">
        <v>28.76</v>
      </c>
      <c r="M301" s="11" t="n">
        <v>27.57</v>
      </c>
      <c r="N301" s="11" t="n">
        <v>12.06</v>
      </c>
      <c r="O301" s="11" t="n">
        <v>10.6</v>
      </c>
      <c r="P301" s="10" t="n">
        <f aca="false">ROUND(E301*J301/100,0)</f>
        <v>3131</v>
      </c>
      <c r="Q301" s="10" t="n">
        <f aca="false">ROUND(P301*I301/(100-I301),0)</f>
        <v>332</v>
      </c>
      <c r="R301" s="10" t="n">
        <f aca="false">ROUND(P301*(100-L301)/100,0)</f>
        <v>2231</v>
      </c>
      <c r="S301" s="10" t="n">
        <f aca="false">ROUND(P301*M301/100,0)</f>
        <v>863</v>
      </c>
      <c r="T301" s="11" t="n">
        <v>64.4</v>
      </c>
      <c r="U301" s="11" t="n">
        <v>64.44</v>
      </c>
      <c r="V301" s="3" t="n">
        <f aca="false">RANK(F301,$F$2:$F$350,0)</f>
        <v>300</v>
      </c>
      <c r="W301" s="12"/>
      <c r="X301" s="10" t="n">
        <v>0</v>
      </c>
      <c r="Y301" s="3" t="s">
        <v>77</v>
      </c>
      <c r="Z301" s="13" t="s">
        <v>78</v>
      </c>
      <c r="AA301" s="13" t="s">
        <v>79</v>
      </c>
      <c r="AB301" s="11" t="n">
        <v>5.52</v>
      </c>
    </row>
    <row r="302" customFormat="false" ht="16.4" hidden="false" customHeight="false" outlineLevel="0" collapsed="false">
      <c r="A302" s="3" t="n">
        <v>301</v>
      </c>
      <c r="B302" s="3" t="n">
        <v>19</v>
      </c>
      <c r="C302" s="3" t="s">
        <v>441</v>
      </c>
      <c r="D302" s="10" t="n">
        <v>3887</v>
      </c>
      <c r="E302" s="10" t="n">
        <f aca="false">ROUND(D302*INDEX(مناطق!$AF$2:$AF$23,B302),0)</f>
        <v>3238</v>
      </c>
      <c r="F302" s="11" t="n">
        <f aca="false">ROUND(100*(راهنما!$B$4*(H302-MIN($H$2:$H$350))/(MAX($H$2:$H$350)-MIN($H$2:$H$350))+راهنما!$B$5*(N302-MIN($N$2:$N$350))/(MAX($N$2:$N$350)-MIN($N$2:$N$350))+راهنما!$B$6*(J302-MIN($J$2:$J$350))/(MAX($J$2:$J$350)-MIN($J$2:$J$350))+راهنما!$B$7*(MAX($I$2:$I$350)-I302)/(MAX($I$2:$I$350)-MIN($I$2:$I$350)))/راهنما!$B$8,1)</f>
        <v>36.5</v>
      </c>
      <c r="G302" s="3" t="str">
        <f aca="false">IF(V302&lt;=ROUND(349*0.2,0),"بسیار بالا",IF(V302&lt;=ROUND(349*0.4,0),"بالا",IF(V302&lt;=ROUND(349*0.6,0),"متوسط",IF(V302&lt;=ROUND(349*0.8,0),"پایین","بسیار پایین"))))</f>
        <v>بسیار پایین</v>
      </c>
      <c r="H302" s="11" t="n">
        <f aca="false">(100-I302)*(100-L302)/100</f>
        <v>64.415208</v>
      </c>
      <c r="I302" s="11" t="n">
        <v>9.58</v>
      </c>
      <c r="J302" s="11" t="n">
        <v>34.15</v>
      </c>
      <c r="K302" s="11" t="n">
        <f aca="false">J302/(1-I302/100)</f>
        <v>37.7681928776819</v>
      </c>
      <c r="L302" s="11" t="n">
        <v>28.76</v>
      </c>
      <c r="M302" s="11" t="n">
        <v>27.57</v>
      </c>
      <c r="N302" s="11" t="n">
        <v>12.06</v>
      </c>
      <c r="O302" s="11" t="n">
        <v>10.6</v>
      </c>
      <c r="P302" s="10" t="n">
        <f aca="false">ROUND(E302*J302/100,0)</f>
        <v>1106</v>
      </c>
      <c r="Q302" s="10" t="n">
        <f aca="false">ROUND(P302*I302/(100-I302),0)</f>
        <v>117</v>
      </c>
      <c r="R302" s="10" t="n">
        <f aca="false">ROUND(P302*(100-L302)/100,0)</f>
        <v>788</v>
      </c>
      <c r="S302" s="10" t="n">
        <f aca="false">ROUND(P302*M302/100,0)</f>
        <v>305</v>
      </c>
      <c r="T302" s="11" t="n">
        <v>64.4</v>
      </c>
      <c r="U302" s="11" t="n">
        <v>64.44</v>
      </c>
      <c r="V302" s="3" t="n">
        <f aca="false">RANK(F302,$F$2:$F$350,0)</f>
        <v>300</v>
      </c>
      <c r="W302" s="12"/>
      <c r="X302" s="10" t="n">
        <v>0</v>
      </c>
      <c r="Y302" s="3" t="s">
        <v>77</v>
      </c>
      <c r="Z302" s="13" t="s">
        <v>78</v>
      </c>
      <c r="AA302" s="13" t="s">
        <v>79</v>
      </c>
      <c r="AB302" s="11" t="n">
        <v>5.52</v>
      </c>
    </row>
    <row r="303" customFormat="false" ht="16.4" hidden="false" customHeight="false" outlineLevel="0" collapsed="false">
      <c r="A303" s="3" t="n">
        <v>302</v>
      </c>
      <c r="B303" s="3" t="n">
        <v>19</v>
      </c>
      <c r="C303" s="3" t="s">
        <v>442</v>
      </c>
      <c r="D303" s="10" t="n">
        <v>206</v>
      </c>
      <c r="E303" s="10" t="n">
        <f aca="false">ROUND(D303*INDEX(مناطق!$AF$2:$AF$23,B303),0)</f>
        <v>172</v>
      </c>
      <c r="F303" s="11" t="n">
        <f aca="false">ROUND(100*(راهنما!$B$4*(H303-MIN($H$2:$H$350))/(MAX($H$2:$H$350)-MIN($H$2:$H$350))+راهنما!$B$5*(N303-MIN($N$2:$N$350))/(MAX($N$2:$N$350)-MIN($N$2:$N$350))+راهنما!$B$6*(J303-MIN($J$2:$J$350))/(MAX($J$2:$J$350)-MIN($J$2:$J$350))+راهنما!$B$7*(MAX($I$2:$I$350)-I303)/(MAX($I$2:$I$350)-MIN($I$2:$I$350)))/راهنما!$B$8,1)</f>
        <v>36.5</v>
      </c>
      <c r="G303" s="3" t="str">
        <f aca="false">IF(V303&lt;=ROUND(349*0.2,0),"بسیار بالا",IF(V303&lt;=ROUND(349*0.4,0),"بالا",IF(V303&lt;=ROUND(349*0.6,0),"متوسط",IF(V303&lt;=ROUND(349*0.8,0),"پایین","بسیار پایین"))))</f>
        <v>بسیار پایین</v>
      </c>
      <c r="H303" s="11" t="n">
        <f aca="false">(100-I303)*(100-L303)/100</f>
        <v>64.415208</v>
      </c>
      <c r="I303" s="11" t="n">
        <v>9.58</v>
      </c>
      <c r="J303" s="11" t="n">
        <v>34.15</v>
      </c>
      <c r="K303" s="11" t="n">
        <f aca="false">J303/(1-I303/100)</f>
        <v>37.7681928776819</v>
      </c>
      <c r="L303" s="11" t="n">
        <v>28.76</v>
      </c>
      <c r="M303" s="11" t="n">
        <v>27.57</v>
      </c>
      <c r="N303" s="11" t="n">
        <v>12.06</v>
      </c>
      <c r="O303" s="11" t="n">
        <v>10.6</v>
      </c>
      <c r="P303" s="10" t="n">
        <f aca="false">ROUND(E303*J303/100,0)</f>
        <v>59</v>
      </c>
      <c r="Q303" s="10" t="n">
        <f aca="false">ROUND(P303*I303/(100-I303),0)</f>
        <v>6</v>
      </c>
      <c r="R303" s="10" t="n">
        <f aca="false">ROUND(P303*(100-L303)/100,0)</f>
        <v>42</v>
      </c>
      <c r="S303" s="10" t="n">
        <f aca="false">ROUND(P303*M303/100,0)</f>
        <v>16</v>
      </c>
      <c r="T303" s="11" t="n">
        <v>64.4</v>
      </c>
      <c r="U303" s="11" t="n">
        <v>64.44</v>
      </c>
      <c r="V303" s="3" t="n">
        <f aca="false">RANK(F303,$F$2:$F$350,0)</f>
        <v>300</v>
      </c>
      <c r="W303" s="12"/>
      <c r="X303" s="10" t="n">
        <v>0</v>
      </c>
      <c r="Y303" s="3" t="s">
        <v>77</v>
      </c>
      <c r="Z303" s="13" t="s">
        <v>78</v>
      </c>
      <c r="AA303" s="13" t="s">
        <v>79</v>
      </c>
      <c r="AB303" s="11" t="n">
        <v>5.52</v>
      </c>
    </row>
    <row r="304" customFormat="false" ht="16.4" hidden="false" customHeight="false" outlineLevel="0" collapsed="false">
      <c r="A304" s="3" t="n">
        <v>303</v>
      </c>
      <c r="B304" s="3" t="n">
        <v>19</v>
      </c>
      <c r="C304" s="3" t="s">
        <v>443</v>
      </c>
      <c r="D304" s="10" t="n">
        <v>29117</v>
      </c>
      <c r="E304" s="10" t="n">
        <f aca="false">ROUND(D304*INDEX(مناطق!$AF$2:$AF$23,B304),0)</f>
        <v>24254</v>
      </c>
      <c r="F304" s="11" t="n">
        <f aca="false">ROUND(100*(راهنما!$B$4*(H304-MIN($H$2:$H$350))/(MAX($H$2:$H$350)-MIN($H$2:$H$350))+راهنما!$B$5*(N304-MIN($N$2:$N$350))/(MAX($N$2:$N$350)-MIN($N$2:$N$350))+راهنما!$B$6*(J304-MIN($J$2:$J$350))/(MAX($J$2:$J$350)-MIN($J$2:$J$350))+راهنما!$B$7*(MAX($I$2:$I$350)-I304)/(MAX($I$2:$I$350)-MIN($I$2:$I$350)))/راهنما!$B$8,1)</f>
        <v>32.3</v>
      </c>
      <c r="G304" s="3" t="str">
        <f aca="false">IF(V304&lt;=ROUND(349*0.2,0),"بسیار بالا",IF(V304&lt;=ROUND(349*0.4,0),"بالا",IF(V304&lt;=ROUND(349*0.6,0),"متوسط",IF(V304&lt;=ROUND(349*0.8,0),"پایین","بسیار پایین"))))</f>
        <v>بسیار پایین</v>
      </c>
      <c r="H304" s="11" t="n">
        <f aca="false">(100-I304)*(100-L304)/100</f>
        <v>62.724354</v>
      </c>
      <c r="I304" s="11" t="n">
        <v>9.58</v>
      </c>
      <c r="J304" s="11" t="n">
        <v>34.42</v>
      </c>
      <c r="K304" s="11" t="n">
        <f aca="false">J304/(1-I304/100)</f>
        <v>38.066799380668</v>
      </c>
      <c r="L304" s="11" t="n">
        <v>30.63</v>
      </c>
      <c r="M304" s="11" t="n">
        <v>27.57</v>
      </c>
      <c r="N304" s="11" t="n">
        <v>9.08</v>
      </c>
      <c r="O304" s="11" t="n">
        <v>11.71</v>
      </c>
      <c r="P304" s="10" t="n">
        <f aca="false">ROUND(E304*J304/100,0)</f>
        <v>8348</v>
      </c>
      <c r="Q304" s="10" t="n">
        <f aca="false">ROUND(P304*I304/(100-I304),0)</f>
        <v>884</v>
      </c>
      <c r="R304" s="10" t="n">
        <f aca="false">ROUND(P304*(100-L304)/100,0)</f>
        <v>5791</v>
      </c>
      <c r="S304" s="10" t="n">
        <f aca="false">ROUND(P304*M304/100,0)</f>
        <v>2302</v>
      </c>
      <c r="T304" s="11" t="n">
        <v>62.03</v>
      </c>
      <c r="U304" s="11" t="n">
        <v>63.42</v>
      </c>
      <c r="V304" s="3" t="n">
        <f aca="false">RANK(F304,$F$2:$F$350,0)</f>
        <v>327</v>
      </c>
      <c r="W304" s="12" t="n">
        <v>108.7</v>
      </c>
      <c r="X304" s="10" t="n">
        <v>84</v>
      </c>
      <c r="Y304" s="3" t="s">
        <v>67</v>
      </c>
      <c r="Z304" s="3" t="s">
        <v>444</v>
      </c>
      <c r="AA304" s="13" t="s">
        <v>59</v>
      </c>
      <c r="AB304" s="11" t="n">
        <v>4.15</v>
      </c>
    </row>
    <row r="305" customFormat="false" ht="16.4" hidden="false" customHeight="false" outlineLevel="0" collapsed="false">
      <c r="A305" s="3" t="n">
        <v>304</v>
      </c>
      <c r="B305" s="3" t="n">
        <v>19</v>
      </c>
      <c r="C305" s="3" t="s">
        <v>445</v>
      </c>
      <c r="D305" s="10" t="n">
        <v>11964</v>
      </c>
      <c r="E305" s="10" t="n">
        <f aca="false">ROUND(D305*INDEX(مناطق!$AF$2:$AF$23,B305),0)</f>
        <v>9966</v>
      </c>
      <c r="F305" s="11" t="n">
        <f aca="false">ROUND(100*(راهنما!$B$4*(H305-MIN($H$2:$H$350))/(MAX($H$2:$H$350)-MIN($H$2:$H$350))+راهنما!$B$5*(N305-MIN($N$2:$N$350))/(MAX($N$2:$N$350)-MIN($N$2:$N$350))+راهنما!$B$6*(J305-MIN($J$2:$J$350))/(MAX($J$2:$J$350)-MIN($J$2:$J$350))+راهنما!$B$7*(MAX($I$2:$I$350)-I305)/(MAX($I$2:$I$350)-MIN($I$2:$I$350)))/راهنما!$B$8,1)</f>
        <v>31.1</v>
      </c>
      <c r="G305" s="3" t="str">
        <f aca="false">IF(V305&lt;=ROUND(349*0.2,0),"بسیار بالا",IF(V305&lt;=ROUND(349*0.4,0),"بالا",IF(V305&lt;=ROUND(349*0.6,0),"متوسط",IF(V305&lt;=ROUND(349*0.8,0),"پایین","بسیار پایین"))))</f>
        <v>بسیار پایین</v>
      </c>
      <c r="H305" s="11" t="n">
        <f aca="false">(100-I305)*(100-L305)/100</f>
        <v>62.172792</v>
      </c>
      <c r="I305" s="11" t="n">
        <v>9.58</v>
      </c>
      <c r="J305" s="11" t="n">
        <v>34.51</v>
      </c>
      <c r="K305" s="11" t="n">
        <f aca="false">J305/(1-I305/100)</f>
        <v>38.1663348816633</v>
      </c>
      <c r="L305" s="11" t="n">
        <v>31.24</v>
      </c>
      <c r="M305" s="11" t="n">
        <v>27.57</v>
      </c>
      <c r="N305" s="11" t="n">
        <v>8.29</v>
      </c>
      <c r="O305" s="11" t="n">
        <v>12.08</v>
      </c>
      <c r="P305" s="10" t="n">
        <f aca="false">ROUND(E305*J305/100,0)</f>
        <v>3439</v>
      </c>
      <c r="Q305" s="10" t="n">
        <f aca="false">ROUND(P305*I305/(100-I305),0)</f>
        <v>364</v>
      </c>
      <c r="R305" s="10" t="n">
        <f aca="false">ROUND(P305*(100-L305)/100,0)</f>
        <v>2365</v>
      </c>
      <c r="S305" s="10" t="n">
        <f aca="false">ROUND(P305*M305/100,0)</f>
        <v>948</v>
      </c>
      <c r="T305" s="11" t="n">
        <v>61.24</v>
      </c>
      <c r="U305" s="11" t="n">
        <v>63.1</v>
      </c>
      <c r="V305" s="3" t="n">
        <f aca="false">RANK(F305,$F$2:$F$350,0)</f>
        <v>331</v>
      </c>
      <c r="W305" s="12" t="n">
        <v>110</v>
      </c>
      <c r="X305" s="10" t="n">
        <v>77</v>
      </c>
      <c r="Y305" s="3" t="s">
        <v>58</v>
      </c>
      <c r="Z305" s="3" t="s">
        <v>445</v>
      </c>
      <c r="AA305" s="13" t="s">
        <v>59</v>
      </c>
      <c r="AB305" s="11" t="n">
        <v>3.79</v>
      </c>
    </row>
    <row r="306" customFormat="false" ht="16.4" hidden="false" customHeight="false" outlineLevel="0" collapsed="false">
      <c r="A306" s="3" t="n">
        <v>305</v>
      </c>
      <c r="B306" s="3" t="n">
        <v>19</v>
      </c>
      <c r="C306" s="3" t="s">
        <v>446</v>
      </c>
      <c r="D306" s="10" t="n">
        <v>4137</v>
      </c>
      <c r="E306" s="10" t="n">
        <f aca="false">ROUND(D306*INDEX(مناطق!$AF$2:$AF$23,B306),0)</f>
        <v>3446</v>
      </c>
      <c r="F306" s="11" t="n">
        <f aca="false">ROUND(100*(راهنما!$B$4*(H306-MIN($H$2:$H$350))/(MAX($H$2:$H$350)-MIN($H$2:$H$350))+راهنما!$B$5*(N306-MIN($N$2:$N$350))/(MAX($N$2:$N$350)-MIN($N$2:$N$350))+راهنما!$B$6*(J306-MIN($J$2:$J$350))/(MAX($J$2:$J$350)-MIN($J$2:$J$350))+راهنما!$B$7*(MAX($I$2:$I$350)-I306)/(MAX($I$2:$I$350)-MIN($I$2:$I$350)))/راهنما!$B$8,1)</f>
        <v>31.1</v>
      </c>
      <c r="G306" s="3" t="str">
        <f aca="false">IF(V306&lt;=ROUND(349*0.2,0),"بسیار بالا",IF(V306&lt;=ROUND(349*0.4,0),"بالا",IF(V306&lt;=ROUND(349*0.6,0),"متوسط",IF(V306&lt;=ROUND(349*0.8,0),"پایین","بسیار پایین"))))</f>
        <v>بسیار پایین</v>
      </c>
      <c r="H306" s="11" t="n">
        <f aca="false">(100-I306)*(100-L306)/100</f>
        <v>62.172792</v>
      </c>
      <c r="I306" s="11" t="n">
        <v>9.58</v>
      </c>
      <c r="J306" s="11" t="n">
        <v>34.51</v>
      </c>
      <c r="K306" s="11" t="n">
        <f aca="false">J306/(1-I306/100)</f>
        <v>38.1663348816633</v>
      </c>
      <c r="L306" s="11" t="n">
        <v>31.24</v>
      </c>
      <c r="M306" s="11" t="n">
        <v>27.57</v>
      </c>
      <c r="N306" s="11" t="n">
        <v>8.29</v>
      </c>
      <c r="O306" s="11" t="n">
        <v>12.08</v>
      </c>
      <c r="P306" s="10" t="n">
        <f aca="false">ROUND(E306*J306/100,0)</f>
        <v>1189</v>
      </c>
      <c r="Q306" s="10" t="n">
        <f aca="false">ROUND(P306*I306/(100-I306),0)</f>
        <v>126</v>
      </c>
      <c r="R306" s="10" t="n">
        <f aca="false">ROUND(P306*(100-L306)/100,0)</f>
        <v>818</v>
      </c>
      <c r="S306" s="10" t="n">
        <f aca="false">ROUND(P306*M306/100,0)</f>
        <v>328</v>
      </c>
      <c r="T306" s="11" t="n">
        <v>61.24</v>
      </c>
      <c r="U306" s="11" t="n">
        <v>63.1</v>
      </c>
      <c r="V306" s="3" t="n">
        <f aca="false">RANK(F306,$F$2:$F$350,0)</f>
        <v>331</v>
      </c>
      <c r="W306" s="12" t="n">
        <v>110</v>
      </c>
      <c r="X306" s="10" t="n">
        <v>77</v>
      </c>
      <c r="Y306" s="3" t="s">
        <v>119</v>
      </c>
      <c r="Z306" s="3" t="s">
        <v>445</v>
      </c>
      <c r="AA306" s="13" t="s">
        <v>63</v>
      </c>
      <c r="AB306" s="11" t="n">
        <v>3.79</v>
      </c>
    </row>
    <row r="307" customFormat="false" ht="16.4" hidden="false" customHeight="false" outlineLevel="0" collapsed="false">
      <c r="A307" s="3" t="n">
        <v>306</v>
      </c>
      <c r="B307" s="3" t="n">
        <v>19</v>
      </c>
      <c r="C307" s="3" t="s">
        <v>447</v>
      </c>
      <c r="D307" s="10" t="n">
        <v>36941</v>
      </c>
      <c r="E307" s="10" t="n">
        <f aca="false">ROUND(D307*INDEX(مناطق!$AF$2:$AF$23,B307),0)</f>
        <v>30771</v>
      </c>
      <c r="F307" s="11" t="n">
        <f aca="false">ROUND(100*(راهنما!$B$4*(H307-MIN($H$2:$H$350))/(MAX($H$2:$H$350)-MIN($H$2:$H$350))+راهنما!$B$5*(N307-MIN($N$2:$N$350))/(MAX($N$2:$N$350)-MIN($N$2:$N$350))+راهنما!$B$6*(J307-MIN($J$2:$J$350))/(MAX($J$2:$J$350)-MIN($J$2:$J$350))+راهنما!$B$7*(MAX($I$2:$I$350)-I307)/(MAX($I$2:$I$350)-MIN($I$2:$I$350)))/راهنما!$B$8,1)</f>
        <v>29.9</v>
      </c>
      <c r="G307" s="3" t="str">
        <f aca="false">IF(V307&lt;=ROUND(349*0.2,0),"بسیار بالا",IF(V307&lt;=ROUND(349*0.4,0),"بالا",IF(V307&lt;=ROUND(349*0.6,0),"متوسط",IF(V307&lt;=ROUND(349*0.8,0),"پایین","بسیار پایین"))))</f>
        <v>بسیار پایین</v>
      </c>
      <c r="H307" s="11" t="n">
        <f aca="false">(100-I307)*(100-L307)/100</f>
        <v>61.693566</v>
      </c>
      <c r="I307" s="11" t="n">
        <v>9.58</v>
      </c>
      <c r="J307" s="11" t="n">
        <v>34.58</v>
      </c>
      <c r="K307" s="11" t="n">
        <f aca="false">J307/(1-I307/100)</f>
        <v>38.2437513824375</v>
      </c>
      <c r="L307" s="11" t="n">
        <v>31.77</v>
      </c>
      <c r="M307" s="11" t="n">
        <v>27.57</v>
      </c>
      <c r="N307" s="11" t="n">
        <v>7.65</v>
      </c>
      <c r="O307" s="11" t="n">
        <v>12.42</v>
      </c>
      <c r="P307" s="10" t="n">
        <f aca="false">ROUND(E307*J307/100,0)</f>
        <v>10641</v>
      </c>
      <c r="Q307" s="10" t="n">
        <f aca="false">ROUND(P307*I307/(100-I307),0)</f>
        <v>1127</v>
      </c>
      <c r="R307" s="10" t="n">
        <f aca="false">ROUND(P307*(100-L307)/100,0)</f>
        <v>7260</v>
      </c>
      <c r="S307" s="10" t="n">
        <f aca="false">ROUND(P307*M307/100,0)</f>
        <v>2934</v>
      </c>
      <c r="T307" s="11" t="n">
        <v>60.55</v>
      </c>
      <c r="U307" s="11" t="n">
        <v>62.83</v>
      </c>
      <c r="V307" s="3" t="n">
        <f aca="false">RANK(F307,$F$2:$F$350,0)</f>
        <v>339</v>
      </c>
      <c r="W307" s="12" t="n">
        <v>94.7</v>
      </c>
      <c r="X307" s="10" t="n">
        <v>33</v>
      </c>
      <c r="Y307" s="3" t="s">
        <v>58</v>
      </c>
      <c r="Z307" s="3" t="s">
        <v>448</v>
      </c>
      <c r="AA307" s="13" t="s">
        <v>59</v>
      </c>
      <c r="AB307" s="11" t="n">
        <v>3.5</v>
      </c>
    </row>
    <row r="308" customFormat="false" ht="16.4" hidden="false" customHeight="false" outlineLevel="0" collapsed="false">
      <c r="A308" s="3" t="n">
        <v>307</v>
      </c>
      <c r="B308" s="3" t="n">
        <v>20</v>
      </c>
      <c r="C308" s="3" t="s">
        <v>449</v>
      </c>
      <c r="D308" s="10" t="n">
        <v>20246</v>
      </c>
      <c r="E308" s="10" t="n">
        <f aca="false">ROUND(D308*INDEX(مناطق!$AF$2:$AF$23,B308),0)</f>
        <v>17344</v>
      </c>
      <c r="F308" s="11" t="n">
        <f aca="false">ROUND(100*(راهنما!$B$4*(H308-MIN($H$2:$H$350))/(MAX($H$2:$H$350)-MIN($H$2:$H$350))+راهنما!$B$5*(N308-MIN($N$2:$N$350))/(MAX($N$2:$N$350)-MIN($N$2:$N$350))+راهنما!$B$6*(J308-MIN($J$2:$J$350))/(MAX($J$2:$J$350)-MIN($J$2:$J$350))+راهنما!$B$7*(MAX($I$2:$I$350)-I308)/(MAX($I$2:$I$350)-MIN($I$2:$I$350)))/راهنما!$B$8,1)</f>
        <v>63.3</v>
      </c>
      <c r="G308" s="3" t="str">
        <f aca="false">IF(V308&lt;=ROUND(349*0.2,0),"بسیار بالا",IF(V308&lt;=ROUND(349*0.4,0),"بالا",IF(V308&lt;=ROUND(349*0.6,0),"متوسط",IF(V308&lt;=ROUND(349*0.8,0),"پایین","بسیار پایین"))))</f>
        <v>بسیار بالا</v>
      </c>
      <c r="H308" s="11" t="n">
        <f aca="false">(100-I308)*(100-L308)/100</f>
        <v>72.967618</v>
      </c>
      <c r="I308" s="11" t="n">
        <v>9.66</v>
      </c>
      <c r="J308" s="11" t="n">
        <v>32.3</v>
      </c>
      <c r="K308" s="11" t="n">
        <f aca="false">J308/(1-I308/100)</f>
        <v>35.7538189063538</v>
      </c>
      <c r="L308" s="11" t="n">
        <v>19.23</v>
      </c>
      <c r="M308" s="11" t="n">
        <v>33.37</v>
      </c>
      <c r="N308" s="11" t="n">
        <v>45.03</v>
      </c>
      <c r="O308" s="11" t="n">
        <v>5.65</v>
      </c>
      <c r="P308" s="10" t="n">
        <f aca="false">ROUND(E308*J308/100,0)</f>
        <v>5602</v>
      </c>
      <c r="Q308" s="10" t="n">
        <f aca="false">ROUND(P308*I308/(100-I308),0)</f>
        <v>599</v>
      </c>
      <c r="R308" s="10" t="n">
        <f aca="false">ROUND(P308*(100-L308)/100,0)</f>
        <v>4525</v>
      </c>
      <c r="S308" s="10" t="n">
        <f aca="false">ROUND(P308*M308/100,0)</f>
        <v>1869</v>
      </c>
      <c r="T308" s="11" t="n">
        <v>70.91</v>
      </c>
      <c r="U308" s="11" t="n">
        <v>74.86</v>
      </c>
      <c r="V308" s="3" t="n">
        <f aca="false">RANK(F308,$F$2:$F$350,0)</f>
        <v>54</v>
      </c>
      <c r="W308" s="12" t="n">
        <v>574.4</v>
      </c>
      <c r="X308" s="10" t="n">
        <v>89</v>
      </c>
      <c r="Y308" s="3" t="s">
        <v>58</v>
      </c>
      <c r="Z308" s="3" t="s">
        <v>449</v>
      </c>
      <c r="AA308" s="13" t="s">
        <v>59</v>
      </c>
      <c r="AB308" s="11" t="n">
        <v>22.04</v>
      </c>
    </row>
    <row r="309" customFormat="false" ht="16.4" hidden="false" customHeight="false" outlineLevel="0" collapsed="false">
      <c r="A309" s="3" t="n">
        <v>308</v>
      </c>
      <c r="B309" s="3" t="n">
        <v>20</v>
      </c>
      <c r="C309" s="3" t="s">
        <v>450</v>
      </c>
      <c r="D309" s="10" t="n">
        <v>56901</v>
      </c>
      <c r="E309" s="10" t="n">
        <f aca="false">ROUND(D309*INDEX(مناطق!$AF$2:$AF$23,B309),0)</f>
        <v>48746</v>
      </c>
      <c r="F309" s="11" t="n">
        <f aca="false">ROUND(100*(راهنما!$B$4*(H309-MIN($H$2:$H$350))/(MAX($H$2:$H$350)-MIN($H$2:$H$350))+راهنما!$B$5*(N309-MIN($N$2:$N$350))/(MAX($N$2:$N$350)-MIN($N$2:$N$350))+راهنما!$B$6*(J309-MIN($J$2:$J$350))/(MAX($J$2:$J$350)-MIN($J$2:$J$350))+راهنما!$B$7*(MAX($I$2:$I$350)-I309)/(MAX($I$2:$I$350)-MIN($I$2:$I$350)))/راهنما!$B$8,1)</f>
        <v>44.3</v>
      </c>
      <c r="G309" s="3" t="str">
        <f aca="false">IF(V309&lt;=ROUND(349*0.2,0),"بسیار بالا",IF(V309&lt;=ROUND(349*0.4,0),"بالا",IF(V309&lt;=ROUND(349*0.6,0),"متوسط",IF(V309&lt;=ROUND(349*0.8,0),"پایین","بسیار پایین"))))</f>
        <v>پایین</v>
      </c>
      <c r="H309" s="11" t="n">
        <f aca="false">(100-I309)*(100-L309)/100</f>
        <v>67.854374</v>
      </c>
      <c r="I309" s="11" t="n">
        <v>9.66</v>
      </c>
      <c r="J309" s="11" t="n">
        <v>33.28</v>
      </c>
      <c r="K309" s="11" t="n">
        <f aca="false">J309/(1-I309/100)</f>
        <v>36.8386096967014</v>
      </c>
      <c r="L309" s="11" t="n">
        <v>24.89</v>
      </c>
      <c r="M309" s="11" t="n">
        <v>33.37</v>
      </c>
      <c r="N309" s="11" t="n">
        <v>20.31</v>
      </c>
      <c r="O309" s="11" t="n">
        <v>8.31</v>
      </c>
      <c r="P309" s="10" t="n">
        <f aca="false">ROUND(E309*J309/100,0)</f>
        <v>16223</v>
      </c>
      <c r="Q309" s="10" t="n">
        <f aca="false">ROUND(P309*I309/(100-I309),0)</f>
        <v>1735</v>
      </c>
      <c r="R309" s="10" t="n">
        <f aca="false">ROUND(P309*(100-L309)/100,0)</f>
        <v>12185</v>
      </c>
      <c r="S309" s="10" t="n">
        <f aca="false">ROUND(P309*M309/100,0)</f>
        <v>5414</v>
      </c>
      <c r="T309" s="11" t="n">
        <v>67.82</v>
      </c>
      <c r="U309" s="11" t="n">
        <v>67.9</v>
      </c>
      <c r="V309" s="3" t="n">
        <f aca="false">RANK(F309,$F$2:$F$350,0)</f>
        <v>216</v>
      </c>
      <c r="W309" s="12"/>
      <c r="X309" s="10" t="n">
        <v>0</v>
      </c>
      <c r="Y309" s="3" t="s">
        <v>77</v>
      </c>
      <c r="Z309" s="13" t="s">
        <v>78</v>
      </c>
      <c r="AA309" s="13" t="s">
        <v>79</v>
      </c>
      <c r="AB309" s="11" t="n">
        <v>8.57</v>
      </c>
    </row>
    <row r="310" customFormat="false" ht="16.4" hidden="false" customHeight="false" outlineLevel="0" collapsed="false">
      <c r="A310" s="3" t="n">
        <v>309</v>
      </c>
      <c r="B310" s="3" t="n">
        <v>20</v>
      </c>
      <c r="C310" s="3" t="s">
        <v>451</v>
      </c>
      <c r="D310" s="10" t="n">
        <v>45026</v>
      </c>
      <c r="E310" s="10" t="n">
        <f aca="false">ROUND(D310*INDEX(مناطق!$AF$2:$AF$23,B310),0)</f>
        <v>38573</v>
      </c>
      <c r="F310" s="11" t="n">
        <f aca="false">ROUND(100*(راهنما!$B$4*(H310-MIN($H$2:$H$350))/(MAX($H$2:$H$350)-MIN($H$2:$H$350))+راهنما!$B$5*(N310-MIN($N$2:$N$350))/(MAX($N$2:$N$350)-MIN($N$2:$N$350))+راهنما!$B$6*(J310-MIN($J$2:$J$350))/(MAX($J$2:$J$350)-MIN($J$2:$J$350))+راهنما!$B$7*(MAX($I$2:$I$350)-I310)/(MAX($I$2:$I$350)-MIN($I$2:$I$350)))/راهنما!$B$8,1)</f>
        <v>44.3</v>
      </c>
      <c r="G310" s="3" t="str">
        <f aca="false">IF(V310&lt;=ROUND(349*0.2,0),"بسیار بالا",IF(V310&lt;=ROUND(349*0.4,0),"بالا",IF(V310&lt;=ROUND(349*0.6,0),"متوسط",IF(V310&lt;=ROUND(349*0.8,0),"پایین","بسیار پایین"))))</f>
        <v>پایین</v>
      </c>
      <c r="H310" s="11" t="n">
        <f aca="false">(100-I310)*(100-L310)/100</f>
        <v>67.854374</v>
      </c>
      <c r="I310" s="11" t="n">
        <v>9.66</v>
      </c>
      <c r="J310" s="11" t="n">
        <v>33.28</v>
      </c>
      <c r="K310" s="11" t="n">
        <f aca="false">J310/(1-I310/100)</f>
        <v>36.8386096967014</v>
      </c>
      <c r="L310" s="11" t="n">
        <v>24.89</v>
      </c>
      <c r="M310" s="11" t="n">
        <v>33.37</v>
      </c>
      <c r="N310" s="11" t="n">
        <v>20.31</v>
      </c>
      <c r="O310" s="11" t="n">
        <v>8.31</v>
      </c>
      <c r="P310" s="10" t="n">
        <f aca="false">ROUND(E310*J310/100,0)</f>
        <v>12837</v>
      </c>
      <c r="Q310" s="10" t="n">
        <f aca="false">ROUND(P310*I310/(100-I310),0)</f>
        <v>1373</v>
      </c>
      <c r="R310" s="10" t="n">
        <f aca="false">ROUND(P310*(100-L310)/100,0)</f>
        <v>9642</v>
      </c>
      <c r="S310" s="10" t="n">
        <f aca="false">ROUND(P310*M310/100,0)</f>
        <v>4284</v>
      </c>
      <c r="T310" s="11" t="n">
        <v>67.82</v>
      </c>
      <c r="U310" s="11" t="n">
        <v>67.9</v>
      </c>
      <c r="V310" s="3" t="n">
        <f aca="false">RANK(F310,$F$2:$F$350,0)</f>
        <v>216</v>
      </c>
      <c r="W310" s="12"/>
      <c r="X310" s="10" t="n">
        <v>0</v>
      </c>
      <c r="Y310" s="3" t="s">
        <v>77</v>
      </c>
      <c r="Z310" s="13" t="s">
        <v>78</v>
      </c>
      <c r="AA310" s="13" t="s">
        <v>79</v>
      </c>
      <c r="AB310" s="11" t="n">
        <v>8.57</v>
      </c>
    </row>
    <row r="311" customFormat="false" ht="16.4" hidden="false" customHeight="false" outlineLevel="0" collapsed="false">
      <c r="A311" s="3" t="n">
        <v>310</v>
      </c>
      <c r="B311" s="3" t="n">
        <v>20</v>
      </c>
      <c r="C311" s="3" t="s">
        <v>452</v>
      </c>
      <c r="D311" s="10" t="n">
        <v>35423</v>
      </c>
      <c r="E311" s="10" t="n">
        <f aca="false">ROUND(D311*INDEX(مناطق!$AF$2:$AF$23,B311),0)</f>
        <v>30346</v>
      </c>
      <c r="F311" s="11" t="n">
        <f aca="false">ROUND(100*(راهنما!$B$4*(H311-MIN($H$2:$H$350))/(MAX($H$2:$H$350)-MIN($H$2:$H$350))+راهنما!$B$5*(N311-MIN($N$2:$N$350))/(MAX($N$2:$N$350)-MIN($N$2:$N$350))+راهنما!$B$6*(J311-MIN($J$2:$J$350))/(MAX($J$2:$J$350)-MIN($J$2:$J$350))+راهنما!$B$7*(MAX($I$2:$I$350)-I311)/(MAX($I$2:$I$350)-MIN($I$2:$I$350)))/راهنما!$B$8,1)</f>
        <v>44.3</v>
      </c>
      <c r="G311" s="3" t="str">
        <f aca="false">IF(V311&lt;=ROUND(349*0.2,0),"بسیار بالا",IF(V311&lt;=ROUND(349*0.4,0),"بالا",IF(V311&lt;=ROUND(349*0.6,0),"متوسط",IF(V311&lt;=ROUND(349*0.8,0),"پایین","بسیار پایین"))))</f>
        <v>پایین</v>
      </c>
      <c r="H311" s="11" t="n">
        <f aca="false">(100-I311)*(100-L311)/100</f>
        <v>67.854374</v>
      </c>
      <c r="I311" s="11" t="n">
        <v>9.66</v>
      </c>
      <c r="J311" s="11" t="n">
        <v>33.28</v>
      </c>
      <c r="K311" s="11" t="n">
        <f aca="false">J311/(1-I311/100)</f>
        <v>36.8386096967014</v>
      </c>
      <c r="L311" s="11" t="n">
        <v>24.89</v>
      </c>
      <c r="M311" s="11" t="n">
        <v>33.37</v>
      </c>
      <c r="N311" s="11" t="n">
        <v>20.31</v>
      </c>
      <c r="O311" s="11" t="n">
        <v>8.31</v>
      </c>
      <c r="P311" s="10" t="n">
        <f aca="false">ROUND(E311*J311/100,0)</f>
        <v>10099</v>
      </c>
      <c r="Q311" s="10" t="n">
        <f aca="false">ROUND(P311*I311/(100-I311),0)</f>
        <v>1080</v>
      </c>
      <c r="R311" s="10" t="n">
        <f aca="false">ROUND(P311*(100-L311)/100,0)</f>
        <v>7585</v>
      </c>
      <c r="S311" s="10" t="n">
        <f aca="false">ROUND(P311*M311/100,0)</f>
        <v>3370</v>
      </c>
      <c r="T311" s="11" t="n">
        <v>67.82</v>
      </c>
      <c r="U311" s="11" t="n">
        <v>67.9</v>
      </c>
      <c r="V311" s="3" t="n">
        <f aca="false">RANK(F311,$F$2:$F$350,0)</f>
        <v>216</v>
      </c>
      <c r="W311" s="12"/>
      <c r="X311" s="10" t="n">
        <v>0</v>
      </c>
      <c r="Y311" s="3" t="s">
        <v>77</v>
      </c>
      <c r="Z311" s="13" t="s">
        <v>78</v>
      </c>
      <c r="AA311" s="13" t="s">
        <v>79</v>
      </c>
      <c r="AB311" s="11" t="n">
        <v>8.57</v>
      </c>
    </row>
    <row r="312" customFormat="false" ht="16.4" hidden="false" customHeight="false" outlineLevel="0" collapsed="false">
      <c r="A312" s="3" t="n">
        <v>311</v>
      </c>
      <c r="B312" s="3" t="n">
        <v>20</v>
      </c>
      <c r="C312" s="3" t="s">
        <v>453</v>
      </c>
      <c r="D312" s="10" t="n">
        <v>31801</v>
      </c>
      <c r="E312" s="10" t="n">
        <f aca="false">ROUND(D312*INDEX(مناطق!$AF$2:$AF$23,B312),0)</f>
        <v>27243</v>
      </c>
      <c r="F312" s="11" t="n">
        <f aca="false">ROUND(100*(راهنما!$B$4*(H312-MIN($H$2:$H$350))/(MAX($H$2:$H$350)-MIN($H$2:$H$350))+راهنما!$B$5*(N312-MIN($N$2:$N$350))/(MAX($N$2:$N$350)-MIN($N$2:$N$350))+راهنما!$B$6*(J312-MIN($J$2:$J$350))/(MAX($J$2:$J$350)-MIN($J$2:$J$350))+راهنما!$B$7*(MAX($I$2:$I$350)-I312)/(MAX($I$2:$I$350)-MIN($I$2:$I$350)))/راهنما!$B$8,1)</f>
        <v>44.3</v>
      </c>
      <c r="G312" s="3" t="str">
        <f aca="false">IF(V312&lt;=ROUND(349*0.2,0),"بسیار بالا",IF(V312&lt;=ROUND(349*0.4,0),"بالا",IF(V312&lt;=ROUND(349*0.6,0),"متوسط",IF(V312&lt;=ROUND(349*0.8,0),"پایین","بسیار پایین"))))</f>
        <v>پایین</v>
      </c>
      <c r="H312" s="11" t="n">
        <f aca="false">(100-I312)*(100-L312)/100</f>
        <v>67.854374</v>
      </c>
      <c r="I312" s="11" t="n">
        <v>9.66</v>
      </c>
      <c r="J312" s="11" t="n">
        <v>33.28</v>
      </c>
      <c r="K312" s="11" t="n">
        <f aca="false">J312/(1-I312/100)</f>
        <v>36.8386096967014</v>
      </c>
      <c r="L312" s="11" t="n">
        <v>24.89</v>
      </c>
      <c r="M312" s="11" t="n">
        <v>33.37</v>
      </c>
      <c r="N312" s="11" t="n">
        <v>20.31</v>
      </c>
      <c r="O312" s="11" t="n">
        <v>8.31</v>
      </c>
      <c r="P312" s="10" t="n">
        <f aca="false">ROUND(E312*J312/100,0)</f>
        <v>9066</v>
      </c>
      <c r="Q312" s="10" t="n">
        <f aca="false">ROUND(P312*I312/(100-I312),0)</f>
        <v>969</v>
      </c>
      <c r="R312" s="10" t="n">
        <f aca="false">ROUND(P312*(100-L312)/100,0)</f>
        <v>6809</v>
      </c>
      <c r="S312" s="10" t="n">
        <f aca="false">ROUND(P312*M312/100,0)</f>
        <v>3025</v>
      </c>
      <c r="T312" s="11" t="n">
        <v>67.82</v>
      </c>
      <c r="U312" s="11" t="n">
        <v>67.9</v>
      </c>
      <c r="V312" s="3" t="n">
        <f aca="false">RANK(F312,$F$2:$F$350,0)</f>
        <v>216</v>
      </c>
      <c r="W312" s="12"/>
      <c r="X312" s="10" t="n">
        <v>0</v>
      </c>
      <c r="Y312" s="3" t="s">
        <v>77</v>
      </c>
      <c r="Z312" s="13" t="s">
        <v>78</v>
      </c>
      <c r="AA312" s="13" t="s">
        <v>79</v>
      </c>
      <c r="AB312" s="11" t="n">
        <v>8.57</v>
      </c>
    </row>
    <row r="313" customFormat="false" ht="16.4" hidden="false" customHeight="false" outlineLevel="0" collapsed="false">
      <c r="A313" s="3" t="n">
        <v>312</v>
      </c>
      <c r="B313" s="3" t="n">
        <v>20</v>
      </c>
      <c r="C313" s="3" t="s">
        <v>454</v>
      </c>
      <c r="D313" s="10" t="n">
        <v>28394</v>
      </c>
      <c r="E313" s="10" t="n">
        <f aca="false">ROUND(D313*INDEX(مناطق!$AF$2:$AF$23,B313),0)</f>
        <v>24325</v>
      </c>
      <c r="F313" s="11" t="n">
        <f aca="false">ROUND(100*(راهنما!$B$4*(H313-MIN($H$2:$H$350))/(MAX($H$2:$H$350)-MIN($H$2:$H$350))+راهنما!$B$5*(N313-MIN($N$2:$N$350))/(MAX($N$2:$N$350)-MIN($N$2:$N$350))+راهنما!$B$6*(J313-MIN($J$2:$J$350))/(MAX($J$2:$J$350)-MIN($J$2:$J$350))+راهنما!$B$7*(MAX($I$2:$I$350)-I313)/(MAX($I$2:$I$350)-MIN($I$2:$I$350)))/راهنما!$B$8,1)</f>
        <v>44.3</v>
      </c>
      <c r="G313" s="3" t="str">
        <f aca="false">IF(V313&lt;=ROUND(349*0.2,0),"بسیار بالا",IF(V313&lt;=ROUND(349*0.4,0),"بالا",IF(V313&lt;=ROUND(349*0.6,0),"متوسط",IF(V313&lt;=ROUND(349*0.8,0),"پایین","بسیار پایین"))))</f>
        <v>پایین</v>
      </c>
      <c r="H313" s="11" t="n">
        <f aca="false">(100-I313)*(100-L313)/100</f>
        <v>67.854374</v>
      </c>
      <c r="I313" s="11" t="n">
        <v>9.66</v>
      </c>
      <c r="J313" s="11" t="n">
        <v>33.28</v>
      </c>
      <c r="K313" s="11" t="n">
        <f aca="false">J313/(1-I313/100)</f>
        <v>36.8386096967014</v>
      </c>
      <c r="L313" s="11" t="n">
        <v>24.89</v>
      </c>
      <c r="M313" s="11" t="n">
        <v>33.37</v>
      </c>
      <c r="N313" s="11" t="n">
        <v>20.31</v>
      </c>
      <c r="O313" s="11" t="n">
        <v>8.31</v>
      </c>
      <c r="P313" s="10" t="n">
        <f aca="false">ROUND(E313*J313/100,0)</f>
        <v>8095</v>
      </c>
      <c r="Q313" s="10" t="n">
        <f aca="false">ROUND(P313*I313/(100-I313),0)</f>
        <v>866</v>
      </c>
      <c r="R313" s="10" t="n">
        <f aca="false">ROUND(P313*(100-L313)/100,0)</f>
        <v>6080</v>
      </c>
      <c r="S313" s="10" t="n">
        <f aca="false">ROUND(P313*M313/100,0)</f>
        <v>2701</v>
      </c>
      <c r="T313" s="11" t="n">
        <v>67.82</v>
      </c>
      <c r="U313" s="11" t="n">
        <v>67.9</v>
      </c>
      <c r="V313" s="3" t="n">
        <f aca="false">RANK(F313,$F$2:$F$350,0)</f>
        <v>216</v>
      </c>
      <c r="W313" s="12"/>
      <c r="X313" s="10" t="n">
        <v>0</v>
      </c>
      <c r="Y313" s="3" t="s">
        <v>77</v>
      </c>
      <c r="Z313" s="13" t="s">
        <v>78</v>
      </c>
      <c r="AA313" s="13" t="s">
        <v>79</v>
      </c>
      <c r="AB313" s="11" t="n">
        <v>8.57</v>
      </c>
    </row>
    <row r="314" customFormat="false" ht="16.4" hidden="false" customHeight="false" outlineLevel="0" collapsed="false">
      <c r="A314" s="3" t="n">
        <v>313</v>
      </c>
      <c r="B314" s="3" t="n">
        <v>20</v>
      </c>
      <c r="C314" s="3" t="s">
        <v>455</v>
      </c>
      <c r="D314" s="10" t="n">
        <v>23866</v>
      </c>
      <c r="E314" s="10" t="n">
        <f aca="false">ROUND(D314*INDEX(مناطق!$AF$2:$AF$23,B314),0)</f>
        <v>20446</v>
      </c>
      <c r="F314" s="11" t="n">
        <f aca="false">ROUND(100*(راهنما!$B$4*(H314-MIN($H$2:$H$350))/(MAX($H$2:$H$350)-MIN($H$2:$H$350))+راهنما!$B$5*(N314-MIN($N$2:$N$350))/(MAX($N$2:$N$350)-MIN($N$2:$N$350))+راهنما!$B$6*(J314-MIN($J$2:$J$350))/(MAX($J$2:$J$350)-MIN($J$2:$J$350))+راهنما!$B$7*(MAX($I$2:$I$350)-I314)/(MAX($I$2:$I$350)-MIN($I$2:$I$350)))/راهنما!$B$8,1)</f>
        <v>44.3</v>
      </c>
      <c r="G314" s="3" t="str">
        <f aca="false">IF(V314&lt;=ROUND(349*0.2,0),"بسیار بالا",IF(V314&lt;=ROUND(349*0.4,0),"بالا",IF(V314&lt;=ROUND(349*0.6,0),"متوسط",IF(V314&lt;=ROUND(349*0.8,0),"پایین","بسیار پایین"))))</f>
        <v>پایین</v>
      </c>
      <c r="H314" s="11" t="n">
        <f aca="false">(100-I314)*(100-L314)/100</f>
        <v>67.854374</v>
      </c>
      <c r="I314" s="11" t="n">
        <v>9.66</v>
      </c>
      <c r="J314" s="11" t="n">
        <v>33.28</v>
      </c>
      <c r="K314" s="11" t="n">
        <f aca="false">J314/(1-I314/100)</f>
        <v>36.8386096967014</v>
      </c>
      <c r="L314" s="11" t="n">
        <v>24.89</v>
      </c>
      <c r="M314" s="11" t="n">
        <v>33.37</v>
      </c>
      <c r="N314" s="11" t="n">
        <v>20.31</v>
      </c>
      <c r="O314" s="11" t="n">
        <v>8.31</v>
      </c>
      <c r="P314" s="10" t="n">
        <f aca="false">ROUND(E314*J314/100,0)</f>
        <v>6804</v>
      </c>
      <c r="Q314" s="10" t="n">
        <f aca="false">ROUND(P314*I314/(100-I314),0)</f>
        <v>728</v>
      </c>
      <c r="R314" s="10" t="n">
        <f aca="false">ROUND(P314*(100-L314)/100,0)</f>
        <v>5110</v>
      </c>
      <c r="S314" s="10" t="n">
        <f aca="false">ROUND(P314*M314/100,0)</f>
        <v>2270</v>
      </c>
      <c r="T314" s="11" t="n">
        <v>67.82</v>
      </c>
      <c r="U314" s="11" t="n">
        <v>67.9</v>
      </c>
      <c r="V314" s="3" t="n">
        <f aca="false">RANK(F314,$F$2:$F$350,0)</f>
        <v>216</v>
      </c>
      <c r="W314" s="12"/>
      <c r="X314" s="10" t="n">
        <v>0</v>
      </c>
      <c r="Y314" s="3" t="s">
        <v>77</v>
      </c>
      <c r="Z314" s="13" t="s">
        <v>78</v>
      </c>
      <c r="AA314" s="13" t="s">
        <v>79</v>
      </c>
      <c r="AB314" s="11" t="n">
        <v>8.57</v>
      </c>
    </row>
    <row r="315" customFormat="false" ht="16.4" hidden="false" customHeight="false" outlineLevel="0" collapsed="false">
      <c r="A315" s="3" t="n">
        <v>314</v>
      </c>
      <c r="B315" s="3" t="n">
        <v>20</v>
      </c>
      <c r="C315" s="3" t="s">
        <v>456</v>
      </c>
      <c r="D315" s="10" t="n">
        <v>23849</v>
      </c>
      <c r="E315" s="10" t="n">
        <f aca="false">ROUND(D315*INDEX(مناطق!$AF$2:$AF$23,B315),0)</f>
        <v>20431</v>
      </c>
      <c r="F315" s="11" t="n">
        <f aca="false">ROUND(100*(راهنما!$B$4*(H315-MIN($H$2:$H$350))/(MAX($H$2:$H$350)-MIN($H$2:$H$350))+راهنما!$B$5*(N315-MIN($N$2:$N$350))/(MAX($N$2:$N$350)-MIN($N$2:$N$350))+راهنما!$B$6*(J315-MIN($J$2:$J$350))/(MAX($J$2:$J$350)-MIN($J$2:$J$350))+راهنما!$B$7*(MAX($I$2:$I$350)-I315)/(MAX($I$2:$I$350)-MIN($I$2:$I$350)))/راهنما!$B$8,1)</f>
        <v>44.3</v>
      </c>
      <c r="G315" s="3" t="str">
        <f aca="false">IF(V315&lt;=ROUND(349*0.2,0),"بسیار بالا",IF(V315&lt;=ROUND(349*0.4,0),"بالا",IF(V315&lt;=ROUND(349*0.6,0),"متوسط",IF(V315&lt;=ROUND(349*0.8,0),"پایین","بسیار پایین"))))</f>
        <v>پایین</v>
      </c>
      <c r="H315" s="11" t="n">
        <f aca="false">(100-I315)*(100-L315)/100</f>
        <v>67.854374</v>
      </c>
      <c r="I315" s="11" t="n">
        <v>9.66</v>
      </c>
      <c r="J315" s="11" t="n">
        <v>33.28</v>
      </c>
      <c r="K315" s="11" t="n">
        <f aca="false">J315/(1-I315/100)</f>
        <v>36.8386096967014</v>
      </c>
      <c r="L315" s="11" t="n">
        <v>24.89</v>
      </c>
      <c r="M315" s="11" t="n">
        <v>33.37</v>
      </c>
      <c r="N315" s="11" t="n">
        <v>20.31</v>
      </c>
      <c r="O315" s="11" t="n">
        <v>8.31</v>
      </c>
      <c r="P315" s="10" t="n">
        <f aca="false">ROUND(E315*J315/100,0)</f>
        <v>6799</v>
      </c>
      <c r="Q315" s="10" t="n">
        <f aca="false">ROUND(P315*I315/(100-I315),0)</f>
        <v>727</v>
      </c>
      <c r="R315" s="10" t="n">
        <f aca="false">ROUND(P315*(100-L315)/100,0)</f>
        <v>5107</v>
      </c>
      <c r="S315" s="10" t="n">
        <f aca="false">ROUND(P315*M315/100,0)</f>
        <v>2269</v>
      </c>
      <c r="T315" s="11" t="n">
        <v>67.82</v>
      </c>
      <c r="U315" s="11" t="n">
        <v>67.9</v>
      </c>
      <c r="V315" s="3" t="n">
        <f aca="false">RANK(F315,$F$2:$F$350,0)</f>
        <v>216</v>
      </c>
      <c r="W315" s="12"/>
      <c r="X315" s="10" t="n">
        <v>0</v>
      </c>
      <c r="Y315" s="3" t="s">
        <v>77</v>
      </c>
      <c r="Z315" s="13" t="s">
        <v>78</v>
      </c>
      <c r="AA315" s="13" t="s">
        <v>79</v>
      </c>
      <c r="AB315" s="11" t="n">
        <v>8.57</v>
      </c>
    </row>
    <row r="316" customFormat="false" ht="16.4" hidden="false" customHeight="false" outlineLevel="0" collapsed="false">
      <c r="A316" s="3" t="n">
        <v>315</v>
      </c>
      <c r="B316" s="3" t="n">
        <v>20</v>
      </c>
      <c r="C316" s="3" t="s">
        <v>457</v>
      </c>
      <c r="D316" s="10" t="n">
        <v>18187</v>
      </c>
      <c r="E316" s="10" t="n">
        <f aca="false">ROUND(D316*INDEX(مناطق!$AF$2:$AF$23,B316),0)</f>
        <v>15581</v>
      </c>
      <c r="F316" s="11" t="n">
        <f aca="false">ROUND(100*(راهنما!$B$4*(H316-MIN($H$2:$H$350))/(MAX($H$2:$H$350)-MIN($H$2:$H$350))+راهنما!$B$5*(N316-MIN($N$2:$N$350))/(MAX($N$2:$N$350)-MIN($N$2:$N$350))+راهنما!$B$6*(J316-MIN($J$2:$J$350))/(MAX($J$2:$J$350)-MIN($J$2:$J$350))+راهنما!$B$7*(MAX($I$2:$I$350)-I316)/(MAX($I$2:$I$350)-MIN($I$2:$I$350)))/راهنما!$B$8,1)</f>
        <v>44.3</v>
      </c>
      <c r="G316" s="3" t="str">
        <f aca="false">IF(V316&lt;=ROUND(349*0.2,0),"بسیار بالا",IF(V316&lt;=ROUND(349*0.4,0),"بالا",IF(V316&lt;=ROUND(349*0.6,0),"متوسط",IF(V316&lt;=ROUND(349*0.8,0),"پایین","بسیار پایین"))))</f>
        <v>پایین</v>
      </c>
      <c r="H316" s="11" t="n">
        <f aca="false">(100-I316)*(100-L316)/100</f>
        <v>67.854374</v>
      </c>
      <c r="I316" s="11" t="n">
        <v>9.66</v>
      </c>
      <c r="J316" s="11" t="n">
        <v>33.28</v>
      </c>
      <c r="K316" s="11" t="n">
        <f aca="false">J316/(1-I316/100)</f>
        <v>36.8386096967014</v>
      </c>
      <c r="L316" s="11" t="n">
        <v>24.89</v>
      </c>
      <c r="M316" s="11" t="n">
        <v>33.37</v>
      </c>
      <c r="N316" s="11" t="n">
        <v>20.31</v>
      </c>
      <c r="O316" s="11" t="n">
        <v>8.31</v>
      </c>
      <c r="P316" s="10" t="n">
        <f aca="false">ROUND(E316*J316/100,0)</f>
        <v>5185</v>
      </c>
      <c r="Q316" s="10" t="n">
        <f aca="false">ROUND(P316*I316/(100-I316),0)</f>
        <v>554</v>
      </c>
      <c r="R316" s="10" t="n">
        <f aca="false">ROUND(P316*(100-L316)/100,0)</f>
        <v>3894</v>
      </c>
      <c r="S316" s="10" t="n">
        <f aca="false">ROUND(P316*M316/100,0)</f>
        <v>1730</v>
      </c>
      <c r="T316" s="11" t="n">
        <v>67.82</v>
      </c>
      <c r="U316" s="11" t="n">
        <v>67.9</v>
      </c>
      <c r="V316" s="3" t="n">
        <f aca="false">RANK(F316,$F$2:$F$350,0)</f>
        <v>216</v>
      </c>
      <c r="W316" s="12"/>
      <c r="X316" s="10" t="n">
        <v>0</v>
      </c>
      <c r="Y316" s="3" t="s">
        <v>77</v>
      </c>
      <c r="Z316" s="13" t="s">
        <v>78</v>
      </c>
      <c r="AA316" s="13" t="s">
        <v>79</v>
      </c>
      <c r="AB316" s="11" t="n">
        <v>8.57</v>
      </c>
    </row>
    <row r="317" customFormat="false" ht="16.4" hidden="false" customHeight="false" outlineLevel="0" collapsed="false">
      <c r="A317" s="3" t="n">
        <v>316</v>
      </c>
      <c r="B317" s="3" t="n">
        <v>20</v>
      </c>
      <c r="C317" s="3" t="s">
        <v>458</v>
      </c>
      <c r="D317" s="10" t="n">
        <v>12817</v>
      </c>
      <c r="E317" s="10" t="n">
        <f aca="false">ROUND(D317*INDEX(مناطق!$AF$2:$AF$23,B317),0)</f>
        <v>10980</v>
      </c>
      <c r="F317" s="11" t="n">
        <f aca="false">ROUND(100*(راهنما!$B$4*(H317-MIN($H$2:$H$350))/(MAX($H$2:$H$350)-MIN($H$2:$H$350))+راهنما!$B$5*(N317-MIN($N$2:$N$350))/(MAX($N$2:$N$350)-MIN($N$2:$N$350))+راهنما!$B$6*(J317-MIN($J$2:$J$350))/(MAX($J$2:$J$350)-MIN($J$2:$J$350))+راهنما!$B$7*(MAX($I$2:$I$350)-I317)/(MAX($I$2:$I$350)-MIN($I$2:$I$350)))/راهنما!$B$8,1)</f>
        <v>44.3</v>
      </c>
      <c r="G317" s="3" t="str">
        <f aca="false">IF(V317&lt;=ROUND(349*0.2,0),"بسیار بالا",IF(V317&lt;=ROUND(349*0.4,0),"بالا",IF(V317&lt;=ROUND(349*0.6,0),"متوسط",IF(V317&lt;=ROUND(349*0.8,0),"پایین","بسیار پایین"))))</f>
        <v>پایین</v>
      </c>
      <c r="H317" s="11" t="n">
        <f aca="false">(100-I317)*(100-L317)/100</f>
        <v>67.854374</v>
      </c>
      <c r="I317" s="11" t="n">
        <v>9.66</v>
      </c>
      <c r="J317" s="11" t="n">
        <v>33.28</v>
      </c>
      <c r="K317" s="11" t="n">
        <f aca="false">J317/(1-I317/100)</f>
        <v>36.8386096967014</v>
      </c>
      <c r="L317" s="11" t="n">
        <v>24.89</v>
      </c>
      <c r="M317" s="11" t="n">
        <v>33.37</v>
      </c>
      <c r="N317" s="11" t="n">
        <v>20.31</v>
      </c>
      <c r="O317" s="11" t="n">
        <v>8.31</v>
      </c>
      <c r="P317" s="10" t="n">
        <f aca="false">ROUND(E317*J317/100,0)</f>
        <v>3654</v>
      </c>
      <c r="Q317" s="10" t="n">
        <f aca="false">ROUND(P317*I317/(100-I317),0)</f>
        <v>391</v>
      </c>
      <c r="R317" s="10" t="n">
        <f aca="false">ROUND(P317*(100-L317)/100,0)</f>
        <v>2745</v>
      </c>
      <c r="S317" s="10" t="n">
        <f aca="false">ROUND(P317*M317/100,0)</f>
        <v>1219</v>
      </c>
      <c r="T317" s="11" t="n">
        <v>67.82</v>
      </c>
      <c r="U317" s="11" t="n">
        <v>67.9</v>
      </c>
      <c r="V317" s="3" t="n">
        <f aca="false">RANK(F317,$F$2:$F$350,0)</f>
        <v>216</v>
      </c>
      <c r="W317" s="12"/>
      <c r="X317" s="10" t="n">
        <v>0</v>
      </c>
      <c r="Y317" s="3" t="s">
        <v>77</v>
      </c>
      <c r="Z317" s="13" t="s">
        <v>78</v>
      </c>
      <c r="AA317" s="13" t="s">
        <v>79</v>
      </c>
      <c r="AB317" s="11" t="n">
        <v>8.57</v>
      </c>
    </row>
    <row r="318" customFormat="false" ht="16.4" hidden="false" customHeight="false" outlineLevel="0" collapsed="false">
      <c r="A318" s="3" t="n">
        <v>317</v>
      </c>
      <c r="B318" s="3" t="n">
        <v>20</v>
      </c>
      <c r="C318" s="3" t="s">
        <v>459</v>
      </c>
      <c r="D318" s="10" t="n">
        <v>10381</v>
      </c>
      <c r="E318" s="10" t="n">
        <f aca="false">ROUND(D318*INDEX(مناطق!$AF$2:$AF$23,B318),0)</f>
        <v>8893</v>
      </c>
      <c r="F318" s="11" t="n">
        <f aca="false">ROUND(100*(راهنما!$B$4*(H318-MIN($H$2:$H$350))/(MAX($H$2:$H$350)-MIN($H$2:$H$350))+راهنما!$B$5*(N318-MIN($N$2:$N$350))/(MAX($N$2:$N$350)-MIN($N$2:$N$350))+راهنما!$B$6*(J318-MIN($J$2:$J$350))/(MAX($J$2:$J$350)-MIN($J$2:$J$350))+راهنما!$B$7*(MAX($I$2:$I$350)-I318)/(MAX($I$2:$I$350)-MIN($I$2:$I$350)))/راهنما!$B$8,1)</f>
        <v>44.3</v>
      </c>
      <c r="G318" s="3" t="str">
        <f aca="false">IF(V318&lt;=ROUND(349*0.2,0),"بسیار بالا",IF(V318&lt;=ROUND(349*0.4,0),"بالا",IF(V318&lt;=ROUND(349*0.6,0),"متوسط",IF(V318&lt;=ROUND(349*0.8,0),"پایین","بسیار پایین"))))</f>
        <v>پایین</v>
      </c>
      <c r="H318" s="11" t="n">
        <f aca="false">(100-I318)*(100-L318)/100</f>
        <v>67.854374</v>
      </c>
      <c r="I318" s="11" t="n">
        <v>9.66</v>
      </c>
      <c r="J318" s="11" t="n">
        <v>33.28</v>
      </c>
      <c r="K318" s="11" t="n">
        <f aca="false">J318/(1-I318/100)</f>
        <v>36.8386096967014</v>
      </c>
      <c r="L318" s="11" t="n">
        <v>24.89</v>
      </c>
      <c r="M318" s="11" t="n">
        <v>33.37</v>
      </c>
      <c r="N318" s="11" t="n">
        <v>20.31</v>
      </c>
      <c r="O318" s="11" t="n">
        <v>8.31</v>
      </c>
      <c r="P318" s="10" t="n">
        <f aca="false">ROUND(E318*J318/100,0)</f>
        <v>2960</v>
      </c>
      <c r="Q318" s="10" t="n">
        <f aca="false">ROUND(P318*I318/(100-I318),0)</f>
        <v>317</v>
      </c>
      <c r="R318" s="10" t="n">
        <f aca="false">ROUND(P318*(100-L318)/100,0)</f>
        <v>2223</v>
      </c>
      <c r="S318" s="10" t="n">
        <f aca="false">ROUND(P318*M318/100,0)</f>
        <v>988</v>
      </c>
      <c r="T318" s="11" t="n">
        <v>67.82</v>
      </c>
      <c r="U318" s="11" t="n">
        <v>67.9</v>
      </c>
      <c r="V318" s="3" t="n">
        <f aca="false">RANK(F318,$F$2:$F$350,0)</f>
        <v>216</v>
      </c>
      <c r="W318" s="12"/>
      <c r="X318" s="10" t="n">
        <v>0</v>
      </c>
      <c r="Y318" s="3" t="s">
        <v>77</v>
      </c>
      <c r="Z318" s="13" t="s">
        <v>78</v>
      </c>
      <c r="AA318" s="13" t="s">
        <v>79</v>
      </c>
      <c r="AB318" s="11" t="n">
        <v>8.57</v>
      </c>
    </row>
    <row r="319" customFormat="false" ht="16.4" hidden="false" customHeight="false" outlineLevel="0" collapsed="false">
      <c r="A319" s="3" t="n">
        <v>318</v>
      </c>
      <c r="B319" s="3" t="n">
        <v>20</v>
      </c>
      <c r="C319" s="3" t="s">
        <v>460</v>
      </c>
      <c r="D319" s="10" t="n">
        <v>9437</v>
      </c>
      <c r="E319" s="10" t="n">
        <f aca="false">ROUND(D319*INDEX(مناطق!$AF$2:$AF$23,B319),0)</f>
        <v>8085</v>
      </c>
      <c r="F319" s="11" t="n">
        <f aca="false">ROUND(100*(راهنما!$B$4*(H319-MIN($H$2:$H$350))/(MAX($H$2:$H$350)-MIN($H$2:$H$350))+راهنما!$B$5*(N319-MIN($N$2:$N$350))/(MAX($N$2:$N$350)-MIN($N$2:$N$350))+راهنما!$B$6*(J319-MIN($J$2:$J$350))/(MAX($J$2:$J$350)-MIN($J$2:$J$350))+راهنما!$B$7*(MAX($I$2:$I$350)-I319)/(MAX($I$2:$I$350)-MIN($I$2:$I$350)))/راهنما!$B$8,1)</f>
        <v>44.3</v>
      </c>
      <c r="G319" s="3" t="str">
        <f aca="false">IF(V319&lt;=ROUND(349*0.2,0),"بسیار بالا",IF(V319&lt;=ROUND(349*0.4,0),"بالا",IF(V319&lt;=ROUND(349*0.6,0),"متوسط",IF(V319&lt;=ROUND(349*0.8,0),"پایین","بسیار پایین"))))</f>
        <v>پایین</v>
      </c>
      <c r="H319" s="11" t="n">
        <f aca="false">(100-I319)*(100-L319)/100</f>
        <v>67.854374</v>
      </c>
      <c r="I319" s="11" t="n">
        <v>9.66</v>
      </c>
      <c r="J319" s="11" t="n">
        <v>33.28</v>
      </c>
      <c r="K319" s="11" t="n">
        <f aca="false">J319/(1-I319/100)</f>
        <v>36.8386096967014</v>
      </c>
      <c r="L319" s="11" t="n">
        <v>24.89</v>
      </c>
      <c r="M319" s="11" t="n">
        <v>33.37</v>
      </c>
      <c r="N319" s="11" t="n">
        <v>20.31</v>
      </c>
      <c r="O319" s="11" t="n">
        <v>8.31</v>
      </c>
      <c r="P319" s="10" t="n">
        <f aca="false">ROUND(E319*J319/100,0)</f>
        <v>2691</v>
      </c>
      <c r="Q319" s="10" t="n">
        <f aca="false">ROUND(P319*I319/(100-I319),0)</f>
        <v>288</v>
      </c>
      <c r="R319" s="10" t="n">
        <f aca="false">ROUND(P319*(100-L319)/100,0)</f>
        <v>2021</v>
      </c>
      <c r="S319" s="10" t="n">
        <f aca="false">ROUND(P319*M319/100,0)</f>
        <v>898</v>
      </c>
      <c r="T319" s="11" t="n">
        <v>67.82</v>
      </c>
      <c r="U319" s="11" t="n">
        <v>67.9</v>
      </c>
      <c r="V319" s="3" t="n">
        <f aca="false">RANK(F319,$F$2:$F$350,0)</f>
        <v>216</v>
      </c>
      <c r="W319" s="12"/>
      <c r="X319" s="10" t="n">
        <v>0</v>
      </c>
      <c r="Y319" s="3" t="s">
        <v>77</v>
      </c>
      <c r="Z319" s="13" t="s">
        <v>78</v>
      </c>
      <c r="AA319" s="13" t="s">
        <v>79</v>
      </c>
      <c r="AB319" s="11" t="n">
        <v>8.57</v>
      </c>
    </row>
    <row r="320" customFormat="false" ht="16.4" hidden="false" customHeight="false" outlineLevel="0" collapsed="false">
      <c r="A320" s="3" t="n">
        <v>319</v>
      </c>
      <c r="B320" s="3" t="n">
        <v>20</v>
      </c>
      <c r="C320" s="3" t="s">
        <v>461</v>
      </c>
      <c r="D320" s="10" t="n">
        <v>8498</v>
      </c>
      <c r="E320" s="10" t="n">
        <f aca="false">ROUND(D320*INDEX(مناطق!$AF$2:$AF$23,B320),0)</f>
        <v>7280</v>
      </c>
      <c r="F320" s="11" t="n">
        <f aca="false">ROUND(100*(راهنما!$B$4*(H320-MIN($H$2:$H$350))/(MAX($H$2:$H$350)-MIN($H$2:$H$350))+راهنما!$B$5*(N320-MIN($N$2:$N$350))/(MAX($N$2:$N$350)-MIN($N$2:$N$350))+راهنما!$B$6*(J320-MIN($J$2:$J$350))/(MAX($J$2:$J$350)-MIN($J$2:$J$350))+راهنما!$B$7*(MAX($I$2:$I$350)-I320)/(MAX($I$2:$I$350)-MIN($I$2:$I$350)))/راهنما!$B$8,1)</f>
        <v>44.3</v>
      </c>
      <c r="G320" s="3" t="str">
        <f aca="false">IF(V320&lt;=ROUND(349*0.2,0),"بسیار بالا",IF(V320&lt;=ROUND(349*0.4,0),"بالا",IF(V320&lt;=ROUND(349*0.6,0),"متوسط",IF(V320&lt;=ROUND(349*0.8,0),"پایین","بسیار پایین"))))</f>
        <v>پایین</v>
      </c>
      <c r="H320" s="11" t="n">
        <f aca="false">(100-I320)*(100-L320)/100</f>
        <v>67.854374</v>
      </c>
      <c r="I320" s="11" t="n">
        <v>9.66</v>
      </c>
      <c r="J320" s="11" t="n">
        <v>33.28</v>
      </c>
      <c r="K320" s="11" t="n">
        <f aca="false">J320/(1-I320/100)</f>
        <v>36.8386096967014</v>
      </c>
      <c r="L320" s="11" t="n">
        <v>24.89</v>
      </c>
      <c r="M320" s="11" t="n">
        <v>33.37</v>
      </c>
      <c r="N320" s="11" t="n">
        <v>20.31</v>
      </c>
      <c r="O320" s="11" t="n">
        <v>8.31</v>
      </c>
      <c r="P320" s="10" t="n">
        <f aca="false">ROUND(E320*J320/100,0)</f>
        <v>2423</v>
      </c>
      <c r="Q320" s="10" t="n">
        <f aca="false">ROUND(P320*I320/(100-I320),0)</f>
        <v>259</v>
      </c>
      <c r="R320" s="10" t="n">
        <f aca="false">ROUND(P320*(100-L320)/100,0)</f>
        <v>1820</v>
      </c>
      <c r="S320" s="10" t="n">
        <f aca="false">ROUND(P320*M320/100,0)</f>
        <v>809</v>
      </c>
      <c r="T320" s="11" t="n">
        <v>67.82</v>
      </c>
      <c r="U320" s="11" t="n">
        <v>67.9</v>
      </c>
      <c r="V320" s="3" t="n">
        <f aca="false">RANK(F320,$F$2:$F$350,0)</f>
        <v>216</v>
      </c>
      <c r="W320" s="12"/>
      <c r="X320" s="10" t="n">
        <v>0</v>
      </c>
      <c r="Y320" s="3" t="s">
        <v>77</v>
      </c>
      <c r="Z320" s="13" t="s">
        <v>78</v>
      </c>
      <c r="AA320" s="13" t="s">
        <v>79</v>
      </c>
      <c r="AB320" s="11" t="n">
        <v>8.57</v>
      </c>
    </row>
    <row r="321" customFormat="false" ht="16.4" hidden="false" customHeight="false" outlineLevel="0" collapsed="false">
      <c r="A321" s="3" t="n">
        <v>320</v>
      </c>
      <c r="B321" s="3" t="n">
        <v>20</v>
      </c>
      <c r="C321" s="3" t="s">
        <v>462</v>
      </c>
      <c r="D321" s="10" t="n">
        <v>7306</v>
      </c>
      <c r="E321" s="10" t="n">
        <f aca="false">ROUND(D321*INDEX(مناطق!$AF$2:$AF$23,B321),0)</f>
        <v>6259</v>
      </c>
      <c r="F321" s="11" t="n">
        <f aca="false">ROUND(100*(راهنما!$B$4*(H321-MIN($H$2:$H$350))/(MAX($H$2:$H$350)-MIN($H$2:$H$350))+راهنما!$B$5*(N321-MIN($N$2:$N$350))/(MAX($N$2:$N$350)-MIN($N$2:$N$350))+راهنما!$B$6*(J321-MIN($J$2:$J$350))/(MAX($J$2:$J$350)-MIN($J$2:$J$350))+راهنما!$B$7*(MAX($I$2:$I$350)-I321)/(MAX($I$2:$I$350)-MIN($I$2:$I$350)))/راهنما!$B$8,1)</f>
        <v>44.3</v>
      </c>
      <c r="G321" s="3" t="str">
        <f aca="false">IF(V321&lt;=ROUND(349*0.2,0),"بسیار بالا",IF(V321&lt;=ROUND(349*0.4,0),"بالا",IF(V321&lt;=ROUND(349*0.6,0),"متوسط",IF(V321&lt;=ROUND(349*0.8,0),"پایین","بسیار پایین"))))</f>
        <v>پایین</v>
      </c>
      <c r="H321" s="11" t="n">
        <f aca="false">(100-I321)*(100-L321)/100</f>
        <v>67.854374</v>
      </c>
      <c r="I321" s="11" t="n">
        <v>9.66</v>
      </c>
      <c r="J321" s="11" t="n">
        <v>33.28</v>
      </c>
      <c r="K321" s="11" t="n">
        <f aca="false">J321/(1-I321/100)</f>
        <v>36.8386096967014</v>
      </c>
      <c r="L321" s="11" t="n">
        <v>24.89</v>
      </c>
      <c r="M321" s="11" t="n">
        <v>33.37</v>
      </c>
      <c r="N321" s="11" t="n">
        <v>20.31</v>
      </c>
      <c r="O321" s="11" t="n">
        <v>8.31</v>
      </c>
      <c r="P321" s="10" t="n">
        <f aca="false">ROUND(E321*J321/100,0)</f>
        <v>2083</v>
      </c>
      <c r="Q321" s="10" t="n">
        <f aca="false">ROUND(P321*I321/(100-I321),0)</f>
        <v>223</v>
      </c>
      <c r="R321" s="10" t="n">
        <f aca="false">ROUND(P321*(100-L321)/100,0)</f>
        <v>1565</v>
      </c>
      <c r="S321" s="10" t="n">
        <f aca="false">ROUND(P321*M321/100,0)</f>
        <v>695</v>
      </c>
      <c r="T321" s="11" t="n">
        <v>67.82</v>
      </c>
      <c r="U321" s="11" t="n">
        <v>67.9</v>
      </c>
      <c r="V321" s="3" t="n">
        <f aca="false">RANK(F321,$F$2:$F$350,0)</f>
        <v>216</v>
      </c>
      <c r="W321" s="12"/>
      <c r="X321" s="10" t="n">
        <v>0</v>
      </c>
      <c r="Y321" s="3" t="s">
        <v>77</v>
      </c>
      <c r="Z321" s="13" t="s">
        <v>78</v>
      </c>
      <c r="AA321" s="13" t="s">
        <v>79</v>
      </c>
      <c r="AB321" s="11" t="n">
        <v>8.57</v>
      </c>
    </row>
    <row r="322" customFormat="false" ht="16.4" hidden="false" customHeight="false" outlineLevel="0" collapsed="false">
      <c r="A322" s="3" t="n">
        <v>321</v>
      </c>
      <c r="B322" s="3" t="n">
        <v>20</v>
      </c>
      <c r="C322" s="3" t="s">
        <v>463</v>
      </c>
      <c r="D322" s="10" t="n">
        <v>5707</v>
      </c>
      <c r="E322" s="10" t="n">
        <f aca="false">ROUND(D322*INDEX(مناطق!$AF$2:$AF$23,B322),0)</f>
        <v>4889</v>
      </c>
      <c r="F322" s="11" t="n">
        <f aca="false">ROUND(100*(راهنما!$B$4*(H322-MIN($H$2:$H$350))/(MAX($H$2:$H$350)-MIN($H$2:$H$350))+راهنما!$B$5*(N322-MIN($N$2:$N$350))/(MAX($N$2:$N$350)-MIN($N$2:$N$350))+راهنما!$B$6*(J322-MIN($J$2:$J$350))/(MAX($J$2:$J$350)-MIN($J$2:$J$350))+راهنما!$B$7*(MAX($I$2:$I$350)-I322)/(MAX($I$2:$I$350)-MIN($I$2:$I$350)))/راهنما!$B$8,1)</f>
        <v>44.3</v>
      </c>
      <c r="G322" s="3" t="str">
        <f aca="false">IF(V322&lt;=ROUND(349*0.2,0),"بسیار بالا",IF(V322&lt;=ROUND(349*0.4,0),"بالا",IF(V322&lt;=ROUND(349*0.6,0),"متوسط",IF(V322&lt;=ROUND(349*0.8,0),"پایین","بسیار پایین"))))</f>
        <v>پایین</v>
      </c>
      <c r="H322" s="11" t="n">
        <f aca="false">(100-I322)*(100-L322)/100</f>
        <v>67.854374</v>
      </c>
      <c r="I322" s="11" t="n">
        <v>9.66</v>
      </c>
      <c r="J322" s="11" t="n">
        <v>33.28</v>
      </c>
      <c r="K322" s="11" t="n">
        <f aca="false">J322/(1-I322/100)</f>
        <v>36.8386096967014</v>
      </c>
      <c r="L322" s="11" t="n">
        <v>24.89</v>
      </c>
      <c r="M322" s="11" t="n">
        <v>33.37</v>
      </c>
      <c r="N322" s="11" t="n">
        <v>20.31</v>
      </c>
      <c r="O322" s="11" t="n">
        <v>8.31</v>
      </c>
      <c r="P322" s="10" t="n">
        <f aca="false">ROUND(E322*J322/100,0)</f>
        <v>1627</v>
      </c>
      <c r="Q322" s="10" t="n">
        <f aca="false">ROUND(P322*I322/(100-I322),0)</f>
        <v>174</v>
      </c>
      <c r="R322" s="10" t="n">
        <f aca="false">ROUND(P322*(100-L322)/100,0)</f>
        <v>1222</v>
      </c>
      <c r="S322" s="10" t="n">
        <f aca="false">ROUND(P322*M322/100,0)</f>
        <v>543</v>
      </c>
      <c r="T322" s="11" t="n">
        <v>67.82</v>
      </c>
      <c r="U322" s="11" t="n">
        <v>67.9</v>
      </c>
      <c r="V322" s="3" t="n">
        <f aca="false">RANK(F322,$F$2:$F$350,0)</f>
        <v>216</v>
      </c>
      <c r="W322" s="12"/>
      <c r="X322" s="10" t="n">
        <v>0</v>
      </c>
      <c r="Y322" s="3" t="s">
        <v>77</v>
      </c>
      <c r="Z322" s="13" t="s">
        <v>78</v>
      </c>
      <c r="AA322" s="13" t="s">
        <v>79</v>
      </c>
      <c r="AB322" s="11" t="n">
        <v>8.57</v>
      </c>
    </row>
    <row r="323" customFormat="false" ht="16.4" hidden="false" customHeight="false" outlineLevel="0" collapsed="false">
      <c r="A323" s="3" t="n">
        <v>322</v>
      </c>
      <c r="B323" s="3" t="n">
        <v>20</v>
      </c>
      <c r="C323" s="3" t="s">
        <v>464</v>
      </c>
      <c r="D323" s="10" t="n">
        <v>2629</v>
      </c>
      <c r="E323" s="10" t="n">
        <f aca="false">ROUND(D323*INDEX(مناطق!$AF$2:$AF$23,B323),0)</f>
        <v>2252</v>
      </c>
      <c r="F323" s="11" t="n">
        <f aca="false">ROUND(100*(راهنما!$B$4*(H323-MIN($H$2:$H$350))/(MAX($H$2:$H$350)-MIN($H$2:$H$350))+راهنما!$B$5*(N323-MIN($N$2:$N$350))/(MAX($N$2:$N$350)-MIN($N$2:$N$350))+راهنما!$B$6*(J323-MIN($J$2:$J$350))/(MAX($J$2:$J$350)-MIN($J$2:$J$350))+راهنما!$B$7*(MAX($I$2:$I$350)-I323)/(MAX($I$2:$I$350)-MIN($I$2:$I$350)))/راهنما!$B$8,1)</f>
        <v>44.3</v>
      </c>
      <c r="G323" s="3" t="str">
        <f aca="false">IF(V323&lt;=ROUND(349*0.2,0),"بسیار بالا",IF(V323&lt;=ROUND(349*0.4,0),"بالا",IF(V323&lt;=ROUND(349*0.6,0),"متوسط",IF(V323&lt;=ROUND(349*0.8,0),"پایین","بسیار پایین"))))</f>
        <v>پایین</v>
      </c>
      <c r="H323" s="11" t="n">
        <f aca="false">(100-I323)*(100-L323)/100</f>
        <v>67.854374</v>
      </c>
      <c r="I323" s="11" t="n">
        <v>9.66</v>
      </c>
      <c r="J323" s="11" t="n">
        <v>33.28</v>
      </c>
      <c r="K323" s="11" t="n">
        <f aca="false">J323/(1-I323/100)</f>
        <v>36.8386096967014</v>
      </c>
      <c r="L323" s="11" t="n">
        <v>24.89</v>
      </c>
      <c r="M323" s="11" t="n">
        <v>33.37</v>
      </c>
      <c r="N323" s="11" t="n">
        <v>20.31</v>
      </c>
      <c r="O323" s="11" t="n">
        <v>8.31</v>
      </c>
      <c r="P323" s="10" t="n">
        <f aca="false">ROUND(E323*J323/100,0)</f>
        <v>749</v>
      </c>
      <c r="Q323" s="10" t="n">
        <f aca="false">ROUND(P323*I323/(100-I323),0)</f>
        <v>80</v>
      </c>
      <c r="R323" s="10" t="n">
        <f aca="false">ROUND(P323*(100-L323)/100,0)</f>
        <v>563</v>
      </c>
      <c r="S323" s="10" t="n">
        <f aca="false">ROUND(P323*M323/100,0)</f>
        <v>250</v>
      </c>
      <c r="T323" s="11" t="n">
        <v>67.82</v>
      </c>
      <c r="U323" s="11" t="n">
        <v>67.9</v>
      </c>
      <c r="V323" s="3" t="n">
        <f aca="false">RANK(F323,$F$2:$F$350,0)</f>
        <v>216</v>
      </c>
      <c r="W323" s="12"/>
      <c r="X323" s="10" t="n">
        <v>0</v>
      </c>
      <c r="Y323" s="3" t="s">
        <v>77</v>
      </c>
      <c r="Z323" s="13" t="s">
        <v>78</v>
      </c>
      <c r="AA323" s="13" t="s">
        <v>79</v>
      </c>
      <c r="AB323" s="11" t="n">
        <v>8.57</v>
      </c>
    </row>
    <row r="324" customFormat="false" ht="16.4" hidden="false" customHeight="false" outlineLevel="0" collapsed="false">
      <c r="A324" s="3" t="n">
        <v>323</v>
      </c>
      <c r="B324" s="3" t="n">
        <v>20</v>
      </c>
      <c r="C324" s="3" t="s">
        <v>465</v>
      </c>
      <c r="D324" s="10" t="n">
        <v>12509</v>
      </c>
      <c r="E324" s="10" t="n">
        <f aca="false">ROUND(D324*INDEX(مناطق!$AF$2:$AF$23,B324),0)</f>
        <v>10716</v>
      </c>
      <c r="F324" s="11" t="n">
        <f aca="false">ROUND(100*(راهنما!$B$4*(H324-MIN($H$2:$H$350))/(MAX($H$2:$H$350)-MIN($H$2:$H$350))+راهنما!$B$5*(N324-MIN($N$2:$N$350))/(MAX($N$2:$N$350)-MIN($N$2:$N$350))+راهنما!$B$6*(J324-MIN($J$2:$J$350))/(MAX($J$2:$J$350)-MIN($J$2:$J$350))+راهنما!$B$7*(MAX($I$2:$I$350)-I324)/(MAX($I$2:$I$350)-MIN($I$2:$I$350)))/راهنما!$B$8,1)</f>
        <v>39.4</v>
      </c>
      <c r="G324" s="3" t="str">
        <f aca="false">IF(V324&lt;=ROUND(349*0.2,0),"بسیار بالا",IF(V324&lt;=ROUND(349*0.4,0),"بالا",IF(V324&lt;=ROUND(349*0.6,0),"متوسط",IF(V324&lt;=ROUND(349*0.8,0),"پایین","بسیار پایین"))))</f>
        <v>پایین</v>
      </c>
      <c r="H324" s="11" t="n">
        <f aca="false">(100-I324)*(100-L324)/100</f>
        <v>66.165016</v>
      </c>
      <c r="I324" s="11" t="n">
        <v>9.66</v>
      </c>
      <c r="J324" s="11" t="n">
        <v>33.58</v>
      </c>
      <c r="K324" s="11" t="n">
        <f aca="false">J324/(1-I324/100)</f>
        <v>37.1706885100731</v>
      </c>
      <c r="L324" s="11" t="n">
        <v>26.76</v>
      </c>
      <c r="M324" s="11" t="n">
        <v>33.37</v>
      </c>
      <c r="N324" s="11" t="n">
        <v>15.28</v>
      </c>
      <c r="O324" s="11" t="n">
        <v>9.3</v>
      </c>
      <c r="P324" s="10" t="n">
        <f aca="false">ROUND(E324*J324/100,0)</f>
        <v>3598</v>
      </c>
      <c r="Q324" s="10" t="n">
        <f aca="false">ROUND(P324*I324/(100-I324),0)</f>
        <v>385</v>
      </c>
      <c r="R324" s="10" t="n">
        <f aca="false">ROUND(P324*(100-L324)/100,0)</f>
        <v>2635</v>
      </c>
      <c r="S324" s="10" t="n">
        <f aca="false">ROUND(P324*M324/100,0)</f>
        <v>1201</v>
      </c>
      <c r="T324" s="11" t="n">
        <v>65.48</v>
      </c>
      <c r="U324" s="11" t="n">
        <v>66.84</v>
      </c>
      <c r="V324" s="3" t="n">
        <f aca="false">RANK(F324,$F$2:$F$350,0)</f>
        <v>266</v>
      </c>
      <c r="W324" s="12" t="n">
        <v>214.6</v>
      </c>
      <c r="X324" s="10" t="n">
        <v>73</v>
      </c>
      <c r="Y324" s="3" t="s">
        <v>58</v>
      </c>
      <c r="Z324" s="3" t="s">
        <v>465</v>
      </c>
      <c r="AA324" s="13" t="s">
        <v>59</v>
      </c>
      <c r="AB324" s="11" t="n">
        <v>6.33</v>
      </c>
    </row>
    <row r="325" customFormat="false" ht="16.4" hidden="false" customHeight="false" outlineLevel="0" collapsed="false">
      <c r="A325" s="3" t="n">
        <v>324</v>
      </c>
      <c r="B325" s="3" t="n">
        <v>20</v>
      </c>
      <c r="C325" s="3" t="s">
        <v>466</v>
      </c>
      <c r="D325" s="10" t="n">
        <v>14452</v>
      </c>
      <c r="E325" s="10" t="n">
        <f aca="false">ROUND(D325*INDEX(مناطق!$AF$2:$AF$23,B325),0)</f>
        <v>12381</v>
      </c>
      <c r="F325" s="11" t="n">
        <f aca="false">ROUND(100*(راهنما!$B$4*(H325-MIN($H$2:$H$350))/(MAX($H$2:$H$350)-MIN($H$2:$H$350))+راهنما!$B$5*(N325-MIN($N$2:$N$350))/(MAX($N$2:$N$350)-MIN($N$2:$N$350))+راهنما!$B$6*(J325-MIN($J$2:$J$350))/(MAX($J$2:$J$350)-MIN($J$2:$J$350))+راهنما!$B$7*(MAX($I$2:$I$350)-I325)/(MAX($I$2:$I$350)-MIN($I$2:$I$350)))/راهنما!$B$8,1)</f>
        <v>26.5</v>
      </c>
      <c r="G325" s="3" t="str">
        <f aca="false">IF(V325&lt;=ROUND(349*0.2,0),"بسیار بالا",IF(V325&lt;=ROUND(349*0.4,0),"بالا",IF(V325&lt;=ROUND(349*0.6,0),"متوسط",IF(V325&lt;=ROUND(349*0.8,0),"پایین","بسیار پایین"))))</f>
        <v>بسیار پایین</v>
      </c>
      <c r="H325" s="11" t="n">
        <f aca="false">(100-I325)*(100-L325)/100</f>
        <v>60.898194</v>
      </c>
      <c r="I325" s="11" t="n">
        <v>9.66</v>
      </c>
      <c r="J325" s="11" t="n">
        <v>34.42</v>
      </c>
      <c r="K325" s="11" t="n">
        <f aca="false">J325/(1-I325/100)</f>
        <v>38.1005091875138</v>
      </c>
      <c r="L325" s="11" t="n">
        <v>32.59</v>
      </c>
      <c r="M325" s="11" t="n">
        <v>33.37</v>
      </c>
      <c r="N325" s="11" t="n">
        <v>6.28</v>
      </c>
      <c r="O325" s="11" t="n">
        <v>12.72</v>
      </c>
      <c r="P325" s="10" t="n">
        <f aca="false">ROUND(E325*J325/100,0)</f>
        <v>4262</v>
      </c>
      <c r="Q325" s="10" t="n">
        <f aca="false">ROUND(P325*I325/(100-I325),0)</f>
        <v>456</v>
      </c>
      <c r="R325" s="10" t="n">
        <f aca="false">ROUND(P325*(100-L325)/100,0)</f>
        <v>2873</v>
      </c>
      <c r="S325" s="10" t="n">
        <f aca="false">ROUND(P325*M325/100,0)</f>
        <v>1422</v>
      </c>
      <c r="T325" s="11" t="n">
        <v>57.74</v>
      </c>
      <c r="U325" s="11" t="n">
        <v>63.9</v>
      </c>
      <c r="V325" s="3" t="n">
        <f aca="false">RANK(F325,$F$2:$F$350,0)</f>
        <v>343</v>
      </c>
      <c r="W325" s="12" t="n">
        <v>110</v>
      </c>
      <c r="X325" s="10" t="n">
        <v>82</v>
      </c>
      <c r="Y325" s="3" t="s">
        <v>67</v>
      </c>
      <c r="Z325" s="3" t="s">
        <v>374</v>
      </c>
      <c r="AA325" s="13" t="s">
        <v>59</v>
      </c>
      <c r="AB325" s="11" t="n">
        <v>2.58</v>
      </c>
    </row>
    <row r="326" customFormat="false" ht="16.4" hidden="false" customHeight="false" outlineLevel="0" collapsed="false">
      <c r="A326" s="3" t="n">
        <v>325</v>
      </c>
      <c r="B326" s="3" t="n">
        <v>21</v>
      </c>
      <c r="C326" s="3" t="s">
        <v>141</v>
      </c>
      <c r="D326" s="10" t="n">
        <v>43924</v>
      </c>
      <c r="E326" s="10" t="n">
        <f aca="false">ROUND(D326*INDEX(مناطق!$AF$2:$AF$23,B326),0)</f>
        <v>38226</v>
      </c>
      <c r="F326" s="11" t="n">
        <f aca="false">ROUND(100*(راهنما!$B$4*(H326-MIN($H$2:$H$350))/(MAX($H$2:$H$350)-MIN($H$2:$H$350))+راهنما!$B$5*(N326-MIN($N$2:$N$350))/(MAX($N$2:$N$350)-MIN($N$2:$N$350))+راهنما!$B$6*(J326-MIN($J$2:$J$350))/(MAX($J$2:$J$350)-MIN($J$2:$J$350))+راهنما!$B$7*(MAX($I$2:$I$350)-I326)/(MAX($I$2:$I$350)-MIN($I$2:$I$350)))/راهنما!$B$8,1)</f>
        <v>44.5</v>
      </c>
      <c r="G326" s="3" t="str">
        <f aca="false">IF(V326&lt;=ROUND(349*0.2,0),"بسیار بالا",IF(V326&lt;=ROUND(349*0.4,0),"بالا",IF(V326&lt;=ROUND(349*0.6,0),"متوسط",IF(V326&lt;=ROUND(349*0.8,0),"پایین","بسیار پایین"))))</f>
        <v>پایین</v>
      </c>
      <c r="H326" s="11" t="n">
        <f aca="false">(100-I326)*(100-L326)/100</f>
        <v>70.776088</v>
      </c>
      <c r="I326" s="11" t="n">
        <v>14.19</v>
      </c>
      <c r="J326" s="11" t="n">
        <v>31.69</v>
      </c>
      <c r="K326" s="11" t="n">
        <f aca="false">J326/(1-I326/100)</f>
        <v>36.9304276890805</v>
      </c>
      <c r="L326" s="11" t="n">
        <v>17.52</v>
      </c>
      <c r="M326" s="11" t="n">
        <v>43.78</v>
      </c>
      <c r="N326" s="11" t="n">
        <v>39.48</v>
      </c>
      <c r="O326" s="11" t="n">
        <v>4.73</v>
      </c>
      <c r="P326" s="10" t="n">
        <f aca="false">ROUND(E326*J326/100,0)</f>
        <v>12114</v>
      </c>
      <c r="Q326" s="10" t="n">
        <f aca="false">ROUND(P326*I326/(100-I326),0)</f>
        <v>2003</v>
      </c>
      <c r="R326" s="10" t="n">
        <f aca="false">ROUND(P326*(100-L326)/100,0)</f>
        <v>9992</v>
      </c>
      <c r="S326" s="10" t="n">
        <f aca="false">ROUND(P326*M326/100,0)</f>
        <v>5304</v>
      </c>
      <c r="T326" s="11" t="n">
        <v>70.29</v>
      </c>
      <c r="U326" s="11" t="n">
        <v>71.27</v>
      </c>
      <c r="V326" s="3" t="n">
        <f aca="false">RANK(F326,$F$2:$F$350,0)</f>
        <v>215</v>
      </c>
      <c r="W326" s="12" t="n">
        <v>232.1</v>
      </c>
      <c r="X326" s="10" t="n">
        <v>89</v>
      </c>
      <c r="Y326" s="3" t="s">
        <v>67</v>
      </c>
      <c r="Z326" s="3" t="s">
        <v>467</v>
      </c>
      <c r="AA326" s="13" t="s">
        <v>59</v>
      </c>
      <c r="AB326" s="11" t="n">
        <v>20.13</v>
      </c>
    </row>
    <row r="327" customFormat="false" ht="16.4" hidden="false" customHeight="false" outlineLevel="0" collapsed="false">
      <c r="A327" s="3" t="n">
        <v>326</v>
      </c>
      <c r="B327" s="3" t="n">
        <v>21</v>
      </c>
      <c r="C327" s="3" t="s">
        <v>468</v>
      </c>
      <c r="D327" s="10" t="n">
        <v>9402</v>
      </c>
      <c r="E327" s="10" t="n">
        <f aca="false">ROUND(D327*INDEX(مناطق!$AF$2:$AF$23,B327),0)</f>
        <v>8182</v>
      </c>
      <c r="F327" s="11" t="n">
        <f aca="false">ROUND(100*(راهنما!$B$4*(H327-MIN($H$2:$H$350))/(MAX($H$2:$H$350)-MIN($H$2:$H$350))+راهنما!$B$5*(N327-MIN($N$2:$N$350))/(MAX($N$2:$N$350)-MIN($N$2:$N$350))+راهنما!$B$6*(J327-MIN($J$2:$J$350))/(MAX($J$2:$J$350)-MIN($J$2:$J$350))+راهنما!$B$7*(MAX($I$2:$I$350)-I327)/(MAX($I$2:$I$350)-MIN($I$2:$I$350)))/راهنما!$B$8,1)</f>
        <v>42.9</v>
      </c>
      <c r="G327" s="3" t="str">
        <f aca="false">IF(V327&lt;=ROUND(349*0.2,0),"بسیار بالا",IF(V327&lt;=ROUND(349*0.4,0),"بالا",IF(V327&lt;=ROUND(349*0.6,0),"متوسط",IF(V327&lt;=ROUND(349*0.8,0),"پایین","بسیار پایین"))))</f>
        <v>پایین</v>
      </c>
      <c r="H327" s="11" t="n">
        <f aca="false">(100-I327)*(100-L327)/100</f>
        <v>70.407105</v>
      </c>
      <c r="I327" s="11" t="n">
        <v>14.19</v>
      </c>
      <c r="J327" s="11" t="n">
        <v>31.78</v>
      </c>
      <c r="K327" s="11" t="n">
        <f aca="false">J327/(1-I327/100)</f>
        <v>37.0353105698637</v>
      </c>
      <c r="L327" s="11" t="n">
        <v>17.95</v>
      </c>
      <c r="M327" s="11" t="n">
        <v>43.78</v>
      </c>
      <c r="N327" s="11" t="n">
        <v>36.97</v>
      </c>
      <c r="O327" s="11" t="n">
        <v>4.9</v>
      </c>
      <c r="P327" s="10" t="n">
        <f aca="false">ROUND(E327*J327/100,0)</f>
        <v>2600</v>
      </c>
      <c r="Q327" s="10" t="n">
        <f aca="false">ROUND(P327*I327/(100-I327),0)</f>
        <v>430</v>
      </c>
      <c r="R327" s="10" t="n">
        <f aca="false">ROUND(P327*(100-L327)/100,0)</f>
        <v>2133</v>
      </c>
      <c r="S327" s="10" t="n">
        <f aca="false">ROUND(P327*M327/100,0)</f>
        <v>1138</v>
      </c>
      <c r="T327" s="11" t="n">
        <v>70.07</v>
      </c>
      <c r="U327" s="11" t="n">
        <v>70.75</v>
      </c>
      <c r="V327" s="3" t="n">
        <f aca="false">RANK(F327,$F$2:$F$350,0)</f>
        <v>233</v>
      </c>
      <c r="W327" s="12" t="n">
        <v>214.3</v>
      </c>
      <c r="X327" s="10" t="n">
        <v>23</v>
      </c>
      <c r="Y327" s="3" t="s">
        <v>67</v>
      </c>
      <c r="Z327" s="3" t="s">
        <v>468</v>
      </c>
      <c r="AA327" s="13" t="s">
        <v>63</v>
      </c>
      <c r="AB327" s="11" t="n">
        <v>18.57</v>
      </c>
    </row>
    <row r="328" customFormat="false" ht="16.4" hidden="false" customHeight="false" outlineLevel="0" collapsed="false">
      <c r="A328" s="3" t="n">
        <v>327</v>
      </c>
      <c r="B328" s="3" t="n">
        <v>21</v>
      </c>
      <c r="C328" s="3" t="s">
        <v>469</v>
      </c>
      <c r="D328" s="10" t="n">
        <v>4269</v>
      </c>
      <c r="E328" s="10" t="n">
        <f aca="false">ROUND(D328*INDEX(مناطق!$AF$2:$AF$23,B328),0)</f>
        <v>3715</v>
      </c>
      <c r="F328" s="11" t="n">
        <f aca="false">ROUND(100*(راهنما!$B$4*(H328-MIN($H$2:$H$350))/(MAX($H$2:$H$350)-MIN($H$2:$H$350))+راهنما!$B$5*(N328-MIN($N$2:$N$350))/(MAX($N$2:$N$350)-MIN($N$2:$N$350))+راهنما!$B$6*(J328-MIN($J$2:$J$350))/(MAX($J$2:$J$350)-MIN($J$2:$J$350))+راهنما!$B$7*(MAX($I$2:$I$350)-I328)/(MAX($I$2:$I$350)-MIN($I$2:$I$350)))/راهنما!$B$8,1)</f>
        <v>40.9</v>
      </c>
      <c r="G328" s="3" t="str">
        <f aca="false">IF(V328&lt;=ROUND(349*0.2,0),"بسیار بالا",IF(V328&lt;=ROUND(349*0.4,0),"بالا",IF(V328&lt;=ROUND(349*0.6,0),"متوسط",IF(V328&lt;=ROUND(349*0.8,0),"پایین","بسیار پایین"))))</f>
        <v>پایین</v>
      </c>
      <c r="H328" s="11" t="n">
        <f aca="false">(100-I328)*(100-L328)/100</f>
        <v>69.943731</v>
      </c>
      <c r="I328" s="11" t="n">
        <v>14.19</v>
      </c>
      <c r="J328" s="11" t="n">
        <v>31.88</v>
      </c>
      <c r="K328" s="11" t="n">
        <f aca="false">J328/(1-I328/100)</f>
        <v>37.1518471040671</v>
      </c>
      <c r="L328" s="11" t="n">
        <v>18.49</v>
      </c>
      <c r="M328" s="11" t="n">
        <v>43.78</v>
      </c>
      <c r="N328" s="11" t="n">
        <v>34.05</v>
      </c>
      <c r="O328" s="11" t="n">
        <v>5.12</v>
      </c>
      <c r="P328" s="10" t="n">
        <f aca="false">ROUND(E328*J328/100,0)</f>
        <v>1184</v>
      </c>
      <c r="Q328" s="10" t="n">
        <f aca="false">ROUND(P328*I328/(100-I328),0)</f>
        <v>196</v>
      </c>
      <c r="R328" s="10" t="n">
        <f aca="false">ROUND(P328*(100-L328)/100,0)</f>
        <v>965</v>
      </c>
      <c r="S328" s="10" t="n">
        <f aca="false">ROUND(P328*M328/100,0)</f>
        <v>518</v>
      </c>
      <c r="T328" s="11" t="n">
        <v>69.79</v>
      </c>
      <c r="U328" s="11" t="n">
        <v>70.1</v>
      </c>
      <c r="V328" s="3" t="n">
        <f aca="false">RANK(F328,$F$2:$F$350,0)</f>
        <v>248</v>
      </c>
      <c r="W328" s="12" t="n">
        <v>190.2</v>
      </c>
      <c r="X328" s="10" t="n">
        <v>50</v>
      </c>
      <c r="Y328" s="3" t="s">
        <v>58</v>
      </c>
      <c r="Z328" s="3" t="s">
        <v>469</v>
      </c>
      <c r="AA328" s="13" t="s">
        <v>59</v>
      </c>
      <c r="AB328" s="11" t="n">
        <v>16.81</v>
      </c>
    </row>
    <row r="329" customFormat="false" ht="16.4" hidden="false" customHeight="false" outlineLevel="0" collapsed="false">
      <c r="A329" s="3" t="n">
        <v>328</v>
      </c>
      <c r="B329" s="3" t="n">
        <v>21</v>
      </c>
      <c r="C329" s="3" t="s">
        <v>470</v>
      </c>
      <c r="D329" s="10" t="n">
        <v>19615</v>
      </c>
      <c r="E329" s="10" t="n">
        <f aca="false">ROUND(D329*INDEX(مناطق!$AF$2:$AF$23,B329),0)</f>
        <v>17070</v>
      </c>
      <c r="F329" s="11" t="n">
        <f aca="false">ROUND(100*(راهنما!$B$4*(H329-MIN($H$2:$H$350))/(MAX($H$2:$H$350)-MIN($H$2:$H$350))+راهنما!$B$5*(N329-MIN($N$2:$N$350))/(MAX($N$2:$N$350)-MIN($N$2:$N$350))+راهنما!$B$6*(J329-MIN($J$2:$J$350))/(MAX($J$2:$J$350)-MIN($J$2:$J$350))+راهنما!$B$7*(MAX($I$2:$I$350)-I329)/(MAX($I$2:$I$350)-MIN($I$2:$I$350)))/راهنما!$B$8,1)</f>
        <v>40.3</v>
      </c>
      <c r="G329" s="3" t="str">
        <f aca="false">IF(V329&lt;=ROUND(349*0.2,0),"بسیار بالا",IF(V329&lt;=ROUND(349*0.4,0),"بالا",IF(V329&lt;=ROUND(349*0.6,0),"متوسط",IF(V329&lt;=ROUND(349*0.8,0),"پایین","بسیار پایین"))))</f>
        <v>پایین</v>
      </c>
      <c r="H329" s="11" t="n">
        <f aca="false">(100-I329)*(100-L329)/100</f>
        <v>69.789273</v>
      </c>
      <c r="I329" s="11" t="n">
        <v>14.19</v>
      </c>
      <c r="J329" s="11" t="n">
        <v>31.92</v>
      </c>
      <c r="K329" s="11" t="n">
        <f aca="false">J329/(1-I329/100)</f>
        <v>37.1984617177485</v>
      </c>
      <c r="L329" s="11" t="n">
        <v>18.67</v>
      </c>
      <c r="M329" s="11" t="n">
        <v>43.78</v>
      </c>
      <c r="N329" s="11" t="n">
        <v>33.12</v>
      </c>
      <c r="O329" s="11" t="n">
        <v>5.19</v>
      </c>
      <c r="P329" s="10" t="n">
        <f aca="false">ROUND(E329*J329/100,0)</f>
        <v>5449</v>
      </c>
      <c r="Q329" s="10" t="n">
        <f aca="false">ROUND(P329*I329/(100-I329),0)</f>
        <v>901</v>
      </c>
      <c r="R329" s="10" t="n">
        <f aca="false">ROUND(P329*(100-L329)/100,0)</f>
        <v>4432</v>
      </c>
      <c r="S329" s="10" t="n">
        <f aca="false">ROUND(P329*M329/100,0)</f>
        <v>2386</v>
      </c>
      <c r="T329" s="11" t="n">
        <v>69.7</v>
      </c>
      <c r="U329" s="11" t="n">
        <v>69.88</v>
      </c>
      <c r="V329" s="3" t="n">
        <f aca="false">RANK(F329,$F$2:$F$350,0)</f>
        <v>251</v>
      </c>
      <c r="W329" s="12" t="n">
        <v>198</v>
      </c>
      <c r="X329" s="10" t="n">
        <v>84</v>
      </c>
      <c r="Y329" s="3" t="s">
        <v>67</v>
      </c>
      <c r="Z329" s="3" t="s">
        <v>471</v>
      </c>
      <c r="AA329" s="13" t="s">
        <v>59</v>
      </c>
      <c r="AB329" s="11" t="n">
        <v>16.26</v>
      </c>
    </row>
    <row r="330" customFormat="false" ht="16.4" hidden="false" customHeight="false" outlineLevel="0" collapsed="false">
      <c r="A330" s="3" t="n">
        <v>329</v>
      </c>
      <c r="B330" s="3" t="n">
        <v>21</v>
      </c>
      <c r="C330" s="3" t="s">
        <v>472</v>
      </c>
      <c r="D330" s="10" t="n">
        <v>60163</v>
      </c>
      <c r="E330" s="10" t="n">
        <f aca="false">ROUND(D330*INDEX(مناطق!$AF$2:$AF$23,B330),0)</f>
        <v>52358</v>
      </c>
      <c r="F330" s="11" t="n">
        <f aca="false">ROUND(100*(راهنما!$B$4*(H330-MIN($H$2:$H$350))/(MAX($H$2:$H$350)-MIN($H$2:$H$350))+راهنما!$B$5*(N330-MIN($N$2:$N$350))/(MAX($N$2:$N$350)-MIN($N$2:$N$350))+راهنما!$B$6*(J330-MIN($J$2:$J$350))/(MAX($J$2:$J$350)-MIN($J$2:$J$350))+راهنما!$B$7*(MAX($I$2:$I$350)-I330)/(MAX($I$2:$I$350)-MIN($I$2:$I$350)))/راهنما!$B$8,1)</f>
        <v>39.7</v>
      </c>
      <c r="G330" s="3" t="str">
        <f aca="false">IF(V330&lt;=ROUND(349*0.2,0),"بسیار بالا",IF(V330&lt;=ROUND(349*0.4,0),"بالا",IF(V330&lt;=ROUND(349*0.6,0),"متوسط",IF(V330&lt;=ROUND(349*0.8,0),"پایین","بسیار پایین"))))</f>
        <v>پایین</v>
      </c>
      <c r="H330" s="11" t="n">
        <f aca="false">(100-I330)*(100-L330)/100</f>
        <v>69.626234</v>
      </c>
      <c r="I330" s="11" t="n">
        <v>14.19</v>
      </c>
      <c r="J330" s="11" t="n">
        <v>31.96</v>
      </c>
      <c r="K330" s="11" t="n">
        <f aca="false">J330/(1-I330/100)</f>
        <v>37.2450763314299</v>
      </c>
      <c r="L330" s="11" t="n">
        <v>18.86</v>
      </c>
      <c r="M330" s="11" t="n">
        <v>43.78</v>
      </c>
      <c r="N330" s="11" t="n">
        <v>32.13</v>
      </c>
      <c r="O330" s="11" t="n">
        <v>5.27</v>
      </c>
      <c r="P330" s="10" t="n">
        <f aca="false">ROUND(E330*J330/100,0)</f>
        <v>16734</v>
      </c>
      <c r="Q330" s="10" t="n">
        <f aca="false">ROUND(P330*I330/(100-I330),0)</f>
        <v>2767</v>
      </c>
      <c r="R330" s="10" t="n">
        <f aca="false">ROUND(P330*(100-L330)/100,0)</f>
        <v>13578</v>
      </c>
      <c r="S330" s="10" t="n">
        <f aca="false">ROUND(P330*M330/100,0)</f>
        <v>7326</v>
      </c>
      <c r="T330" s="11" t="n">
        <v>69.61</v>
      </c>
      <c r="U330" s="11" t="n">
        <v>69.65</v>
      </c>
      <c r="V330" s="3" t="n">
        <f aca="false">RANK(F330,$F$2:$F$350,0)</f>
        <v>260</v>
      </c>
      <c r="W330" s="12"/>
      <c r="X330" s="10" t="n">
        <v>0</v>
      </c>
      <c r="Y330" s="3" t="s">
        <v>77</v>
      </c>
      <c r="Z330" s="13" t="s">
        <v>78</v>
      </c>
      <c r="AA330" s="13" t="s">
        <v>79</v>
      </c>
      <c r="AB330" s="11" t="n">
        <v>15.69</v>
      </c>
    </row>
    <row r="331" customFormat="false" ht="16.4" hidden="false" customHeight="false" outlineLevel="0" collapsed="false">
      <c r="A331" s="3" t="n">
        <v>330</v>
      </c>
      <c r="B331" s="3" t="n">
        <v>21</v>
      </c>
      <c r="C331" s="3" t="s">
        <v>213</v>
      </c>
      <c r="D331" s="10" t="n">
        <v>7662</v>
      </c>
      <c r="E331" s="10" t="n">
        <f aca="false">ROUND(D331*INDEX(مناطق!$AF$2:$AF$23,B331),0)</f>
        <v>6668</v>
      </c>
      <c r="F331" s="11" t="n">
        <f aca="false">ROUND(100*(راهنما!$B$4*(H331-MIN($H$2:$H$350))/(MAX($H$2:$H$350)-MIN($H$2:$H$350))+راهنما!$B$5*(N331-MIN($N$2:$N$350))/(MAX($N$2:$N$350)-MIN($N$2:$N$350))+راهنما!$B$6*(J331-MIN($J$2:$J$350))/(MAX($J$2:$J$350)-MIN($J$2:$J$350))+راهنما!$B$7*(MAX($I$2:$I$350)-I331)/(MAX($I$2:$I$350)-MIN($I$2:$I$350)))/راهنما!$B$8,1)</f>
        <v>39.7</v>
      </c>
      <c r="G331" s="3" t="str">
        <f aca="false">IF(V331&lt;=ROUND(349*0.2,0),"بسیار بالا",IF(V331&lt;=ROUND(349*0.4,0),"بالا",IF(V331&lt;=ROUND(349*0.6,0),"متوسط",IF(V331&lt;=ROUND(349*0.8,0),"پایین","بسیار پایین"))))</f>
        <v>پایین</v>
      </c>
      <c r="H331" s="11" t="n">
        <f aca="false">(100-I331)*(100-L331)/100</f>
        <v>69.626234</v>
      </c>
      <c r="I331" s="11" t="n">
        <v>14.19</v>
      </c>
      <c r="J331" s="11" t="n">
        <v>31.96</v>
      </c>
      <c r="K331" s="11" t="n">
        <f aca="false">J331/(1-I331/100)</f>
        <v>37.2450763314299</v>
      </c>
      <c r="L331" s="11" t="n">
        <v>18.86</v>
      </c>
      <c r="M331" s="11" t="n">
        <v>43.78</v>
      </c>
      <c r="N331" s="11" t="n">
        <v>32.13</v>
      </c>
      <c r="O331" s="11" t="n">
        <v>5.27</v>
      </c>
      <c r="P331" s="10" t="n">
        <f aca="false">ROUND(E331*J331/100,0)</f>
        <v>2131</v>
      </c>
      <c r="Q331" s="10" t="n">
        <f aca="false">ROUND(P331*I331/(100-I331),0)</f>
        <v>352</v>
      </c>
      <c r="R331" s="10" t="n">
        <f aca="false">ROUND(P331*(100-L331)/100,0)</f>
        <v>1729</v>
      </c>
      <c r="S331" s="10" t="n">
        <f aca="false">ROUND(P331*M331/100,0)</f>
        <v>933</v>
      </c>
      <c r="T331" s="11" t="n">
        <v>69.61</v>
      </c>
      <c r="U331" s="11" t="n">
        <v>69.65</v>
      </c>
      <c r="V331" s="3" t="n">
        <f aca="false">RANK(F331,$F$2:$F$350,0)</f>
        <v>260</v>
      </c>
      <c r="W331" s="12"/>
      <c r="X331" s="10" t="n">
        <v>0</v>
      </c>
      <c r="Y331" s="3" t="s">
        <v>77</v>
      </c>
      <c r="Z331" s="13" t="s">
        <v>78</v>
      </c>
      <c r="AA331" s="13" t="s">
        <v>79</v>
      </c>
      <c r="AB331" s="11" t="n">
        <v>15.69</v>
      </c>
    </row>
    <row r="332" customFormat="false" ht="16.4" hidden="false" customHeight="false" outlineLevel="0" collapsed="false">
      <c r="A332" s="3" t="n">
        <v>331</v>
      </c>
      <c r="B332" s="3" t="n">
        <v>21</v>
      </c>
      <c r="C332" s="3" t="s">
        <v>473</v>
      </c>
      <c r="D332" s="10" t="n">
        <v>2453</v>
      </c>
      <c r="E332" s="10" t="n">
        <f aca="false">ROUND(D332*INDEX(مناطق!$AF$2:$AF$23,B332),0)</f>
        <v>2135</v>
      </c>
      <c r="F332" s="11" t="n">
        <f aca="false">ROUND(100*(راهنما!$B$4*(H332-MIN($H$2:$H$350))/(MAX($H$2:$H$350)-MIN($H$2:$H$350))+راهنما!$B$5*(N332-MIN($N$2:$N$350))/(MAX($N$2:$N$350)-MIN($N$2:$N$350))+راهنما!$B$6*(J332-MIN($J$2:$J$350))/(MAX($J$2:$J$350)-MIN($J$2:$J$350))+راهنما!$B$7*(MAX($I$2:$I$350)-I332)/(MAX($I$2:$I$350)-MIN($I$2:$I$350)))/راهنما!$B$8,1)</f>
        <v>39.7</v>
      </c>
      <c r="G332" s="3" t="str">
        <f aca="false">IF(V332&lt;=ROUND(349*0.2,0),"بسیار بالا",IF(V332&lt;=ROUND(349*0.4,0),"بالا",IF(V332&lt;=ROUND(349*0.6,0),"متوسط",IF(V332&lt;=ROUND(349*0.8,0),"پایین","بسیار پایین"))))</f>
        <v>پایین</v>
      </c>
      <c r="H332" s="11" t="n">
        <f aca="false">(100-I332)*(100-L332)/100</f>
        <v>69.626234</v>
      </c>
      <c r="I332" s="11" t="n">
        <v>14.19</v>
      </c>
      <c r="J332" s="11" t="n">
        <v>31.96</v>
      </c>
      <c r="K332" s="11" t="n">
        <f aca="false">J332/(1-I332/100)</f>
        <v>37.2450763314299</v>
      </c>
      <c r="L332" s="11" t="n">
        <v>18.86</v>
      </c>
      <c r="M332" s="11" t="n">
        <v>43.78</v>
      </c>
      <c r="N332" s="11" t="n">
        <v>32.13</v>
      </c>
      <c r="O332" s="11" t="n">
        <v>5.27</v>
      </c>
      <c r="P332" s="10" t="n">
        <f aca="false">ROUND(E332*J332/100,0)</f>
        <v>682</v>
      </c>
      <c r="Q332" s="10" t="n">
        <f aca="false">ROUND(P332*I332/(100-I332),0)</f>
        <v>113</v>
      </c>
      <c r="R332" s="10" t="n">
        <f aca="false">ROUND(P332*(100-L332)/100,0)</f>
        <v>553</v>
      </c>
      <c r="S332" s="10" t="n">
        <f aca="false">ROUND(P332*M332/100,0)</f>
        <v>299</v>
      </c>
      <c r="T332" s="11" t="n">
        <v>69.61</v>
      </c>
      <c r="U332" s="11" t="n">
        <v>69.65</v>
      </c>
      <c r="V332" s="3" t="n">
        <f aca="false">RANK(F332,$F$2:$F$350,0)</f>
        <v>260</v>
      </c>
      <c r="W332" s="12"/>
      <c r="X332" s="10" t="n">
        <v>0</v>
      </c>
      <c r="Y332" s="3" t="s">
        <v>77</v>
      </c>
      <c r="Z332" s="13" t="s">
        <v>78</v>
      </c>
      <c r="AA332" s="13" t="s">
        <v>79</v>
      </c>
      <c r="AB332" s="11" t="n">
        <v>15.69</v>
      </c>
    </row>
    <row r="333" customFormat="false" ht="16.4" hidden="false" customHeight="false" outlineLevel="0" collapsed="false">
      <c r="A333" s="3" t="n">
        <v>332</v>
      </c>
      <c r="B333" s="3" t="n">
        <v>21</v>
      </c>
      <c r="C333" s="3" t="s">
        <v>474</v>
      </c>
      <c r="D333" s="10" t="n">
        <v>4398</v>
      </c>
      <c r="E333" s="10" t="n">
        <f aca="false">ROUND(D333*INDEX(مناطق!$AF$2:$AF$23,B333),0)</f>
        <v>3827</v>
      </c>
      <c r="F333" s="11" t="n">
        <f aca="false">ROUND(100*(راهنما!$B$4*(H333-MIN($H$2:$H$350))/(MAX($H$2:$H$350)-MIN($H$2:$H$350))+راهنما!$B$5*(N333-MIN($N$2:$N$350))/(MAX($N$2:$N$350)-MIN($N$2:$N$350))+راهنما!$B$6*(J333-MIN($J$2:$J$350))/(MAX($J$2:$J$350)-MIN($J$2:$J$350))+راهنما!$B$7*(MAX($I$2:$I$350)-I333)/(MAX($I$2:$I$350)-MIN($I$2:$I$350)))/راهنما!$B$8,1)</f>
        <v>38.9</v>
      </c>
      <c r="G333" s="3" t="str">
        <f aca="false">IF(V333&lt;=ROUND(349*0.2,0),"بسیار بالا",IF(V333&lt;=ROUND(349*0.4,0),"بالا",IF(V333&lt;=ROUND(349*0.6,0),"متوسط",IF(V333&lt;=ROUND(349*0.8,0),"پایین","بسیار پایین"))))</f>
        <v>پایین</v>
      </c>
      <c r="H333" s="11" t="n">
        <f aca="false">(100-I333)*(100-L333)/100</f>
        <v>69.437452</v>
      </c>
      <c r="I333" s="11" t="n">
        <v>14.19</v>
      </c>
      <c r="J333" s="11" t="n">
        <v>32</v>
      </c>
      <c r="K333" s="11" t="n">
        <f aca="false">J333/(1-I333/100)</f>
        <v>37.2916909451113</v>
      </c>
      <c r="L333" s="11" t="n">
        <v>19.08</v>
      </c>
      <c r="M333" s="11" t="n">
        <v>43.78</v>
      </c>
      <c r="N333" s="11" t="n">
        <v>31.05</v>
      </c>
      <c r="O333" s="11" t="n">
        <v>5.36</v>
      </c>
      <c r="P333" s="10" t="n">
        <f aca="false">ROUND(E333*J333/100,0)</f>
        <v>1225</v>
      </c>
      <c r="Q333" s="10" t="n">
        <f aca="false">ROUND(P333*I333/(100-I333),0)</f>
        <v>203</v>
      </c>
      <c r="R333" s="10" t="n">
        <f aca="false">ROUND(P333*(100-L333)/100,0)</f>
        <v>991</v>
      </c>
      <c r="S333" s="10" t="n">
        <f aca="false">ROUND(P333*M333/100,0)</f>
        <v>536</v>
      </c>
      <c r="T333" s="11" t="n">
        <v>69.38</v>
      </c>
      <c r="U333" s="11" t="n">
        <v>69.5</v>
      </c>
      <c r="V333" s="3" t="n">
        <f aca="false">RANK(F333,$F$2:$F$350,0)</f>
        <v>274</v>
      </c>
      <c r="W333" s="12" t="n">
        <v>220.5</v>
      </c>
      <c r="X333" s="10" t="n">
        <v>79</v>
      </c>
      <c r="Y333" s="3" t="s">
        <v>67</v>
      </c>
      <c r="Z333" s="3" t="s">
        <v>475</v>
      </c>
      <c r="AA333" s="13" t="s">
        <v>59</v>
      </c>
      <c r="AB333" s="11" t="n">
        <v>15.08</v>
      </c>
    </row>
    <row r="334" customFormat="false" ht="16.4" hidden="false" customHeight="false" outlineLevel="0" collapsed="false">
      <c r="A334" s="3" t="n">
        <v>333</v>
      </c>
      <c r="B334" s="3" t="n">
        <v>21</v>
      </c>
      <c r="C334" s="3" t="s">
        <v>476</v>
      </c>
      <c r="D334" s="10" t="n">
        <v>11759</v>
      </c>
      <c r="E334" s="10" t="n">
        <f aca="false">ROUND(D334*INDEX(مناطق!$AF$2:$AF$23,B334),0)</f>
        <v>10233</v>
      </c>
      <c r="F334" s="11" t="n">
        <f aca="false">ROUND(100*(راهنما!$B$4*(H334-MIN($H$2:$H$350))/(MAX($H$2:$H$350)-MIN($H$2:$H$350))+راهنما!$B$5*(N334-MIN($N$2:$N$350))/(MAX($N$2:$N$350)-MIN($N$2:$N$350))+راهنما!$B$6*(J334-MIN($J$2:$J$350))/(MAX($J$2:$J$350)-MIN($J$2:$J$350))+راهنما!$B$7*(MAX($I$2:$I$350)-I334)/(MAX($I$2:$I$350)-MIN($I$2:$I$350)))/راهنما!$B$8,1)</f>
        <v>35.6</v>
      </c>
      <c r="G334" s="3" t="str">
        <f aca="false">IF(V334&lt;=ROUND(349*0.2,0),"بسیار بالا",IF(V334&lt;=ROUND(349*0.4,0),"بالا",IF(V334&lt;=ROUND(349*0.6,0),"متوسط",IF(V334&lt;=ROUND(349*0.8,0),"پایین","بسیار پایین"))))</f>
        <v>بسیار پایین</v>
      </c>
      <c r="H334" s="11" t="n">
        <f aca="false">(100-I334)*(100-L334)/100</f>
        <v>68.579352</v>
      </c>
      <c r="I334" s="11" t="n">
        <v>14.19</v>
      </c>
      <c r="J334" s="11" t="n">
        <v>32.18</v>
      </c>
      <c r="K334" s="11" t="n">
        <f aca="false">J334/(1-I334/100)</f>
        <v>37.5014567066775</v>
      </c>
      <c r="L334" s="11" t="n">
        <v>20.08</v>
      </c>
      <c r="M334" s="11" t="n">
        <v>43.78</v>
      </c>
      <c r="N334" s="11" t="n">
        <v>26.46</v>
      </c>
      <c r="O334" s="11" t="n">
        <v>5.78</v>
      </c>
      <c r="P334" s="10" t="n">
        <f aca="false">ROUND(E334*J334/100,0)</f>
        <v>3293</v>
      </c>
      <c r="Q334" s="10" t="n">
        <f aca="false">ROUND(P334*I334/(100-I334),0)</f>
        <v>545</v>
      </c>
      <c r="R334" s="10" t="n">
        <f aca="false">ROUND(P334*(100-L334)/100,0)</f>
        <v>2632</v>
      </c>
      <c r="S334" s="10" t="n">
        <f aca="false">ROUND(P334*M334/100,0)</f>
        <v>1442</v>
      </c>
      <c r="T334" s="11" t="n">
        <v>68.16</v>
      </c>
      <c r="U334" s="11" t="n">
        <v>69</v>
      </c>
      <c r="V334" s="3" t="n">
        <f aca="false">RANK(F334,$F$2:$F$350,0)</f>
        <v>310</v>
      </c>
      <c r="W334" s="12" t="n">
        <v>158.7</v>
      </c>
      <c r="X334" s="10" t="n">
        <v>86</v>
      </c>
      <c r="Y334" s="3" t="s">
        <v>119</v>
      </c>
      <c r="Z334" s="3" t="s">
        <v>477</v>
      </c>
      <c r="AA334" s="13" t="s">
        <v>63</v>
      </c>
      <c r="AB334" s="11" t="n">
        <v>12.56</v>
      </c>
    </row>
    <row r="335" customFormat="false" ht="16.4" hidden="false" customHeight="false" outlineLevel="0" collapsed="false">
      <c r="A335" s="3" t="n">
        <v>334</v>
      </c>
      <c r="B335" s="3" t="n">
        <v>21</v>
      </c>
      <c r="C335" s="3" t="s">
        <v>478</v>
      </c>
      <c r="D335" s="10" t="n">
        <v>12924</v>
      </c>
      <c r="E335" s="10" t="n">
        <f aca="false">ROUND(D335*INDEX(مناطق!$AF$2:$AF$23,B335),0)</f>
        <v>11247</v>
      </c>
      <c r="F335" s="11" t="n">
        <f aca="false">ROUND(100*(راهنما!$B$4*(H335-MIN($H$2:$H$350))/(MAX($H$2:$H$350)-MIN($H$2:$H$350))+راهنما!$B$5*(N335-MIN($N$2:$N$350))/(MAX($N$2:$N$350)-MIN($N$2:$N$350))+راهنما!$B$6*(J335-MIN($J$2:$J$350))/(MAX($J$2:$J$350)-MIN($J$2:$J$350))+راهنما!$B$7*(MAX($I$2:$I$350)-I335)/(MAX($I$2:$I$350)-MIN($I$2:$I$350)))/راهنما!$B$8,1)</f>
        <v>31.9</v>
      </c>
      <c r="G335" s="3" t="str">
        <f aca="false">IF(V335&lt;=ROUND(349*0.2,0),"بسیار بالا",IF(V335&lt;=ROUND(349*0.4,0),"بالا",IF(V335&lt;=ROUND(349*0.6,0),"متوسط",IF(V335&lt;=ROUND(349*0.8,0),"پایین","بسیار پایین"))))</f>
        <v>بسیار پایین</v>
      </c>
      <c r="H335" s="11" t="n">
        <f aca="false">(100-I335)*(100-L335)/100</f>
        <v>67.498146</v>
      </c>
      <c r="I335" s="11" t="n">
        <v>14.19</v>
      </c>
      <c r="J335" s="11" t="n">
        <v>32.41</v>
      </c>
      <c r="K335" s="11" t="n">
        <f aca="false">J335/(1-I335/100)</f>
        <v>37.7694907353455</v>
      </c>
      <c r="L335" s="11" t="n">
        <v>21.34</v>
      </c>
      <c r="M335" s="11" t="n">
        <v>43.78</v>
      </c>
      <c r="N335" s="11" t="n">
        <v>21.54</v>
      </c>
      <c r="O335" s="11" t="n">
        <v>6.33</v>
      </c>
      <c r="P335" s="10" t="n">
        <f aca="false">ROUND(E335*J335/100,0)</f>
        <v>3645</v>
      </c>
      <c r="Q335" s="10" t="n">
        <f aca="false">ROUND(P335*I335/(100-I335),0)</f>
        <v>603</v>
      </c>
      <c r="R335" s="10" t="n">
        <f aca="false">ROUND(P335*(100-L335)/100,0)</f>
        <v>2867</v>
      </c>
      <c r="S335" s="10" t="n">
        <f aca="false">ROUND(P335*M335/100,0)</f>
        <v>1596</v>
      </c>
      <c r="T335" s="11" t="n">
        <v>66.59</v>
      </c>
      <c r="U335" s="11" t="n">
        <v>68.39</v>
      </c>
      <c r="V335" s="3" t="n">
        <f aca="false">RANK(F335,$F$2:$F$350,0)</f>
        <v>328</v>
      </c>
      <c r="W335" s="12" t="n">
        <v>144.3</v>
      </c>
      <c r="X335" s="10" t="n">
        <v>86</v>
      </c>
      <c r="Y335" s="3" t="s">
        <v>58</v>
      </c>
      <c r="Z335" s="3" t="s">
        <v>478</v>
      </c>
      <c r="AA335" s="13" t="s">
        <v>59</v>
      </c>
      <c r="AB335" s="11" t="n">
        <v>10.01</v>
      </c>
    </row>
    <row r="336" customFormat="false" ht="16.4" hidden="false" customHeight="false" outlineLevel="0" collapsed="false">
      <c r="A336" s="3" t="n">
        <v>335</v>
      </c>
      <c r="B336" s="3" t="n">
        <v>21</v>
      </c>
      <c r="C336" s="3" t="s">
        <v>479</v>
      </c>
      <c r="D336" s="10" t="n">
        <v>1556</v>
      </c>
      <c r="E336" s="10" t="n">
        <f aca="false">ROUND(D336*INDEX(مناطق!$AF$2:$AF$23,B336),0)</f>
        <v>1354</v>
      </c>
      <c r="F336" s="11" t="n">
        <f aca="false">ROUND(100*(راهنما!$B$4*(H336-MIN($H$2:$H$350))/(MAX($H$2:$H$350)-MIN($H$2:$H$350))+راهنما!$B$5*(N336-MIN($N$2:$N$350))/(MAX($N$2:$N$350)-MIN($N$2:$N$350))+راهنما!$B$6*(J336-MIN($J$2:$J$350))/(MAX($J$2:$J$350)-MIN($J$2:$J$350))+راهنما!$B$7*(MAX($I$2:$I$350)-I336)/(MAX($I$2:$I$350)-MIN($I$2:$I$350)))/راهنما!$B$8,1)</f>
        <v>31</v>
      </c>
      <c r="G336" s="3" t="str">
        <f aca="false">IF(V336&lt;=ROUND(349*0.2,0),"بسیار بالا",IF(V336&lt;=ROUND(349*0.4,0),"بالا",IF(V336&lt;=ROUND(349*0.6,0),"متوسط",IF(V336&lt;=ROUND(349*0.8,0),"پایین","بسیار پایین"))))</f>
        <v>بسیار پایین</v>
      </c>
      <c r="H336" s="11" t="n">
        <f aca="false">(100-I336)*(100-L336)/100</f>
        <v>67.232135</v>
      </c>
      <c r="I336" s="11" t="n">
        <v>14.19</v>
      </c>
      <c r="J336" s="11" t="n">
        <v>32.46</v>
      </c>
      <c r="K336" s="11" t="n">
        <f aca="false">J336/(1-I336/100)</f>
        <v>37.8277590024473</v>
      </c>
      <c r="L336" s="11" t="n">
        <v>21.65</v>
      </c>
      <c r="M336" s="11" t="n">
        <v>43.78</v>
      </c>
      <c r="N336" s="11" t="n">
        <v>20.44</v>
      </c>
      <c r="O336" s="11" t="n">
        <v>6.47</v>
      </c>
      <c r="P336" s="10" t="n">
        <f aca="false">ROUND(E336*J336/100,0)</f>
        <v>440</v>
      </c>
      <c r="Q336" s="10" t="n">
        <f aca="false">ROUND(P336*I336/(100-I336),0)</f>
        <v>73</v>
      </c>
      <c r="R336" s="10" t="n">
        <f aca="false">ROUND(P336*(100-L336)/100,0)</f>
        <v>345</v>
      </c>
      <c r="S336" s="10" t="n">
        <f aca="false">ROUND(P336*M336/100,0)</f>
        <v>193</v>
      </c>
      <c r="T336" s="11" t="n">
        <v>66.19</v>
      </c>
      <c r="U336" s="11" t="n">
        <v>68.24</v>
      </c>
      <c r="V336" s="3" t="n">
        <f aca="false">RANK(F336,$F$2:$F$350,0)</f>
        <v>335</v>
      </c>
      <c r="W336" s="12" t="n">
        <v>121.4</v>
      </c>
      <c r="X336" s="10" t="n">
        <v>59</v>
      </c>
      <c r="Y336" s="3" t="s">
        <v>58</v>
      </c>
      <c r="Z336" s="3" t="s">
        <v>479</v>
      </c>
      <c r="AA336" s="13" t="s">
        <v>59</v>
      </c>
      <c r="AB336" s="11" t="n">
        <v>9.46</v>
      </c>
    </row>
    <row r="337" customFormat="false" ht="16.4" hidden="false" customHeight="false" outlineLevel="0" collapsed="false">
      <c r="A337" s="3" t="n">
        <v>336</v>
      </c>
      <c r="B337" s="3" t="n">
        <v>21</v>
      </c>
      <c r="C337" s="3" t="s">
        <v>480</v>
      </c>
      <c r="D337" s="10" t="n">
        <v>1309</v>
      </c>
      <c r="E337" s="10" t="n">
        <f aca="false">ROUND(D337*INDEX(مناطق!$AF$2:$AF$23,B337),0)</f>
        <v>1139</v>
      </c>
      <c r="F337" s="11" t="n">
        <f aca="false">ROUND(100*(راهنما!$B$4*(H337-MIN($H$2:$H$350))/(MAX($H$2:$H$350)-MIN($H$2:$H$350))+راهنما!$B$5*(N337-MIN($N$2:$N$350))/(MAX($N$2:$N$350)-MIN($N$2:$N$350))+راهنما!$B$6*(J337-MIN($J$2:$J$350))/(MAX($J$2:$J$350)-MIN($J$2:$J$350))+راهنما!$B$7*(MAX($I$2:$I$350)-I337)/(MAX($I$2:$I$350)-MIN($I$2:$I$350)))/راهنما!$B$8,1)</f>
        <v>30.7</v>
      </c>
      <c r="G337" s="3" t="str">
        <f aca="false">IF(V337&lt;=ROUND(349*0.2,0),"بسیار بالا",IF(V337&lt;=ROUND(349*0.4,0),"بالا",IF(V337&lt;=ROUND(349*0.6,0),"متوسط",IF(V337&lt;=ROUND(349*0.8,0),"پایین","بسیار پایین"))))</f>
        <v>بسیار پایین</v>
      </c>
      <c r="H337" s="11" t="n">
        <f aca="false">(100-I337)*(100-L337)/100</f>
        <v>67.137744</v>
      </c>
      <c r="I337" s="11" t="n">
        <v>14.19</v>
      </c>
      <c r="J337" s="11" t="n">
        <v>32.48</v>
      </c>
      <c r="K337" s="11" t="n">
        <f aca="false">J337/(1-I337/100)</f>
        <v>37.851066309288</v>
      </c>
      <c r="L337" s="11" t="n">
        <v>21.76</v>
      </c>
      <c r="M337" s="11" t="n">
        <v>43.78</v>
      </c>
      <c r="N337" s="11" t="n">
        <v>20.1</v>
      </c>
      <c r="O337" s="11" t="n">
        <v>6.51</v>
      </c>
      <c r="P337" s="10" t="n">
        <f aca="false">ROUND(E337*J337/100,0)</f>
        <v>370</v>
      </c>
      <c r="Q337" s="10" t="n">
        <f aca="false">ROUND(P337*I337/(100-I337),0)</f>
        <v>61</v>
      </c>
      <c r="R337" s="10" t="n">
        <f aca="false">ROUND(P337*(100-L337)/100,0)</f>
        <v>289</v>
      </c>
      <c r="S337" s="10" t="n">
        <f aca="false">ROUND(P337*M337/100,0)</f>
        <v>162</v>
      </c>
      <c r="T337" s="11" t="n">
        <v>66.06</v>
      </c>
      <c r="U337" s="11" t="n">
        <v>68.19</v>
      </c>
      <c r="V337" s="3" t="n">
        <f aca="false">RANK(F337,$F$2:$F$350,0)</f>
        <v>338</v>
      </c>
      <c r="W337" s="12" t="n">
        <v>104</v>
      </c>
      <c r="X337" s="10" t="n">
        <v>2</v>
      </c>
      <c r="Y337" s="3" t="s">
        <v>58</v>
      </c>
      <c r="Z337" s="3" t="s">
        <v>480</v>
      </c>
      <c r="AA337" s="13" t="s">
        <v>125</v>
      </c>
      <c r="AB337" s="11" t="n">
        <v>9.29</v>
      </c>
    </row>
    <row r="338" customFormat="false" ht="16.4" hidden="false" customHeight="false" outlineLevel="0" collapsed="false">
      <c r="A338" s="3" t="n">
        <v>337</v>
      </c>
      <c r="B338" s="3" t="n">
        <v>21</v>
      </c>
      <c r="C338" s="3" t="s">
        <v>481</v>
      </c>
      <c r="D338" s="10" t="n">
        <v>6885</v>
      </c>
      <c r="E338" s="10" t="n">
        <f aca="false">ROUND(D338*INDEX(مناطق!$AF$2:$AF$23,B338),0)</f>
        <v>5992</v>
      </c>
      <c r="F338" s="11" t="n">
        <f aca="false">ROUND(100*(راهنما!$B$4*(H338-MIN($H$2:$H$350))/(MAX($H$2:$H$350)-MIN($H$2:$H$350))+راهنما!$B$5*(N338-MIN($N$2:$N$350))/(MAX($N$2:$N$350)-MIN($N$2:$N$350))+راهنما!$B$6*(J338-MIN($J$2:$J$350))/(MAX($J$2:$J$350)-MIN($J$2:$J$350))+راهنما!$B$7*(MAX($I$2:$I$350)-I338)/(MAX($I$2:$I$350)-MIN($I$2:$I$350)))/راهنما!$B$8,1)</f>
        <v>29.3</v>
      </c>
      <c r="G338" s="3" t="str">
        <f aca="false">IF(V338&lt;=ROUND(349*0.2,0),"بسیار بالا",IF(V338&lt;=ROUND(349*0.4,0),"بالا",IF(V338&lt;=ROUND(349*0.6,0),"متوسط",IF(V338&lt;=ROUND(349*0.8,0),"پایین","بسیار پایین"))))</f>
        <v>بسیار پایین</v>
      </c>
      <c r="H338" s="11" t="n">
        <f aca="false">(100-I338)*(100-L338)/100</f>
        <v>66.708694</v>
      </c>
      <c r="I338" s="11" t="n">
        <v>14.19</v>
      </c>
      <c r="J338" s="11" t="n">
        <v>32.57</v>
      </c>
      <c r="K338" s="11" t="n">
        <f aca="false">J338/(1-I338/100)</f>
        <v>37.9559491900711</v>
      </c>
      <c r="L338" s="11" t="n">
        <v>22.26</v>
      </c>
      <c r="M338" s="11" t="n">
        <v>43.78</v>
      </c>
      <c r="N338" s="11" t="n">
        <v>18.47</v>
      </c>
      <c r="O338" s="11" t="n">
        <v>6.74</v>
      </c>
      <c r="P338" s="10" t="n">
        <f aca="false">ROUND(E338*J338/100,0)</f>
        <v>1952</v>
      </c>
      <c r="Q338" s="10" t="n">
        <f aca="false">ROUND(P338*I338/(100-I338),0)</f>
        <v>323</v>
      </c>
      <c r="R338" s="10" t="n">
        <f aca="false">ROUND(P338*(100-L338)/100,0)</f>
        <v>1517</v>
      </c>
      <c r="S338" s="10" t="n">
        <f aca="false">ROUND(P338*M338/100,0)</f>
        <v>855</v>
      </c>
      <c r="T338" s="11" t="n">
        <v>65.41</v>
      </c>
      <c r="U338" s="11" t="n">
        <v>67.95</v>
      </c>
      <c r="V338" s="3" t="n">
        <f aca="false">RANK(F338,$F$2:$F$350,0)</f>
        <v>340</v>
      </c>
      <c r="W338" s="12" t="n">
        <v>110</v>
      </c>
      <c r="X338" s="10" t="n">
        <v>41</v>
      </c>
      <c r="Y338" s="3" t="s">
        <v>58</v>
      </c>
      <c r="Z338" s="3" t="s">
        <v>481</v>
      </c>
      <c r="AA338" s="13" t="s">
        <v>59</v>
      </c>
      <c r="AB338" s="11" t="n">
        <v>8.49</v>
      </c>
    </row>
    <row r="339" customFormat="false" ht="16.4" hidden="false" customHeight="false" outlineLevel="0" collapsed="false">
      <c r="A339" s="3" t="n">
        <v>338</v>
      </c>
      <c r="B339" s="3" t="n">
        <v>22</v>
      </c>
      <c r="C339" s="3" t="s">
        <v>482</v>
      </c>
      <c r="D339" s="10" t="n">
        <v>12676</v>
      </c>
      <c r="E339" s="10" t="n">
        <f aca="false">ROUND(D339*INDEX(مناطق!$AF$2:$AF$23,B339),0)</f>
        <v>11169</v>
      </c>
      <c r="F339" s="11" t="n">
        <f aca="false">ROUND(100*(راهنما!$B$4*(H339-MIN($H$2:$H$350))/(MAX($H$2:$H$350)-MIN($H$2:$H$350))+راهنما!$B$5*(N339-MIN($N$2:$N$350))/(MAX($N$2:$N$350)-MIN($N$2:$N$350))+راهنما!$B$6*(J339-MIN($J$2:$J$350))/(MAX($J$2:$J$350)-MIN($J$2:$J$350))+راهنما!$B$7*(MAX($I$2:$I$350)-I339)/(MAX($I$2:$I$350)-MIN($I$2:$I$350)))/راهنما!$B$8,1)</f>
        <v>38.6</v>
      </c>
      <c r="G339" s="3" t="str">
        <f aca="false">IF(V339&lt;=ROUND(349*0.2,0),"بسیار بالا",IF(V339&lt;=ROUND(349*0.4,0),"بالا",IF(V339&lt;=ROUND(349*0.6,0),"متوسط",IF(V339&lt;=ROUND(349*0.8,0),"پایین","بسیار پایین"))))</f>
        <v>پایین</v>
      </c>
      <c r="H339" s="11" t="n">
        <f aca="false">(100-I339)*(100-L339)/100</f>
        <v>68.52736</v>
      </c>
      <c r="I339" s="11" t="n">
        <v>13.65</v>
      </c>
      <c r="J339" s="11" t="n">
        <v>31.69</v>
      </c>
      <c r="K339" s="11" t="n">
        <f aca="false">J339/(1-I339/100)</f>
        <v>36.699478865084</v>
      </c>
      <c r="L339" s="11" t="n">
        <v>20.64</v>
      </c>
      <c r="M339" s="11" t="n">
        <v>41.16</v>
      </c>
      <c r="N339" s="11" t="n">
        <v>36.56</v>
      </c>
      <c r="O339" s="11" t="n">
        <v>6.25</v>
      </c>
      <c r="P339" s="10" t="n">
        <f aca="false">ROUND(E339*J339/100,0)</f>
        <v>3539</v>
      </c>
      <c r="Q339" s="10" t="n">
        <f aca="false">ROUND(P339*I339/(100-I339),0)</f>
        <v>559</v>
      </c>
      <c r="R339" s="10" t="n">
        <f aca="false">ROUND(P339*(100-L339)/100,0)</f>
        <v>2809</v>
      </c>
      <c r="S339" s="10" t="n">
        <f aca="false">ROUND(P339*M339/100,0)</f>
        <v>1457</v>
      </c>
      <c r="T339" s="11" t="n">
        <v>68.21</v>
      </c>
      <c r="U339" s="11" t="n">
        <v>68.84</v>
      </c>
      <c r="V339" s="3" t="n">
        <f aca="false">RANK(F339,$F$2:$F$350,0)</f>
        <v>279</v>
      </c>
      <c r="W339" s="12" t="n">
        <v>249.1</v>
      </c>
      <c r="X339" s="10" t="n">
        <v>62</v>
      </c>
      <c r="Y339" s="3" t="s">
        <v>58</v>
      </c>
      <c r="Z339" s="3" t="s">
        <v>483</v>
      </c>
      <c r="AA339" s="13" t="s">
        <v>59</v>
      </c>
      <c r="AB339" s="11" t="n">
        <v>21.9</v>
      </c>
    </row>
    <row r="340" customFormat="false" ht="16.4" hidden="false" customHeight="false" outlineLevel="0" collapsed="false">
      <c r="A340" s="3" t="n">
        <v>339</v>
      </c>
      <c r="B340" s="3" t="n">
        <v>22</v>
      </c>
      <c r="C340" s="3" t="s">
        <v>484</v>
      </c>
      <c r="D340" s="10" t="n">
        <v>5475</v>
      </c>
      <c r="E340" s="10" t="n">
        <f aca="false">ROUND(D340*INDEX(مناطق!$AF$2:$AF$23,B340),0)</f>
        <v>4824</v>
      </c>
      <c r="F340" s="11" t="n">
        <f aca="false">ROUND(100*(راهنما!$B$4*(H340-MIN($H$2:$H$350))/(MAX($H$2:$H$350)-MIN($H$2:$H$350))+راهنما!$B$5*(N340-MIN($N$2:$N$350))/(MAX($N$2:$N$350)-MIN($N$2:$N$350))+راهنما!$B$6*(J340-MIN($J$2:$J$350))/(MAX($J$2:$J$350)-MIN($J$2:$J$350))+راهنما!$B$7*(MAX($I$2:$I$350)-I340)/(MAX($I$2:$I$350)-MIN($I$2:$I$350)))/راهنما!$B$8,1)</f>
        <v>37.8</v>
      </c>
      <c r="G340" s="3" t="str">
        <f aca="false">IF(V340&lt;=ROUND(349*0.2,0),"بسیار بالا",IF(V340&lt;=ROUND(349*0.4,0),"بالا",IF(V340&lt;=ROUND(349*0.6,0),"متوسط",IF(V340&lt;=ROUND(349*0.8,0),"پایین","بسیار پایین"))))</f>
        <v>بسیار پایین</v>
      </c>
      <c r="H340" s="11" t="n">
        <f aca="false">(100-I340)*(100-L340)/100</f>
        <v>68.328755</v>
      </c>
      <c r="I340" s="11" t="n">
        <v>13.65</v>
      </c>
      <c r="J340" s="11" t="n">
        <v>31.73</v>
      </c>
      <c r="K340" s="11" t="n">
        <f aca="false">J340/(1-I340/100)</f>
        <v>36.7458019687319</v>
      </c>
      <c r="L340" s="11" t="n">
        <v>20.87</v>
      </c>
      <c r="M340" s="11" t="n">
        <v>41.16</v>
      </c>
      <c r="N340" s="11" t="n">
        <v>35.43</v>
      </c>
      <c r="O340" s="11" t="n">
        <v>6.35</v>
      </c>
      <c r="P340" s="10" t="n">
        <f aca="false">ROUND(E340*J340/100,0)</f>
        <v>1531</v>
      </c>
      <c r="Q340" s="10" t="n">
        <f aca="false">ROUND(P340*I340/(100-I340),0)</f>
        <v>242</v>
      </c>
      <c r="R340" s="10" t="n">
        <f aca="false">ROUND(P340*(100-L340)/100,0)</f>
        <v>1211</v>
      </c>
      <c r="S340" s="10" t="n">
        <f aca="false">ROUND(P340*M340/100,0)</f>
        <v>630</v>
      </c>
      <c r="T340" s="11" t="n">
        <v>68.09</v>
      </c>
      <c r="U340" s="11" t="n">
        <v>68.56</v>
      </c>
      <c r="V340" s="3" t="n">
        <f aca="false">RANK(F340,$F$2:$F$350,0)</f>
        <v>288</v>
      </c>
      <c r="W340" s="12" t="n">
        <v>239.6</v>
      </c>
      <c r="X340" s="10" t="n">
        <v>72</v>
      </c>
      <c r="Y340" s="3" t="s">
        <v>58</v>
      </c>
      <c r="Z340" s="3" t="s">
        <v>484</v>
      </c>
      <c r="AA340" s="13" t="s">
        <v>59</v>
      </c>
      <c r="AB340" s="11" t="n">
        <v>21.12</v>
      </c>
    </row>
    <row r="341" customFormat="false" ht="16.4" hidden="false" customHeight="false" outlineLevel="0" collapsed="false">
      <c r="A341" s="3" t="n">
        <v>340</v>
      </c>
      <c r="B341" s="3" t="n">
        <v>22</v>
      </c>
      <c r="C341" s="3" t="s">
        <v>485</v>
      </c>
      <c r="D341" s="10" t="n">
        <v>12360</v>
      </c>
      <c r="E341" s="10" t="n">
        <f aca="false">ROUND(D341*INDEX(مناطق!$AF$2:$AF$23,B341),0)</f>
        <v>10890</v>
      </c>
      <c r="F341" s="11" t="n">
        <f aca="false">ROUND(100*(راهنما!$B$4*(H341-MIN($H$2:$H$350))/(MAX($H$2:$H$350)-MIN($H$2:$H$350))+راهنما!$B$5*(N341-MIN($N$2:$N$350))/(MAX($N$2:$N$350)-MIN($N$2:$N$350))+راهنما!$B$6*(J341-MIN($J$2:$J$350))/(MAX($J$2:$J$350)-MIN($J$2:$J$350))+راهنما!$B$7*(MAX($I$2:$I$350)-I341)/(MAX($I$2:$I$350)-MIN($I$2:$I$350)))/راهنما!$B$8,1)</f>
        <v>37.2</v>
      </c>
      <c r="G341" s="3" t="str">
        <f aca="false">IF(V341&lt;=ROUND(349*0.2,0),"بسیار بالا",IF(V341&lt;=ROUND(349*0.4,0),"بالا",IF(V341&lt;=ROUND(349*0.6,0),"متوسط",IF(V341&lt;=ROUND(349*0.8,0),"پایین","بسیار پایین"))))</f>
        <v>بسیار پایین</v>
      </c>
      <c r="H341" s="11" t="n">
        <f aca="false">(100-I341)*(100-L341)/100</f>
        <v>68.173325</v>
      </c>
      <c r="I341" s="11" t="n">
        <v>13.65</v>
      </c>
      <c r="J341" s="11" t="n">
        <v>31.76</v>
      </c>
      <c r="K341" s="11" t="n">
        <f aca="false">J341/(1-I341/100)</f>
        <v>36.7805442964679</v>
      </c>
      <c r="L341" s="11" t="n">
        <v>21.05</v>
      </c>
      <c r="M341" s="11" t="n">
        <v>41.16</v>
      </c>
      <c r="N341" s="11" t="n">
        <v>34.57</v>
      </c>
      <c r="O341" s="11" t="n">
        <v>6.43</v>
      </c>
      <c r="P341" s="10" t="n">
        <f aca="false">ROUND(E341*J341/100,0)</f>
        <v>3459</v>
      </c>
      <c r="Q341" s="10" t="n">
        <f aca="false">ROUND(P341*I341/(100-I341),0)</f>
        <v>547</v>
      </c>
      <c r="R341" s="10" t="n">
        <f aca="false">ROUND(P341*(100-L341)/100,0)</f>
        <v>2731</v>
      </c>
      <c r="S341" s="10" t="n">
        <f aca="false">ROUND(P341*M341/100,0)</f>
        <v>1424</v>
      </c>
      <c r="T341" s="11" t="n">
        <v>68</v>
      </c>
      <c r="U341" s="11" t="n">
        <v>68.35</v>
      </c>
      <c r="V341" s="3" t="n">
        <f aca="false">RANK(F341,$F$2:$F$350,0)</f>
        <v>295</v>
      </c>
      <c r="W341" s="12" t="n">
        <v>229.3</v>
      </c>
      <c r="X341" s="10" t="n">
        <v>86</v>
      </c>
      <c r="Y341" s="3" t="s">
        <v>58</v>
      </c>
      <c r="Z341" s="3" t="s">
        <v>485</v>
      </c>
      <c r="AA341" s="13" t="s">
        <v>59</v>
      </c>
      <c r="AB341" s="11" t="n">
        <v>20.53</v>
      </c>
    </row>
    <row r="342" customFormat="false" ht="16.4" hidden="false" customHeight="false" outlineLevel="0" collapsed="false">
      <c r="A342" s="3" t="n">
        <v>341</v>
      </c>
      <c r="B342" s="3" t="n">
        <v>22</v>
      </c>
      <c r="C342" s="3" t="s">
        <v>486</v>
      </c>
      <c r="D342" s="10" t="n">
        <v>17397</v>
      </c>
      <c r="E342" s="10" t="n">
        <f aca="false">ROUND(D342*INDEX(مناطق!$AF$2:$AF$23,B342),0)</f>
        <v>15328</v>
      </c>
      <c r="F342" s="11" t="n">
        <f aca="false">ROUND(100*(راهنما!$B$4*(H342-MIN($H$2:$H$350))/(MAX($H$2:$H$350)-MIN($H$2:$H$350))+راهنما!$B$5*(N342-MIN($N$2:$N$350))/(MAX($N$2:$N$350)-MIN($N$2:$N$350))+راهنما!$B$6*(J342-MIN($J$2:$J$350))/(MAX($J$2:$J$350)-MIN($J$2:$J$350))+راهنما!$B$7*(MAX($I$2:$I$350)-I342)/(MAX($I$2:$I$350)-MIN($I$2:$I$350)))/راهنما!$B$8,1)</f>
        <v>37.1</v>
      </c>
      <c r="G342" s="3" t="str">
        <f aca="false">IF(V342&lt;=ROUND(349*0.2,0),"بسیار بالا",IF(V342&lt;=ROUND(349*0.4,0),"بالا",IF(V342&lt;=ROUND(349*0.6,0),"متوسط",IF(V342&lt;=ROUND(349*0.8,0),"پایین","بسیار پایین"))))</f>
        <v>بسیار پایین</v>
      </c>
      <c r="H342" s="11" t="n">
        <f aca="false">(100-I342)*(100-L342)/100</f>
        <v>68.156055</v>
      </c>
      <c r="I342" s="11" t="n">
        <v>13.65</v>
      </c>
      <c r="J342" s="11" t="n">
        <v>31.76</v>
      </c>
      <c r="K342" s="11" t="n">
        <f aca="false">J342/(1-I342/100)</f>
        <v>36.7805442964679</v>
      </c>
      <c r="L342" s="11" t="n">
        <v>21.07</v>
      </c>
      <c r="M342" s="11" t="n">
        <v>41.16</v>
      </c>
      <c r="N342" s="11" t="n">
        <v>34.46</v>
      </c>
      <c r="O342" s="11" t="n">
        <v>6.44</v>
      </c>
      <c r="P342" s="10" t="n">
        <f aca="false">ROUND(E342*J342/100,0)</f>
        <v>4868</v>
      </c>
      <c r="Q342" s="10" t="n">
        <f aca="false">ROUND(P342*I342/(100-I342),0)</f>
        <v>770</v>
      </c>
      <c r="R342" s="10" t="n">
        <f aca="false">ROUND(P342*(100-L342)/100,0)</f>
        <v>3842</v>
      </c>
      <c r="S342" s="10" t="n">
        <f aca="false">ROUND(P342*M342/100,0)</f>
        <v>2004</v>
      </c>
      <c r="T342" s="11" t="n">
        <v>67.99</v>
      </c>
      <c r="U342" s="11" t="n">
        <v>68.32</v>
      </c>
      <c r="V342" s="3" t="n">
        <f aca="false">RANK(F342,$F$2:$F$350,0)</f>
        <v>296</v>
      </c>
      <c r="W342" s="12" t="n">
        <v>218.8</v>
      </c>
      <c r="X342" s="10" t="n">
        <v>85</v>
      </c>
      <c r="Y342" s="3" t="s">
        <v>58</v>
      </c>
      <c r="Z342" s="3" t="s">
        <v>486</v>
      </c>
      <c r="AA342" s="13" t="s">
        <v>59</v>
      </c>
      <c r="AB342" s="11" t="n">
        <v>20.46</v>
      </c>
    </row>
    <row r="343" customFormat="false" ht="16.4" hidden="false" customHeight="false" outlineLevel="0" collapsed="false">
      <c r="A343" s="3" t="n">
        <v>342</v>
      </c>
      <c r="B343" s="3" t="n">
        <v>22</v>
      </c>
      <c r="C343" s="3" t="s">
        <v>487</v>
      </c>
      <c r="D343" s="10" t="n">
        <v>6706</v>
      </c>
      <c r="E343" s="10" t="n">
        <f aca="false">ROUND(D343*INDEX(مناطق!$AF$2:$AF$23,B343),0)</f>
        <v>5909</v>
      </c>
      <c r="F343" s="11" t="n">
        <f aca="false">ROUND(100*(راهنما!$B$4*(H343-MIN($H$2:$H$350))/(MAX($H$2:$H$350)-MIN($H$2:$H$350))+راهنما!$B$5*(N343-MIN($N$2:$N$350))/(MAX($N$2:$N$350)-MIN($N$2:$N$350))+راهنما!$B$6*(J343-MIN($J$2:$J$350))/(MAX($J$2:$J$350)-MIN($J$2:$J$350))+راهنما!$B$7*(MAX($I$2:$I$350)-I343)/(MAX($I$2:$I$350)-MIN($I$2:$I$350)))/راهنما!$B$8,1)</f>
        <v>36.4</v>
      </c>
      <c r="G343" s="3" t="str">
        <f aca="false">IF(V343&lt;=ROUND(349*0.2,0),"بسیار بالا",IF(V343&lt;=ROUND(349*0.4,0),"بالا",IF(V343&lt;=ROUND(349*0.6,0),"متوسط",IF(V343&lt;=ROUND(349*0.8,0),"پایین","بسیار پایین"))))</f>
        <v>بسیار پایین</v>
      </c>
      <c r="H343" s="11" t="n">
        <f aca="false">(100-I343)*(100-L343)/100</f>
        <v>67.97472</v>
      </c>
      <c r="I343" s="11" t="n">
        <v>13.65</v>
      </c>
      <c r="J343" s="11" t="n">
        <v>31.8</v>
      </c>
      <c r="K343" s="11" t="n">
        <f aca="false">J343/(1-I343/100)</f>
        <v>36.8268674001158</v>
      </c>
      <c r="L343" s="11" t="n">
        <v>21.28</v>
      </c>
      <c r="M343" s="11" t="n">
        <v>41.16</v>
      </c>
      <c r="N343" s="11" t="n">
        <v>33.46</v>
      </c>
      <c r="O343" s="11" t="n">
        <v>6.54</v>
      </c>
      <c r="P343" s="10" t="n">
        <f aca="false">ROUND(E343*J343/100,0)</f>
        <v>1879</v>
      </c>
      <c r="Q343" s="10" t="n">
        <f aca="false">ROUND(P343*I343/(100-I343),0)</f>
        <v>297</v>
      </c>
      <c r="R343" s="10" t="n">
        <f aca="false">ROUND(P343*(100-L343)/100,0)</f>
        <v>1479</v>
      </c>
      <c r="S343" s="10" t="n">
        <f aca="false">ROUND(P343*M343/100,0)</f>
        <v>773</v>
      </c>
      <c r="T343" s="11" t="n">
        <v>67.88</v>
      </c>
      <c r="U343" s="11" t="n">
        <v>68.06</v>
      </c>
      <c r="V343" s="3" t="n">
        <f aca="false">RANK(F343,$F$2:$F$350,0)</f>
        <v>303</v>
      </c>
      <c r="W343" s="12" t="n">
        <v>207.6</v>
      </c>
      <c r="X343" s="10" t="n">
        <v>48</v>
      </c>
      <c r="Y343" s="3" t="s">
        <v>58</v>
      </c>
      <c r="Z343" s="3" t="s">
        <v>487</v>
      </c>
      <c r="AA343" s="13" t="s">
        <v>59</v>
      </c>
      <c r="AB343" s="11" t="n">
        <v>19.78</v>
      </c>
    </row>
    <row r="344" customFormat="false" ht="16.4" hidden="false" customHeight="false" outlineLevel="0" collapsed="false">
      <c r="A344" s="3" t="n">
        <v>343</v>
      </c>
      <c r="B344" s="3" t="n">
        <v>22</v>
      </c>
      <c r="C344" s="3" t="s">
        <v>488</v>
      </c>
      <c r="D344" s="10" t="n">
        <v>20338</v>
      </c>
      <c r="E344" s="10" t="n">
        <f aca="false">ROUND(D344*INDEX(مناطق!$AF$2:$AF$23,B344),0)</f>
        <v>17920</v>
      </c>
      <c r="F344" s="11" t="n">
        <f aca="false">ROUND(100*(راهنما!$B$4*(H344-MIN($H$2:$H$350))/(MAX($H$2:$H$350)-MIN($H$2:$H$350))+راهنما!$B$5*(N344-MIN($N$2:$N$350))/(MAX($N$2:$N$350)-MIN($N$2:$N$350))+راهنما!$B$6*(J344-MIN($J$2:$J$350))/(MAX($J$2:$J$350)-MIN($J$2:$J$350))+راهنما!$B$7*(MAX($I$2:$I$350)-I344)/(MAX($I$2:$I$350)-MIN($I$2:$I$350)))/راهنما!$B$8,1)</f>
        <v>35.9</v>
      </c>
      <c r="G344" s="3" t="str">
        <f aca="false">IF(V344&lt;=ROUND(349*0.2,0),"بسیار بالا",IF(V344&lt;=ROUND(349*0.4,0),"بالا",IF(V344&lt;=ROUND(349*0.6,0),"متوسط",IF(V344&lt;=ROUND(349*0.8,0),"پایین","بسیار پایین"))))</f>
        <v>بسیار پایین</v>
      </c>
      <c r="H344" s="11" t="n">
        <f aca="false">(100-I344)*(100-L344)/100</f>
        <v>67.862465</v>
      </c>
      <c r="I344" s="11" t="n">
        <v>13.65</v>
      </c>
      <c r="J344" s="11" t="n">
        <v>31.82</v>
      </c>
      <c r="K344" s="11" t="n">
        <f aca="false">J344/(1-I344/100)</f>
        <v>36.8500289519398</v>
      </c>
      <c r="L344" s="11" t="n">
        <v>21.41</v>
      </c>
      <c r="M344" s="11" t="n">
        <v>41.16</v>
      </c>
      <c r="N344" s="11" t="n">
        <v>32.83</v>
      </c>
      <c r="O344" s="11" t="n">
        <v>6.6</v>
      </c>
      <c r="P344" s="10" t="n">
        <f aca="false">ROUND(E344*J344/100,0)</f>
        <v>5702</v>
      </c>
      <c r="Q344" s="10" t="n">
        <f aca="false">ROUND(P344*I344/(100-I344),0)</f>
        <v>901</v>
      </c>
      <c r="R344" s="10" t="n">
        <f aca="false">ROUND(P344*(100-L344)/100,0)</f>
        <v>4481</v>
      </c>
      <c r="S344" s="10" t="n">
        <f aca="false">ROUND(P344*M344/100,0)</f>
        <v>2347</v>
      </c>
      <c r="T344" s="11" t="n">
        <v>67.82</v>
      </c>
      <c r="U344" s="11" t="n">
        <v>67.9</v>
      </c>
      <c r="V344" s="3" t="n">
        <f aca="false">RANK(F344,$F$2:$F$350,0)</f>
        <v>307</v>
      </c>
      <c r="W344" s="12" t="n">
        <v>247.6</v>
      </c>
      <c r="X344" s="10" t="n">
        <v>81</v>
      </c>
      <c r="Y344" s="3" t="s">
        <v>58</v>
      </c>
      <c r="Z344" s="3" t="s">
        <v>284</v>
      </c>
      <c r="AA344" s="13" t="s">
        <v>59</v>
      </c>
      <c r="AB344" s="11" t="n">
        <v>19.36</v>
      </c>
    </row>
    <row r="345" customFormat="false" ht="16.4" hidden="false" customHeight="false" outlineLevel="0" collapsed="false">
      <c r="A345" s="3" t="n">
        <v>344</v>
      </c>
      <c r="B345" s="3" t="n">
        <v>22</v>
      </c>
      <c r="C345" s="3" t="s">
        <v>489</v>
      </c>
      <c r="D345" s="10" t="n">
        <v>36856</v>
      </c>
      <c r="E345" s="10" t="n">
        <f aca="false">ROUND(D345*INDEX(مناطق!$AF$2:$AF$23,B345),0)</f>
        <v>32474</v>
      </c>
      <c r="F345" s="11" t="n">
        <f aca="false">ROUND(100*(راهنما!$B$4*(H345-MIN($H$2:$H$350))/(MAX($H$2:$H$350)-MIN($H$2:$H$350))+راهنما!$B$5*(N345-MIN($N$2:$N$350))/(MAX($N$2:$N$350)-MIN($N$2:$N$350))+راهنما!$B$6*(J345-MIN($J$2:$J$350))/(MAX($J$2:$J$350)-MIN($J$2:$J$350))+راهنما!$B$7*(MAX($I$2:$I$350)-I345)/(MAX($I$2:$I$350)-MIN($I$2:$I$350)))/راهنما!$B$8,1)</f>
        <v>35.6</v>
      </c>
      <c r="G345" s="3" t="str">
        <f aca="false">IF(V345&lt;=ROUND(349*0.2,0),"بسیار بالا",IF(V345&lt;=ROUND(349*0.4,0),"بالا",IF(V345&lt;=ROUND(349*0.6,0),"متوسط",IF(V345&lt;=ROUND(349*0.8,0),"پایین","بسیار پایین"))))</f>
        <v>بسیار پایین</v>
      </c>
      <c r="H345" s="11" t="n">
        <f aca="false">(100-I345)*(100-L345)/100</f>
        <v>67.76748</v>
      </c>
      <c r="I345" s="11" t="n">
        <v>13.65</v>
      </c>
      <c r="J345" s="11" t="n">
        <v>31.84</v>
      </c>
      <c r="K345" s="11" t="n">
        <f aca="false">J345/(1-I345/100)</f>
        <v>36.8731905037638</v>
      </c>
      <c r="L345" s="11" t="n">
        <v>21.52</v>
      </c>
      <c r="M345" s="11" t="n">
        <v>41.16</v>
      </c>
      <c r="N345" s="11" t="n">
        <v>32.36</v>
      </c>
      <c r="O345" s="11" t="n">
        <v>6.65</v>
      </c>
      <c r="P345" s="10" t="n">
        <f aca="false">ROUND(E345*J345/100,0)</f>
        <v>10340</v>
      </c>
      <c r="Q345" s="10" t="n">
        <f aca="false">ROUND(P345*I345/(100-I345),0)</f>
        <v>1635</v>
      </c>
      <c r="R345" s="10" t="n">
        <f aca="false">ROUND(P345*(100-L345)/100,0)</f>
        <v>8115</v>
      </c>
      <c r="S345" s="10" t="n">
        <f aca="false">ROUND(P345*M345/100,0)</f>
        <v>4256</v>
      </c>
      <c r="T345" s="11" t="n">
        <v>67.77</v>
      </c>
      <c r="U345" s="11" t="n">
        <v>67.77</v>
      </c>
      <c r="V345" s="3" t="n">
        <f aca="false">RANK(F345,$F$2:$F$350,0)</f>
        <v>310</v>
      </c>
      <c r="W345" s="12"/>
      <c r="X345" s="10" t="n">
        <v>0</v>
      </c>
      <c r="Y345" s="3" t="s">
        <v>77</v>
      </c>
      <c r="Z345" s="13" t="s">
        <v>78</v>
      </c>
      <c r="AA345" s="13" t="s">
        <v>79</v>
      </c>
      <c r="AB345" s="11" t="n">
        <v>19.05</v>
      </c>
    </row>
    <row r="346" customFormat="false" ht="16.4" hidden="false" customHeight="false" outlineLevel="0" collapsed="false">
      <c r="A346" s="3" t="n">
        <v>345</v>
      </c>
      <c r="B346" s="3" t="n">
        <v>22</v>
      </c>
      <c r="C346" s="3" t="s">
        <v>490</v>
      </c>
      <c r="D346" s="10" t="n">
        <v>16530</v>
      </c>
      <c r="E346" s="10" t="n">
        <f aca="false">ROUND(D346*INDEX(مناطق!$AF$2:$AF$23,B346),0)</f>
        <v>14564</v>
      </c>
      <c r="F346" s="11" t="n">
        <f aca="false">ROUND(100*(راهنما!$B$4*(H346-MIN($H$2:$H$350))/(MAX($H$2:$H$350)-MIN($H$2:$H$350))+راهنما!$B$5*(N346-MIN($N$2:$N$350))/(MAX($N$2:$N$350)-MIN($N$2:$N$350))+راهنما!$B$6*(J346-MIN($J$2:$J$350))/(MAX($J$2:$J$350)-MIN($J$2:$J$350))+راهنما!$B$7*(MAX($I$2:$I$350)-I346)/(MAX($I$2:$I$350)-MIN($I$2:$I$350)))/راهنما!$B$8,1)</f>
        <v>35.6</v>
      </c>
      <c r="G346" s="3" t="str">
        <f aca="false">IF(V346&lt;=ROUND(349*0.2,0),"بسیار بالا",IF(V346&lt;=ROUND(349*0.4,0),"بالا",IF(V346&lt;=ROUND(349*0.6,0),"متوسط",IF(V346&lt;=ROUND(349*0.8,0),"پایین","بسیار پایین"))))</f>
        <v>بسیار پایین</v>
      </c>
      <c r="H346" s="11" t="n">
        <f aca="false">(100-I346)*(100-L346)/100</f>
        <v>67.76748</v>
      </c>
      <c r="I346" s="11" t="n">
        <v>13.65</v>
      </c>
      <c r="J346" s="11" t="n">
        <v>31.84</v>
      </c>
      <c r="K346" s="11" t="n">
        <f aca="false">J346/(1-I346/100)</f>
        <v>36.8731905037638</v>
      </c>
      <c r="L346" s="11" t="n">
        <v>21.52</v>
      </c>
      <c r="M346" s="11" t="n">
        <v>41.16</v>
      </c>
      <c r="N346" s="11" t="n">
        <v>32.36</v>
      </c>
      <c r="O346" s="11" t="n">
        <v>6.65</v>
      </c>
      <c r="P346" s="10" t="n">
        <f aca="false">ROUND(E346*J346/100,0)</f>
        <v>4637</v>
      </c>
      <c r="Q346" s="10" t="n">
        <f aca="false">ROUND(P346*I346/(100-I346),0)</f>
        <v>733</v>
      </c>
      <c r="R346" s="10" t="n">
        <f aca="false">ROUND(P346*(100-L346)/100,0)</f>
        <v>3639</v>
      </c>
      <c r="S346" s="10" t="n">
        <f aca="false">ROUND(P346*M346/100,0)</f>
        <v>1909</v>
      </c>
      <c r="T346" s="11" t="n">
        <v>67.77</v>
      </c>
      <c r="U346" s="11" t="n">
        <v>67.77</v>
      </c>
      <c r="V346" s="3" t="n">
        <f aca="false">RANK(F346,$F$2:$F$350,0)</f>
        <v>310</v>
      </c>
      <c r="W346" s="12"/>
      <c r="X346" s="10" t="n">
        <v>0</v>
      </c>
      <c r="Y346" s="3" t="s">
        <v>77</v>
      </c>
      <c r="Z346" s="13" t="s">
        <v>78</v>
      </c>
      <c r="AA346" s="13" t="s">
        <v>79</v>
      </c>
      <c r="AB346" s="11" t="n">
        <v>19.05</v>
      </c>
    </row>
    <row r="347" customFormat="false" ht="16.4" hidden="false" customHeight="false" outlineLevel="0" collapsed="false">
      <c r="A347" s="3" t="n">
        <v>346</v>
      </c>
      <c r="B347" s="3" t="n">
        <v>22</v>
      </c>
      <c r="C347" s="3" t="s">
        <v>491</v>
      </c>
      <c r="D347" s="10" t="n">
        <v>3092</v>
      </c>
      <c r="E347" s="10" t="n">
        <f aca="false">ROUND(D347*INDEX(مناطق!$AF$2:$AF$23,B347),0)</f>
        <v>2724</v>
      </c>
      <c r="F347" s="11" t="n">
        <f aca="false">ROUND(100*(راهنما!$B$4*(H347-MIN($H$2:$H$350))/(MAX($H$2:$H$350)-MIN($H$2:$H$350))+راهنما!$B$5*(N347-MIN($N$2:$N$350))/(MAX($N$2:$N$350)-MIN($N$2:$N$350))+راهنما!$B$6*(J347-MIN($J$2:$J$350))/(MAX($J$2:$J$350)-MIN($J$2:$J$350))+راهنما!$B$7*(MAX($I$2:$I$350)-I347)/(MAX($I$2:$I$350)-MIN($I$2:$I$350)))/راهنما!$B$8,1)</f>
        <v>34.6</v>
      </c>
      <c r="G347" s="3" t="str">
        <f aca="false">IF(V347&lt;=ROUND(349*0.2,0),"بسیار بالا",IF(V347&lt;=ROUND(349*0.4,0),"بالا",IF(V347&lt;=ROUND(349*0.6,0),"متوسط",IF(V347&lt;=ROUND(349*0.8,0),"پایین","بسیار پایین"))))</f>
        <v>بسیار پایین</v>
      </c>
      <c r="H347" s="11" t="n">
        <f aca="false">(100-I347)*(100-L347)/100</f>
        <v>67.517065</v>
      </c>
      <c r="I347" s="11" t="n">
        <v>13.65</v>
      </c>
      <c r="J347" s="11" t="n">
        <v>31.89</v>
      </c>
      <c r="K347" s="11" t="n">
        <f aca="false">J347/(1-I347/100)</f>
        <v>36.9310943833237</v>
      </c>
      <c r="L347" s="11" t="n">
        <v>21.81</v>
      </c>
      <c r="M347" s="11" t="n">
        <v>41.16</v>
      </c>
      <c r="N347" s="11" t="n">
        <v>31.04</v>
      </c>
      <c r="O347" s="11" t="n">
        <v>6.78</v>
      </c>
      <c r="P347" s="10" t="n">
        <f aca="false">ROUND(E347*J347/100,0)</f>
        <v>869</v>
      </c>
      <c r="Q347" s="10" t="n">
        <f aca="false">ROUND(P347*I347/(100-I347),0)</f>
        <v>137</v>
      </c>
      <c r="R347" s="10" t="n">
        <f aca="false">ROUND(P347*(100-L347)/100,0)</f>
        <v>679</v>
      </c>
      <c r="S347" s="10" t="n">
        <f aca="false">ROUND(P347*M347/100,0)</f>
        <v>358</v>
      </c>
      <c r="T347" s="11" t="n">
        <v>67.41</v>
      </c>
      <c r="U347" s="11" t="n">
        <v>67.62</v>
      </c>
      <c r="V347" s="3" t="n">
        <f aca="false">RANK(F347,$F$2:$F$350,0)</f>
        <v>319</v>
      </c>
      <c r="W347" s="12" t="n">
        <v>255.8</v>
      </c>
      <c r="X347" s="10" t="n">
        <v>168</v>
      </c>
      <c r="Y347" s="3" t="s">
        <v>67</v>
      </c>
      <c r="Z347" s="3" t="s">
        <v>492</v>
      </c>
      <c r="AA347" s="13" t="s">
        <v>59</v>
      </c>
      <c r="AB347" s="11" t="n">
        <v>18.17</v>
      </c>
    </row>
    <row r="348" customFormat="false" ht="16.4" hidden="false" customHeight="false" outlineLevel="0" collapsed="false">
      <c r="A348" s="3" t="n">
        <v>347</v>
      </c>
      <c r="B348" s="3" t="n">
        <v>22</v>
      </c>
      <c r="C348" s="3" t="s">
        <v>493</v>
      </c>
      <c r="D348" s="10" t="n">
        <v>16028</v>
      </c>
      <c r="E348" s="10" t="n">
        <f aca="false">ROUND(D348*INDEX(مناطق!$AF$2:$AF$23,B348),0)</f>
        <v>14122</v>
      </c>
      <c r="F348" s="11" t="n">
        <f aca="false">ROUND(100*(راهنما!$B$4*(H348-MIN($H$2:$H$350))/(MAX($H$2:$H$350)-MIN($H$2:$H$350))+راهنما!$B$5*(N348-MIN($N$2:$N$350))/(MAX($N$2:$N$350)-MIN($N$2:$N$350))+راهنما!$B$6*(J348-MIN($J$2:$J$350))/(MAX($J$2:$J$350)-MIN($J$2:$J$350))+راهنما!$B$7*(MAX($I$2:$I$350)-I348)/(MAX($I$2:$I$350)-MIN($I$2:$I$350)))/راهنما!$B$8,1)</f>
        <v>34.6</v>
      </c>
      <c r="G348" s="3" t="str">
        <f aca="false">IF(V348&lt;=ROUND(349*0.2,0),"بسیار بالا",IF(V348&lt;=ROUND(349*0.4,0),"بالا",IF(V348&lt;=ROUND(349*0.6,0),"متوسط",IF(V348&lt;=ROUND(349*0.8,0),"پایین","بسیار پایین"))))</f>
        <v>بسیار پایین</v>
      </c>
      <c r="H348" s="11" t="n">
        <f aca="false">(100-I348)*(100-L348)/100</f>
        <v>67.50843</v>
      </c>
      <c r="I348" s="11" t="n">
        <v>13.65</v>
      </c>
      <c r="J348" s="11" t="n">
        <v>31.89</v>
      </c>
      <c r="K348" s="11" t="n">
        <f aca="false">J348/(1-I348/100)</f>
        <v>36.9310943833237</v>
      </c>
      <c r="L348" s="11" t="n">
        <v>21.82</v>
      </c>
      <c r="M348" s="11" t="n">
        <v>41.16</v>
      </c>
      <c r="N348" s="11" t="n">
        <v>30.98</v>
      </c>
      <c r="O348" s="11" t="n">
        <v>6.79</v>
      </c>
      <c r="P348" s="10" t="n">
        <f aca="false">ROUND(E348*J348/100,0)</f>
        <v>4504</v>
      </c>
      <c r="Q348" s="10" t="n">
        <f aca="false">ROUND(P348*I348/(100-I348),0)</f>
        <v>712</v>
      </c>
      <c r="R348" s="10" t="n">
        <f aca="false">ROUND(P348*(100-L348)/100,0)</f>
        <v>3521</v>
      </c>
      <c r="S348" s="10" t="n">
        <f aca="false">ROUND(P348*M348/100,0)</f>
        <v>1854</v>
      </c>
      <c r="T348" s="11" t="n">
        <v>67.4</v>
      </c>
      <c r="U348" s="11" t="n">
        <v>67.61</v>
      </c>
      <c r="V348" s="3" t="n">
        <f aca="false">RANK(F348,$F$2:$F$350,0)</f>
        <v>319</v>
      </c>
      <c r="W348" s="12" t="n">
        <v>210</v>
      </c>
      <c r="X348" s="10" t="n">
        <v>82</v>
      </c>
      <c r="Y348" s="3" t="s">
        <v>58</v>
      </c>
      <c r="Z348" s="3" t="s">
        <v>493</v>
      </c>
      <c r="AA348" s="13" t="s">
        <v>59</v>
      </c>
      <c r="AB348" s="11" t="n">
        <v>18.13</v>
      </c>
    </row>
    <row r="349" customFormat="false" ht="16.4" hidden="false" customHeight="false" outlineLevel="0" collapsed="false">
      <c r="A349" s="3" t="n">
        <v>348</v>
      </c>
      <c r="B349" s="3" t="n">
        <v>22</v>
      </c>
      <c r="C349" s="3" t="s">
        <v>494</v>
      </c>
      <c r="D349" s="10" t="n">
        <v>13538</v>
      </c>
      <c r="E349" s="10" t="n">
        <f aca="false">ROUND(D349*INDEX(مناطق!$AF$2:$AF$23,B349),0)</f>
        <v>11928</v>
      </c>
      <c r="F349" s="11" t="n">
        <f aca="false">ROUND(100*(راهنما!$B$4*(H349-MIN($H$2:$H$350))/(MAX($H$2:$H$350)-MIN($H$2:$H$350))+راهنما!$B$5*(N349-MIN($N$2:$N$350))/(MAX($N$2:$N$350)-MIN($N$2:$N$350))+راهنما!$B$6*(J349-MIN($J$2:$J$350))/(MAX($J$2:$J$350)-MIN($J$2:$J$350))+راهنما!$B$7*(MAX($I$2:$I$350)-I349)/(MAX($I$2:$I$350)-MIN($I$2:$I$350)))/راهنما!$B$8,1)</f>
        <v>33.6</v>
      </c>
      <c r="G349" s="3" t="str">
        <f aca="false">IF(V349&lt;=ROUND(349*0.2,0),"بسیار بالا",IF(V349&lt;=ROUND(349*0.4,0),"بالا",IF(V349&lt;=ROUND(349*0.6,0),"متوسط",IF(V349&lt;=ROUND(349*0.8,0),"پایین","بسیار پایین"))))</f>
        <v>بسیار پایین</v>
      </c>
      <c r="H349" s="11" t="n">
        <f aca="false">(100-I349)*(100-L349)/100</f>
        <v>67.24938</v>
      </c>
      <c r="I349" s="11" t="n">
        <v>13.65</v>
      </c>
      <c r="J349" s="11" t="n">
        <v>31.94</v>
      </c>
      <c r="K349" s="11" t="n">
        <f aca="false">J349/(1-I349/100)</f>
        <v>36.9889982628836</v>
      </c>
      <c r="L349" s="11" t="n">
        <v>22.12</v>
      </c>
      <c r="M349" s="11" t="n">
        <v>41.16</v>
      </c>
      <c r="N349" s="11" t="n">
        <v>29.71</v>
      </c>
      <c r="O349" s="11" t="n">
        <v>6.93</v>
      </c>
      <c r="P349" s="10" t="n">
        <f aca="false">ROUND(E349*J349/100,0)</f>
        <v>3810</v>
      </c>
      <c r="Q349" s="10" t="n">
        <f aca="false">ROUND(P349*I349/(100-I349),0)</f>
        <v>602</v>
      </c>
      <c r="R349" s="10" t="n">
        <f aca="false">ROUND(P349*(100-L349)/100,0)</f>
        <v>2967</v>
      </c>
      <c r="S349" s="10" t="n">
        <f aca="false">ROUND(P349*M349/100,0)</f>
        <v>1568</v>
      </c>
      <c r="T349" s="11" t="n">
        <v>67.03</v>
      </c>
      <c r="U349" s="11" t="n">
        <v>67.46</v>
      </c>
      <c r="V349" s="3" t="n">
        <f aca="false">RANK(F349,$F$2:$F$350,0)</f>
        <v>322</v>
      </c>
      <c r="W349" s="12" t="n">
        <v>195.4</v>
      </c>
      <c r="X349" s="10" t="n">
        <v>79</v>
      </c>
      <c r="Y349" s="3" t="s">
        <v>58</v>
      </c>
      <c r="Z349" s="3" t="s">
        <v>495</v>
      </c>
      <c r="AA349" s="13" t="s">
        <v>59</v>
      </c>
      <c r="AB349" s="11" t="n">
        <v>17.3</v>
      </c>
    </row>
    <row r="350" customFormat="false" ht="16.4" hidden="false" customHeight="false" outlineLevel="0" collapsed="false">
      <c r="A350" s="3" t="n">
        <v>349</v>
      </c>
      <c r="B350" s="3" t="n">
        <v>22</v>
      </c>
      <c r="C350" s="3" t="s">
        <v>308</v>
      </c>
      <c r="D350" s="10" t="n">
        <v>13231</v>
      </c>
      <c r="E350" s="10" t="n">
        <f aca="false">ROUND(D350*INDEX(مناطق!$AF$2:$AF$23,B350),0)</f>
        <v>11658</v>
      </c>
      <c r="F350" s="11" t="n">
        <f aca="false">ROUND(100*(راهنما!$B$4*(H350-MIN($H$2:$H$350))/(MAX($H$2:$H$350)-MIN($H$2:$H$350))+راهنما!$B$5*(N350-MIN($N$2:$N$350))/(MAX($N$2:$N$350)-MIN($N$2:$N$350))+راهنما!$B$6*(J350-MIN($J$2:$J$350))/(MAX($J$2:$J$350)-MIN($J$2:$J$350))+راهنما!$B$7*(MAX($I$2:$I$350)-I350)/(MAX($I$2:$I$350)-MIN($I$2:$I$350)))/راهنما!$B$8,1)</f>
        <v>31</v>
      </c>
      <c r="G350" s="3" t="str">
        <f aca="false">IF(V350&lt;=ROUND(349*0.2,0),"بسیار بالا",IF(V350&lt;=ROUND(349*0.4,0),"بالا",IF(V350&lt;=ROUND(349*0.6,0),"متوسط",IF(V350&lt;=ROUND(349*0.8,0),"پایین","بسیار پایین"))))</f>
        <v>بسیار پایین</v>
      </c>
      <c r="H350" s="11" t="n">
        <f aca="false">(100-I350)*(100-L350)/100</f>
        <v>66.54131</v>
      </c>
      <c r="I350" s="11" t="n">
        <v>13.65</v>
      </c>
      <c r="J350" s="11" t="n">
        <v>32.08</v>
      </c>
      <c r="K350" s="11" t="n">
        <f aca="false">J350/(1-I350/100)</f>
        <v>37.1511291256514</v>
      </c>
      <c r="L350" s="11" t="n">
        <v>22.94</v>
      </c>
      <c r="M350" s="11" t="n">
        <v>41.16</v>
      </c>
      <c r="N350" s="11" t="n">
        <v>26.36</v>
      </c>
      <c r="O350" s="11" t="n">
        <v>7.32</v>
      </c>
      <c r="P350" s="10" t="n">
        <f aca="false">ROUND(E350*J350/100,0)</f>
        <v>3740</v>
      </c>
      <c r="Q350" s="10" t="n">
        <f aca="false">ROUND(P350*I350/(100-I350),0)</f>
        <v>591</v>
      </c>
      <c r="R350" s="10" t="n">
        <f aca="false">ROUND(P350*(100-L350)/100,0)</f>
        <v>2882</v>
      </c>
      <c r="S350" s="10" t="n">
        <f aca="false">ROUND(P350*M350/100,0)</f>
        <v>1539</v>
      </c>
      <c r="T350" s="11" t="n">
        <v>66.02</v>
      </c>
      <c r="U350" s="11" t="n">
        <v>67.06</v>
      </c>
      <c r="V350" s="3" t="n">
        <f aca="false">RANK(F350,$F$2:$F$350,0)</f>
        <v>335</v>
      </c>
      <c r="W350" s="12" t="n">
        <v>179.7</v>
      </c>
      <c r="X350" s="10" t="n">
        <v>72</v>
      </c>
      <c r="Y350" s="3" t="s">
        <v>58</v>
      </c>
      <c r="Z350" s="3" t="s">
        <v>308</v>
      </c>
      <c r="AA350" s="13" t="s">
        <v>59</v>
      </c>
      <c r="AB350" s="11" t="n">
        <v>15.17</v>
      </c>
    </row>
  </sheetData>
  <conditionalFormatting sqref="G2:G350">
    <cfRule type="cellIs" priority="2" operator="equal" aboveAverage="0" equalAverage="0" bottom="0" percent="0" rank="0" text="" dxfId="172">
      <formula>"بسیار بالا"</formula>
    </cfRule>
    <cfRule type="cellIs" priority="3" operator="equal" aboveAverage="0" equalAverage="0" bottom="0" percent="0" rank="0" text="" dxfId="173">
      <formula>"بالا"</formula>
    </cfRule>
    <cfRule type="cellIs" priority="4" operator="equal" aboveAverage="0" equalAverage="0" bottom="0" percent="0" rank="0" text="" dxfId="174">
      <formula>"متوسط"</formula>
    </cfRule>
    <cfRule type="cellIs" priority="5" operator="equal" aboveAverage="0" equalAverage="0" bottom="0" percent="0" rank="0" text="" dxfId="175">
      <formula>"پایین"</formula>
    </cfRule>
    <cfRule type="cellIs" priority="6" operator="equal" aboveAverage="0" equalAverage="0" bottom="0" percent="0" rank="0" text="" dxfId="176">
      <formula>"بسیار پایین"</formula>
    </cfRule>
  </conditionalFormatting>
  <conditionalFormatting sqref="F2:F35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A2:AA350">
    <cfRule type="cellIs" priority="8" operator="equal" aboveAverage="0" equalAverage="0" bottom="0" percent="0" rank="0" text="" dxfId="172">
      <formula>"A"</formula>
    </cfRule>
    <cfRule type="cellIs" priority="9" operator="equal" aboveAverage="0" equalAverage="0" bottom="0" percent="0" rank="0" text="" dxfId="174">
      <formula>"B"</formula>
    </cfRule>
    <cfRule type="cellIs" priority="10" operator="equal" aboveAverage="0" equalAverage="0" bottom="0" percent="0" rank="0" text="" dxfId="175">
      <formula>"C"</formula>
    </cfRule>
    <cfRule type="cellIs" priority="11" operator="equal" aboveAverage="0" equalAverage="0" bottom="0" percent="0" rank="0" text="" dxfId="177">
      <formula>"D"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2" min="2" style="0" width="12"/>
  </cols>
  <sheetData>
    <row r="1" customFormat="false" ht="60" hidden="false" customHeight="true" outlineLevel="0" collapsed="false">
      <c r="A1" s="9" t="s">
        <v>30</v>
      </c>
      <c r="B1" s="9" t="s">
        <v>496</v>
      </c>
      <c r="C1" s="9" t="s">
        <v>497</v>
      </c>
      <c r="D1" s="9" t="s">
        <v>498</v>
      </c>
      <c r="E1" s="9" t="s">
        <v>499</v>
      </c>
      <c r="F1" s="9" t="s">
        <v>500</v>
      </c>
      <c r="G1" s="9" t="s">
        <v>501</v>
      </c>
      <c r="H1" s="9" t="s">
        <v>502</v>
      </c>
      <c r="I1" s="9" t="s">
        <v>503</v>
      </c>
      <c r="J1" s="9" t="s">
        <v>504</v>
      </c>
      <c r="K1" s="9" t="s">
        <v>505</v>
      </c>
      <c r="L1" s="9" t="s">
        <v>506</v>
      </c>
      <c r="M1" s="9" t="s">
        <v>37</v>
      </c>
      <c r="N1" s="9" t="s">
        <v>507</v>
      </c>
      <c r="O1" s="9" t="s">
        <v>508</v>
      </c>
      <c r="P1" s="9" t="s">
        <v>509</v>
      </c>
      <c r="Q1" s="9" t="s">
        <v>510</v>
      </c>
      <c r="R1" s="9" t="s">
        <v>511</v>
      </c>
      <c r="S1" s="9" t="s">
        <v>512</v>
      </c>
      <c r="T1" s="9" t="s">
        <v>513</v>
      </c>
      <c r="U1" s="9" t="s">
        <v>514</v>
      </c>
      <c r="V1" s="9" t="s">
        <v>515</v>
      </c>
      <c r="W1" s="9" t="s">
        <v>516</v>
      </c>
      <c r="X1" s="9" t="s">
        <v>517</v>
      </c>
      <c r="Y1" s="9" t="s">
        <v>518</v>
      </c>
      <c r="Z1" s="9" t="s">
        <v>42</v>
      </c>
      <c r="AA1" s="9" t="s">
        <v>43</v>
      </c>
      <c r="AB1" s="9" t="s">
        <v>36</v>
      </c>
      <c r="AC1" s="9" t="s">
        <v>519</v>
      </c>
      <c r="AD1" s="9" t="s">
        <v>520</v>
      </c>
      <c r="AE1" s="9" t="s">
        <v>521</v>
      </c>
      <c r="AF1" s="9" t="s">
        <v>522</v>
      </c>
    </row>
    <row r="2" customFormat="false" ht="15" hidden="false" customHeight="false" outlineLevel="0" collapsed="false">
      <c r="A2" s="11" t="n">
        <v>1</v>
      </c>
      <c r="B2" s="10" t="n">
        <f aca="false">SUMIF(محلات!$B$2:$B$350,A2,محلات!$D$2:$D$350)</f>
        <v>486069</v>
      </c>
      <c r="C2" s="10" t="n">
        <v>450792</v>
      </c>
      <c r="D2" s="10" t="n">
        <v>145591</v>
      </c>
      <c r="E2" s="10" t="n">
        <v>110088</v>
      </c>
      <c r="F2" s="10" t="n">
        <v>35503</v>
      </c>
      <c r="G2" s="10" t="n">
        <v>19414</v>
      </c>
      <c r="H2" s="10" t="n">
        <v>10353</v>
      </c>
      <c r="I2" s="10" t="n">
        <v>9061</v>
      </c>
      <c r="J2" s="10" t="n">
        <v>115548</v>
      </c>
      <c r="K2" s="10" t="n">
        <v>85409</v>
      </c>
      <c r="L2" s="10" t="n">
        <v>55288</v>
      </c>
      <c r="M2" s="11" t="n">
        <f aca="false">G2/(D2+G2)*100</f>
        <v>11.7657040695737</v>
      </c>
      <c r="N2" s="11" t="n">
        <f aca="false">H2/(E2+H2)*100</f>
        <v>8.59591003063741</v>
      </c>
      <c r="O2" s="11" t="n">
        <f aca="false">I2/(F2+I2)*100</f>
        <v>20.3325554259043</v>
      </c>
      <c r="P2" s="11" t="n">
        <f aca="false">(D2+G2)/C2*100</f>
        <v>36.603355871444</v>
      </c>
      <c r="Q2" s="11" t="n">
        <f aca="false">D2/C2*100</f>
        <v>32.296713340077</v>
      </c>
      <c r="R2" s="11" t="n">
        <f aca="false">(F2+I2)/(D2+G2)*100</f>
        <v>27.0076664343505</v>
      </c>
      <c r="S2" s="10" t="n">
        <v>122374</v>
      </c>
      <c r="T2" s="11" t="n">
        <v>34.701</v>
      </c>
      <c r="U2" s="11" t="n">
        <v>28.789</v>
      </c>
      <c r="V2" s="11" t="n">
        <v>16.988</v>
      </c>
      <c r="W2" s="11" t="n">
        <v>18.904</v>
      </c>
      <c r="X2" s="11" t="n">
        <v>0.618</v>
      </c>
      <c r="Y2" s="11" t="n">
        <f aca="false">W2+X2</f>
        <v>19.522</v>
      </c>
      <c r="Z2" s="11" t="n">
        <v>54.008</v>
      </c>
      <c r="AA2" s="11" t="n">
        <v>6.865</v>
      </c>
      <c r="AB2" s="11" t="n">
        <f aca="false">(100-M2)*(100-Y2)/100</f>
        <v>71.0091966788885</v>
      </c>
      <c r="AC2" s="11" t="n">
        <f aca="false">SUMPRODUCT((محلات!$B$2:$B$350=A2)*محلات!$D$2:$D$350*محلات!$H$2:$H$350)/B2</f>
        <v>71.0055237536523</v>
      </c>
      <c r="AD2" s="10" t="n">
        <f aca="false">SUMIF(محلات!$B$2:$B$350,A2,محلات!$P$2:$P$350)</f>
        <v>145592</v>
      </c>
      <c r="AE2" s="11" t="n">
        <f aca="false">(AD2/D2-1)*100</f>
        <v>0.000686855643539097</v>
      </c>
      <c r="AF2" s="14" t="n">
        <f aca="false">C2/B2</f>
        <v>0.927423884263345</v>
      </c>
    </row>
    <row r="3" customFormat="false" ht="15" hidden="false" customHeight="false" outlineLevel="0" collapsed="false">
      <c r="A3" s="11" t="n">
        <v>2</v>
      </c>
      <c r="B3" s="10" t="n">
        <f aca="false">SUMIF(محلات!$B$2:$B$350,A3,محلات!$D$2:$D$350)</f>
        <v>691795</v>
      </c>
      <c r="C3" s="10" t="n">
        <v>635807</v>
      </c>
      <c r="D3" s="10" t="n">
        <v>202499</v>
      </c>
      <c r="E3" s="10" t="n">
        <v>144048</v>
      </c>
      <c r="F3" s="10" t="n">
        <v>58451</v>
      </c>
      <c r="G3" s="10" t="n">
        <v>32459</v>
      </c>
      <c r="H3" s="10" t="n">
        <v>17104</v>
      </c>
      <c r="I3" s="10" t="n">
        <v>15355</v>
      </c>
      <c r="J3" s="10" t="n">
        <v>146583</v>
      </c>
      <c r="K3" s="10" t="n">
        <v>121578</v>
      </c>
      <c r="L3" s="10" t="n">
        <v>91512</v>
      </c>
      <c r="M3" s="11" t="n">
        <f aca="false">G3/(D3+G3)*100</f>
        <v>13.8148094553069</v>
      </c>
      <c r="N3" s="11" t="n">
        <f aca="false">H3/(E3+H3)*100</f>
        <v>10.6135822081017</v>
      </c>
      <c r="O3" s="11" t="n">
        <f aca="false">I3/(F3+I3)*100</f>
        <v>20.8045416361813</v>
      </c>
      <c r="P3" s="11" t="n">
        <f aca="false">(D3+G3)/C3*100</f>
        <v>36.9542958790954</v>
      </c>
      <c r="Q3" s="11" t="n">
        <f aca="false">D3/C3*100</f>
        <v>31.849130317848</v>
      </c>
      <c r="R3" s="11" t="n">
        <f aca="false">(F3+I3)/(D3+G3)*100</f>
        <v>31.4124226457495</v>
      </c>
      <c r="S3" s="10" t="n">
        <v>209644</v>
      </c>
      <c r="T3" s="11" t="n">
        <v>33.664</v>
      </c>
      <c r="U3" s="11" t="n">
        <v>35.466</v>
      </c>
      <c r="V3" s="11" t="n">
        <v>13.173</v>
      </c>
      <c r="W3" s="11" t="n">
        <v>17.08</v>
      </c>
      <c r="X3" s="11" t="n">
        <v>0.618</v>
      </c>
      <c r="Y3" s="11" t="n">
        <f aca="false">W3+X3</f>
        <v>17.698</v>
      </c>
      <c r="Z3" s="11" t="n">
        <v>56.631</v>
      </c>
      <c r="AA3" s="11" t="n">
        <v>3.48</v>
      </c>
      <c r="AB3" s="11" t="n">
        <f aca="false">(100-M3)*(100-Y3)/100</f>
        <v>70.9321355220933</v>
      </c>
      <c r="AC3" s="11" t="n">
        <f aca="false">SUMPRODUCT((محلات!$B$2:$B$350=A3)*محلات!$D$2:$D$350*محلات!$H$2:$H$350)/B3</f>
        <v>70.9360614317955</v>
      </c>
      <c r="AD3" s="10" t="n">
        <f aca="false">SUMIF(محلات!$B$2:$B$350,A3,محلات!$P$2:$P$350)</f>
        <v>202505</v>
      </c>
      <c r="AE3" s="11" t="n">
        <f aca="false">(AD3/D3-1)*100</f>
        <v>0.00296297759494468</v>
      </c>
      <c r="AF3" s="14" t="n">
        <f aca="false">C3/B3</f>
        <v>0.919068510180039</v>
      </c>
    </row>
    <row r="4" customFormat="false" ht="15" hidden="false" customHeight="false" outlineLevel="0" collapsed="false">
      <c r="A4" s="11" t="n">
        <v>3</v>
      </c>
      <c r="B4" s="10" t="n">
        <f aca="false">SUMIF(محلات!$B$2:$B$350,A4,محلات!$D$2:$D$350)</f>
        <v>330004</v>
      </c>
      <c r="C4" s="10" t="n">
        <v>304260</v>
      </c>
      <c r="D4" s="10" t="n">
        <v>99413</v>
      </c>
      <c r="E4" s="10" t="n">
        <v>72411</v>
      </c>
      <c r="F4" s="10" t="n">
        <v>27002</v>
      </c>
      <c r="G4" s="10" t="n">
        <v>13293</v>
      </c>
      <c r="H4" s="10" t="n">
        <v>6817</v>
      </c>
      <c r="I4" s="10" t="n">
        <v>6476</v>
      </c>
      <c r="J4" s="10" t="n">
        <v>74353</v>
      </c>
      <c r="K4" s="10" t="n">
        <v>55816</v>
      </c>
      <c r="L4" s="10" t="n">
        <v>41295</v>
      </c>
      <c r="M4" s="11" t="n">
        <f aca="false">G4/(D4+G4)*100</f>
        <v>11.7944031373662</v>
      </c>
      <c r="N4" s="11" t="n">
        <f aca="false">H4/(E4+H4)*100</f>
        <v>8.60428131468673</v>
      </c>
      <c r="O4" s="11" t="n">
        <f aca="false">I4/(F4+I4)*100</f>
        <v>19.3440468367286</v>
      </c>
      <c r="P4" s="11" t="n">
        <f aca="false">(D4+G4)/C4*100</f>
        <v>37.0426608821403</v>
      </c>
      <c r="Q4" s="11" t="n">
        <f aca="false">D4/C4*100</f>
        <v>32.6737001248932</v>
      </c>
      <c r="R4" s="11" t="n">
        <f aca="false">(F4+I4)/(D4+G4)*100</f>
        <v>29.7038312068568</v>
      </c>
      <c r="S4" s="10" t="n">
        <v>100463</v>
      </c>
      <c r="T4" s="11" t="n">
        <v>27.108</v>
      </c>
      <c r="U4" s="11" t="n">
        <v>36.216</v>
      </c>
      <c r="V4" s="11" t="n">
        <v>20.659</v>
      </c>
      <c r="W4" s="11" t="n">
        <v>15.093</v>
      </c>
      <c r="X4" s="11" t="n">
        <v>0.923</v>
      </c>
      <c r="Y4" s="11" t="n">
        <f aca="false">W4+X4</f>
        <v>16.016</v>
      </c>
      <c r="Z4" s="11" t="n">
        <v>58.82</v>
      </c>
      <c r="AA4" s="11" t="n">
        <v>5.18</v>
      </c>
      <c r="AB4" s="11" t="n">
        <f aca="false">(100-M4)*(100-Y4)/100</f>
        <v>74.0785884691143</v>
      </c>
      <c r="AC4" s="11" t="n">
        <f aca="false">SUMPRODUCT((محلات!$B$2:$B$350=A4)*محلات!$D$2:$D$350*محلات!$H$2:$H$350)/B4</f>
        <v>74.0817507151823</v>
      </c>
      <c r="AD4" s="10" t="n">
        <f aca="false">SUMIF(محلات!$B$2:$B$350,A4,محلات!$P$2:$P$350)</f>
        <v>99407</v>
      </c>
      <c r="AE4" s="11" t="n">
        <f aca="false">(AD4/D4-1)*100</f>
        <v>-0.00603542796213663</v>
      </c>
      <c r="AF4" s="14" t="n">
        <f aca="false">C4/B4</f>
        <v>0.921988824377886</v>
      </c>
    </row>
    <row r="5" customFormat="false" ht="15" hidden="false" customHeight="false" outlineLevel="0" collapsed="false">
      <c r="A5" s="11" t="n">
        <v>4</v>
      </c>
      <c r="B5" s="10" t="n">
        <f aca="false">SUMIF(محلات!$B$2:$B$350,A5,محلات!$D$2:$D$350)</f>
        <v>906598</v>
      </c>
      <c r="C5" s="10" t="n">
        <v>802121</v>
      </c>
      <c r="D5" s="10" t="n">
        <v>265455</v>
      </c>
      <c r="E5" s="10" t="n">
        <v>213878</v>
      </c>
      <c r="F5" s="10" t="n">
        <v>51577</v>
      </c>
      <c r="G5" s="10" t="n">
        <v>36217</v>
      </c>
      <c r="H5" s="10" t="n">
        <v>21478</v>
      </c>
      <c r="I5" s="10" t="n">
        <v>14739</v>
      </c>
      <c r="J5" s="10" t="n">
        <v>230597</v>
      </c>
      <c r="K5" s="10" t="n">
        <v>148746</v>
      </c>
      <c r="L5" s="10" t="n">
        <v>70789</v>
      </c>
      <c r="M5" s="11" t="n">
        <f aca="false">G5/(D5+G5)*100</f>
        <v>12.0054231085417</v>
      </c>
      <c r="N5" s="11" t="n">
        <f aca="false">H5/(E5+H5)*100</f>
        <v>9.125749927769</v>
      </c>
      <c r="O5" s="11" t="n">
        <f aca="false">I5/(F5+I5)*100</f>
        <v>22.2254056336329</v>
      </c>
      <c r="P5" s="11" t="n">
        <f aca="false">(D5+G5)/C5*100</f>
        <v>37.6092883741979</v>
      </c>
      <c r="Q5" s="11" t="n">
        <f aca="false">D5/C5*100</f>
        <v>33.0941341767639</v>
      </c>
      <c r="R5" s="11" t="n">
        <f aca="false">(F5+I5)/(D5+G5)*100</f>
        <v>21.9828157734228</v>
      </c>
      <c r="S5" s="10" t="n">
        <v>277017</v>
      </c>
      <c r="T5" s="11" t="n">
        <v>31.592</v>
      </c>
      <c r="U5" s="11" t="n">
        <v>34.417</v>
      </c>
      <c r="V5" s="11" t="n">
        <v>11.513</v>
      </c>
      <c r="W5" s="11" t="n">
        <v>22.177</v>
      </c>
      <c r="X5" s="11" t="n">
        <v>0.301</v>
      </c>
      <c r="Y5" s="11" t="n">
        <f aca="false">W5+X5</f>
        <v>22.478</v>
      </c>
      <c r="Z5" s="11" t="n">
        <v>33.571</v>
      </c>
      <c r="AA5" s="11" t="n">
        <v>4.337</v>
      </c>
      <c r="AB5" s="11" t="n">
        <f aca="false">(100-M5)*(100-Y5)/100</f>
        <v>68.2151558977963</v>
      </c>
      <c r="AC5" s="11" t="n">
        <f aca="false">SUMPRODUCT((محلات!$B$2:$B$350=A5)*محلات!$D$2:$D$350*محلات!$H$2:$H$350)/B5</f>
        <v>68.2115661478141</v>
      </c>
      <c r="AD5" s="10" t="n">
        <f aca="false">SUMIF(محلات!$B$2:$B$350,A5,محلات!$P$2:$P$350)</f>
        <v>265458</v>
      </c>
      <c r="AE5" s="11" t="n">
        <f aca="false">(AD5/D5-1)*100</f>
        <v>0.00113013505114168</v>
      </c>
      <c r="AF5" s="14" t="n">
        <f aca="false">C5/B5</f>
        <v>0.884759286916583</v>
      </c>
    </row>
    <row r="6" customFormat="false" ht="15" hidden="false" customHeight="false" outlineLevel="0" collapsed="false">
      <c r="A6" s="11" t="n">
        <v>5</v>
      </c>
      <c r="B6" s="10" t="n">
        <f aca="false">SUMIF(محلات!$B$2:$B$350,A6,محلات!$D$2:$D$350)</f>
        <v>853212</v>
      </c>
      <c r="C6" s="10" t="n">
        <v>767169</v>
      </c>
      <c r="D6" s="10" t="n">
        <v>255117</v>
      </c>
      <c r="E6" s="10" t="n">
        <v>188296</v>
      </c>
      <c r="F6" s="10" t="n">
        <v>66821</v>
      </c>
      <c r="G6" s="10" t="n">
        <v>38563</v>
      </c>
      <c r="H6" s="10" t="n">
        <v>20619</v>
      </c>
      <c r="I6" s="10" t="n">
        <v>17944</v>
      </c>
      <c r="J6" s="10" t="n">
        <v>188812</v>
      </c>
      <c r="K6" s="10" t="n">
        <v>149546</v>
      </c>
      <c r="L6" s="10" t="n">
        <v>87086</v>
      </c>
      <c r="M6" s="11" t="n">
        <f aca="false">G6/(D6+G6)*100</f>
        <v>13.1309588667938</v>
      </c>
      <c r="N6" s="11" t="n">
        <f aca="false">H6/(E6+H6)*100</f>
        <v>9.86956417681832</v>
      </c>
      <c r="O6" s="11" t="n">
        <f aca="false">I6/(F6+I6)*100</f>
        <v>21.1691146109833</v>
      </c>
      <c r="P6" s="11" t="n">
        <f aca="false">(D6+G6)/C6*100</f>
        <v>38.2810045765666</v>
      </c>
      <c r="Q6" s="11" t="n">
        <f aca="false">D6/C6*100</f>
        <v>33.2543416118222</v>
      </c>
      <c r="R6" s="11" t="n">
        <f aca="false">(F6+I6)/(D6+G6)*100</f>
        <v>28.863048215745</v>
      </c>
      <c r="S6" s="10" t="n">
        <v>240504</v>
      </c>
      <c r="T6" s="11" t="n">
        <v>36.643</v>
      </c>
      <c r="U6" s="11" t="n">
        <v>32.847</v>
      </c>
      <c r="V6" s="11" t="n">
        <v>12.925</v>
      </c>
      <c r="W6" s="11" t="n">
        <v>17.047</v>
      </c>
      <c r="X6" s="11" t="n">
        <v>0.538</v>
      </c>
      <c r="Y6" s="11" t="n">
        <f aca="false">W6+X6</f>
        <v>17.585</v>
      </c>
      <c r="Z6" s="11" t="n">
        <v>50.064</v>
      </c>
      <c r="AA6" s="11" t="n">
        <v>3.208</v>
      </c>
      <c r="AB6" s="11" t="n">
        <f aca="false">(100-M6)*(100-Y6)/100</f>
        <v>71.5931202499319</v>
      </c>
      <c r="AC6" s="11" t="n">
        <f aca="false">SUMPRODUCT((محلات!$B$2:$B$350=A6)*محلات!$D$2:$D$350*محلات!$H$2:$H$350)/B6</f>
        <v>71.5931970397603</v>
      </c>
      <c r="AD6" s="10" t="n">
        <f aca="false">SUMIF(محلات!$B$2:$B$350,A6,محلات!$P$2:$P$350)</f>
        <v>255115</v>
      </c>
      <c r="AE6" s="11" t="n">
        <f aca="false">(AD6/D6-1)*100</f>
        <v>-0.000783954028937828</v>
      </c>
      <c r="AF6" s="14" t="n">
        <f aca="false">C6/B6</f>
        <v>0.899154020337267</v>
      </c>
    </row>
    <row r="7" customFormat="false" ht="15" hidden="false" customHeight="false" outlineLevel="0" collapsed="false">
      <c r="A7" s="11" t="n">
        <v>6</v>
      </c>
      <c r="B7" s="10" t="n">
        <f aca="false">SUMIF(محلات!$B$2:$B$350,A7,محلات!$D$2:$D$350)</f>
        <v>250753</v>
      </c>
      <c r="C7" s="10" t="n">
        <v>233346</v>
      </c>
      <c r="D7" s="10" t="n">
        <v>75454</v>
      </c>
      <c r="E7" s="10" t="n">
        <v>52416</v>
      </c>
      <c r="F7" s="10" t="n">
        <v>23038</v>
      </c>
      <c r="G7" s="10" t="n">
        <v>10873</v>
      </c>
      <c r="H7" s="10" t="n">
        <v>5705</v>
      </c>
      <c r="I7" s="10" t="n">
        <v>5168</v>
      </c>
      <c r="J7" s="10" t="n">
        <v>50454</v>
      </c>
      <c r="K7" s="10" t="n">
        <v>52094</v>
      </c>
      <c r="L7" s="10" t="n">
        <v>28891</v>
      </c>
      <c r="M7" s="11" t="n">
        <f aca="false">G7/(D7+G7)*100</f>
        <v>12.5951324614547</v>
      </c>
      <c r="N7" s="11" t="n">
        <f aca="false">H7/(E7+H7)*100</f>
        <v>9.81572925448633</v>
      </c>
      <c r="O7" s="11" t="n">
        <f aca="false">I7/(F7+I7)*100</f>
        <v>18.3223427639509</v>
      </c>
      <c r="P7" s="11" t="n">
        <f aca="false">(D7+G7)/C7*100</f>
        <v>36.9952773992269</v>
      </c>
      <c r="Q7" s="11" t="n">
        <f aca="false">D7/C7*100</f>
        <v>32.3356732063117</v>
      </c>
      <c r="R7" s="11" t="n">
        <f aca="false">(F7+I7)/(D7+G7)*100</f>
        <v>32.6734393642777</v>
      </c>
      <c r="S7" s="10" t="n">
        <v>80451</v>
      </c>
      <c r="T7" s="11" t="n">
        <v>37.27</v>
      </c>
      <c r="U7" s="11" t="n">
        <v>32.993</v>
      </c>
      <c r="V7" s="11" t="n">
        <v>12.958</v>
      </c>
      <c r="W7" s="11" t="n">
        <v>15.968</v>
      </c>
      <c r="X7" s="11" t="n">
        <v>0.813</v>
      </c>
      <c r="Y7" s="11" t="n">
        <f aca="false">W7+X7</f>
        <v>16.781</v>
      </c>
      <c r="Z7" s="11" t="n">
        <v>57.177</v>
      </c>
      <c r="AA7" s="11" t="n">
        <v>4.562</v>
      </c>
      <c r="AB7" s="11" t="n">
        <f aca="false">(100-M7)*(100-Y7)/100</f>
        <v>72.737456716902</v>
      </c>
      <c r="AC7" s="11" t="n">
        <f aca="false">SUMPRODUCT((محلات!$B$2:$B$350=A7)*محلات!$D$2:$D$350*محلات!$H$2:$H$350)/B7</f>
        <v>72.734179687262</v>
      </c>
      <c r="AD7" s="10" t="n">
        <f aca="false">SUMIF(محلات!$B$2:$B$350,A7,محلات!$P$2:$P$350)</f>
        <v>75449</v>
      </c>
      <c r="AE7" s="11" t="n">
        <f aca="false">(AD7/D7-1)*100</f>
        <v>-0.00662655392689171</v>
      </c>
      <c r="AF7" s="14" t="n">
        <f aca="false">C7/B7</f>
        <v>0.93058108975765</v>
      </c>
    </row>
    <row r="8" customFormat="false" ht="15" hidden="false" customHeight="false" outlineLevel="0" collapsed="false">
      <c r="A8" s="11" t="n">
        <v>7</v>
      </c>
      <c r="B8" s="10" t="n">
        <f aca="false">SUMIF(محلات!$B$2:$B$350,A8,محلات!$D$2:$D$350)</f>
        <v>312002</v>
      </c>
      <c r="C8" s="10" t="n">
        <v>282523</v>
      </c>
      <c r="D8" s="10" t="n">
        <v>97793</v>
      </c>
      <c r="E8" s="10" t="n">
        <v>73072</v>
      </c>
      <c r="F8" s="10" t="n">
        <v>24721</v>
      </c>
      <c r="G8" s="10" t="n">
        <v>12204</v>
      </c>
      <c r="H8" s="10" t="n">
        <v>7112</v>
      </c>
      <c r="I8" s="10" t="n">
        <v>5092</v>
      </c>
      <c r="J8" s="10" t="n">
        <v>73600</v>
      </c>
      <c r="K8" s="10" t="n">
        <v>47958</v>
      </c>
      <c r="L8" s="10" t="n">
        <v>31795</v>
      </c>
      <c r="M8" s="11" t="n">
        <f aca="false">G8/(D8+G8)*100</f>
        <v>11.0948480413102</v>
      </c>
      <c r="N8" s="11" t="n">
        <f aca="false">H8/(E8+H8)*100</f>
        <v>8.86959992018358</v>
      </c>
      <c r="O8" s="11" t="n">
        <f aca="false">I8/(F8+I8)*100</f>
        <v>17.0797974038171</v>
      </c>
      <c r="P8" s="11" t="n">
        <f aca="false">(D8+G8)/C8*100</f>
        <v>38.9338213172025</v>
      </c>
      <c r="Q8" s="11" t="n">
        <f aca="false">D8/C8*100</f>
        <v>34.6141730053836</v>
      </c>
      <c r="R8" s="11" t="n">
        <f aca="false">(F8+I8)/(D8+G8)*100</f>
        <v>27.1034664581761</v>
      </c>
      <c r="S8" s="10" t="n">
        <v>110064</v>
      </c>
      <c r="T8" s="11" t="n">
        <v>34.783</v>
      </c>
      <c r="U8" s="11" t="n">
        <v>35.76</v>
      </c>
      <c r="V8" s="11" t="n">
        <v>9.888</v>
      </c>
      <c r="W8" s="11" t="n">
        <v>19.243</v>
      </c>
      <c r="X8" s="11" t="n">
        <v>0.326</v>
      </c>
      <c r="Y8" s="11" t="n">
        <f aca="false">W8+X8</f>
        <v>19.569</v>
      </c>
      <c r="Z8" s="11" t="n">
        <v>43.375</v>
      </c>
      <c r="AA8" s="11" t="n">
        <v>4.159</v>
      </c>
      <c r="AB8" s="11" t="n">
        <f aca="false">(100-M8)*(100-Y8)/100</f>
        <v>71.5073027718938</v>
      </c>
      <c r="AC8" s="11" t="n">
        <f aca="false">SUMPRODUCT((محلات!$B$2:$B$350=A8)*محلات!$D$2:$D$350*محلات!$H$2:$H$350)/B8</f>
        <v>71.5106038364241</v>
      </c>
      <c r="AD8" s="10" t="n">
        <f aca="false">SUMIF(محلات!$B$2:$B$350,A8,محلات!$P$2:$P$350)</f>
        <v>97791</v>
      </c>
      <c r="AE8" s="11" t="n">
        <f aca="false">(AD8/D8-1)*100</f>
        <v>-0.00204513615493784</v>
      </c>
      <c r="AF8" s="14" t="n">
        <f aca="false">C8/B8</f>
        <v>0.905516631303646</v>
      </c>
    </row>
    <row r="9" customFormat="false" ht="15" hidden="false" customHeight="false" outlineLevel="0" collapsed="false">
      <c r="A9" s="11" t="n">
        <v>8</v>
      </c>
      <c r="B9" s="10" t="n">
        <f aca="false">SUMIF(محلات!$B$2:$B$350,A9,محلات!$D$2:$D$350)</f>
        <v>425044</v>
      </c>
      <c r="C9" s="10" t="n">
        <v>379995</v>
      </c>
      <c r="D9" s="10" t="n">
        <v>127225</v>
      </c>
      <c r="E9" s="10" t="n">
        <v>98160</v>
      </c>
      <c r="F9" s="10" t="n">
        <v>29065</v>
      </c>
      <c r="G9" s="10" t="n">
        <v>18004</v>
      </c>
      <c r="H9" s="10" t="n">
        <v>10162</v>
      </c>
      <c r="I9" s="10" t="n">
        <v>7842</v>
      </c>
      <c r="J9" s="10" t="n">
        <v>105142</v>
      </c>
      <c r="K9" s="10" t="n">
        <v>65476</v>
      </c>
      <c r="L9" s="10" t="n">
        <v>40373</v>
      </c>
      <c r="M9" s="11" t="n">
        <f aca="false">G9/(D9+G9)*100</f>
        <v>12.3969730563455</v>
      </c>
      <c r="N9" s="11" t="n">
        <f aca="false">H9/(E9+H9)*100</f>
        <v>9.38128911947711</v>
      </c>
      <c r="O9" s="11" t="n">
        <f aca="false">I9/(F9+I9)*100</f>
        <v>21.2480017340884</v>
      </c>
      <c r="P9" s="11" t="n">
        <f aca="false">(D9+G9)/C9*100</f>
        <v>38.2186607718523</v>
      </c>
      <c r="Q9" s="11" t="n">
        <f aca="false">D9/C9*100</f>
        <v>33.4807036934697</v>
      </c>
      <c r="R9" s="11" t="n">
        <f aca="false">(F9+I9)/(D9+G9)*100</f>
        <v>25.4129684842559</v>
      </c>
      <c r="S9" s="10" t="n">
        <v>130949</v>
      </c>
      <c r="T9" s="11" t="n">
        <v>34.2</v>
      </c>
      <c r="U9" s="11" t="n">
        <v>34.768</v>
      </c>
      <c r="V9" s="11" t="n">
        <v>11.032</v>
      </c>
      <c r="W9" s="11" t="n">
        <v>19.585</v>
      </c>
      <c r="X9" s="11" t="n">
        <v>0.416</v>
      </c>
      <c r="Y9" s="11" t="n">
        <f aca="false">W9+X9</f>
        <v>20.001</v>
      </c>
      <c r="Z9" s="11" t="n">
        <v>37.11</v>
      </c>
      <c r="AA9" s="11" t="n">
        <v>3.847</v>
      </c>
      <c r="AB9" s="11" t="n">
        <f aca="false">(100-M9)*(100-Y9)/100</f>
        <v>70.0815455246542</v>
      </c>
      <c r="AC9" s="11" t="n">
        <f aca="false">SUMPRODUCT((محلات!$B$2:$B$350=A9)*محلات!$D$2:$D$350*محلات!$H$2:$H$350)/B9</f>
        <v>70.0785062963834</v>
      </c>
      <c r="AD9" s="10" t="n">
        <f aca="false">SUMIF(محلات!$B$2:$B$350,A9,محلات!$P$2:$P$350)</f>
        <v>127224</v>
      </c>
      <c r="AE9" s="11" t="n">
        <f aca="false">(AD9/D9-1)*100</f>
        <v>-0.000786009039099866</v>
      </c>
      <c r="AF9" s="14" t="n">
        <f aca="false">C9/B9</f>
        <v>0.894013325679224</v>
      </c>
    </row>
    <row r="10" customFormat="false" ht="15" hidden="false" customHeight="false" outlineLevel="0" collapsed="false">
      <c r="A10" s="11" t="n">
        <v>9</v>
      </c>
      <c r="B10" s="10" t="n">
        <f aca="false">SUMIF(محلات!$B$2:$B$350,A10,محلات!$D$2:$D$350)</f>
        <v>174115</v>
      </c>
      <c r="C10" s="10" t="n">
        <v>151018</v>
      </c>
      <c r="D10" s="10" t="n">
        <v>50322</v>
      </c>
      <c r="E10" s="10" t="n">
        <v>41459</v>
      </c>
      <c r="F10" s="10" t="n">
        <v>8863</v>
      </c>
      <c r="G10" s="10" t="n">
        <v>7209</v>
      </c>
      <c r="H10" s="10" t="n">
        <v>4394</v>
      </c>
      <c r="I10" s="10" t="n">
        <v>2815</v>
      </c>
      <c r="J10" s="10" t="n">
        <v>44119</v>
      </c>
      <c r="K10" s="10" t="n">
        <v>27301</v>
      </c>
      <c r="L10" s="10" t="n">
        <v>13143</v>
      </c>
      <c r="M10" s="11" t="n">
        <f aca="false">G10/(D10+G10)*100</f>
        <v>12.5306356572978</v>
      </c>
      <c r="N10" s="11" t="n">
        <f aca="false">H10/(E10+H10)*100</f>
        <v>9.58279719974702</v>
      </c>
      <c r="O10" s="11" t="n">
        <f aca="false">I10/(F10+I10)*100</f>
        <v>24.1051549922932</v>
      </c>
      <c r="P10" s="11" t="n">
        <f aca="false">(D10+G10)/C10*100</f>
        <v>38.0954588194785</v>
      </c>
      <c r="Q10" s="11" t="n">
        <f aca="false">D10/C10*100</f>
        <v>33.3218556728337</v>
      </c>
      <c r="R10" s="11" t="n">
        <f aca="false">(F10+I10)/(D10+G10)*100</f>
        <v>20.2986216126958</v>
      </c>
      <c r="S10" s="10" t="n">
        <v>55678</v>
      </c>
      <c r="T10" s="11" t="n">
        <v>46.319</v>
      </c>
      <c r="U10" s="11" t="n">
        <v>28.106</v>
      </c>
      <c r="V10" s="11" t="n">
        <v>7.761</v>
      </c>
      <c r="W10" s="11" t="n">
        <v>17.668</v>
      </c>
      <c r="X10" s="11" t="n">
        <v>0.146</v>
      </c>
      <c r="Y10" s="11" t="n">
        <f aca="false">W10+X10</f>
        <v>17.814</v>
      </c>
      <c r="Z10" s="11" t="n">
        <v>27.402</v>
      </c>
      <c r="AA10" s="11" t="n">
        <v>7.027</v>
      </c>
      <c r="AB10" s="11" t="n">
        <f aca="false">(100-M10)*(100-Y10)/100</f>
        <v>71.8875717786932</v>
      </c>
      <c r="AC10" s="11" t="n">
        <f aca="false">SUMPRODUCT((محلات!$B$2:$B$350=A10)*محلات!$D$2:$D$350*محلات!$H$2:$H$350)/B10</f>
        <v>71.8871072456193</v>
      </c>
      <c r="AD10" s="10" t="n">
        <f aca="false">SUMIF(محلات!$B$2:$B$350,A10,محلات!$P$2:$P$350)</f>
        <v>50320</v>
      </c>
      <c r="AE10" s="11" t="n">
        <f aca="false">(AD10/D10-1)*100</f>
        <v>-0.00397440483287381</v>
      </c>
      <c r="AF10" s="14" t="n">
        <f aca="false">C10/B10</f>
        <v>0.867346294115958</v>
      </c>
    </row>
    <row r="11" customFormat="false" ht="15" hidden="false" customHeight="false" outlineLevel="0" collapsed="false">
      <c r="A11" s="11" t="n">
        <v>10</v>
      </c>
      <c r="B11" s="10" t="n">
        <f aca="false">SUMIF(محلات!$B$2:$B$350,A11,محلات!$D$2:$D$350)</f>
        <v>326885</v>
      </c>
      <c r="C11" s="10" t="n">
        <v>287663</v>
      </c>
      <c r="D11" s="10" t="n">
        <v>100338</v>
      </c>
      <c r="E11" s="10" t="n">
        <v>79524</v>
      </c>
      <c r="F11" s="10" t="n">
        <v>20814</v>
      </c>
      <c r="G11" s="10" t="n">
        <v>14052</v>
      </c>
      <c r="H11" s="10" t="n">
        <v>8476</v>
      </c>
      <c r="I11" s="10" t="n">
        <v>5576</v>
      </c>
      <c r="J11" s="10" t="n">
        <v>81735</v>
      </c>
      <c r="K11" s="10" t="n">
        <v>46736</v>
      </c>
      <c r="L11" s="10" t="n">
        <v>26789</v>
      </c>
      <c r="M11" s="11" t="n">
        <f aca="false">G11/(D11+G11)*100</f>
        <v>12.2842905848413</v>
      </c>
      <c r="N11" s="11" t="n">
        <f aca="false">H11/(E11+H11)*100</f>
        <v>9.63181818181818</v>
      </c>
      <c r="O11" s="11" t="n">
        <f aca="false">I11/(F11+I11)*100</f>
        <v>21.1292156119742</v>
      </c>
      <c r="P11" s="11" t="n">
        <f aca="false">(D11+G11)/C11*100</f>
        <v>39.7652809016106</v>
      </c>
      <c r="Q11" s="11" t="n">
        <f aca="false">D11/C11*100</f>
        <v>34.8803982437783</v>
      </c>
      <c r="R11" s="11" t="n">
        <f aca="false">(F11+I11)/(D11+G11)*100</f>
        <v>23.0701984439199</v>
      </c>
      <c r="S11" s="10" t="n">
        <v>108470</v>
      </c>
      <c r="T11" s="11" t="n">
        <v>37.523</v>
      </c>
      <c r="U11" s="11" t="n">
        <v>32.925</v>
      </c>
      <c r="V11" s="11" t="n">
        <v>8.561</v>
      </c>
      <c r="W11" s="11" t="n">
        <v>20.349</v>
      </c>
      <c r="X11" s="11" t="n">
        <v>0.641</v>
      </c>
      <c r="Y11" s="11" t="n">
        <f aca="false">W11+X11</f>
        <v>20.99</v>
      </c>
      <c r="Z11" s="11" t="n">
        <v>32.602</v>
      </c>
      <c r="AA11" s="11" t="n">
        <v>5.055</v>
      </c>
      <c r="AB11" s="11" t="n">
        <f aca="false">(100-M11)*(100-Y11)/100</f>
        <v>69.3041820089169</v>
      </c>
      <c r="AC11" s="11" t="n">
        <f aca="false">SUMPRODUCT((محلات!$B$2:$B$350=A11)*محلات!$D$2:$D$350*محلات!$H$2:$H$350)/B11</f>
        <v>69.3068526576258</v>
      </c>
      <c r="AD11" s="10" t="n">
        <f aca="false">SUMIF(محلات!$B$2:$B$350,A11,محلات!$P$2:$P$350)</f>
        <v>100334</v>
      </c>
      <c r="AE11" s="11" t="n">
        <f aca="false">(AD11/D11-1)*100</f>
        <v>-0.00398652554366441</v>
      </c>
      <c r="AF11" s="14" t="n">
        <f aca="false">C11/B11</f>
        <v>0.880012848555302</v>
      </c>
    </row>
    <row r="12" customFormat="false" ht="15" hidden="false" customHeight="false" outlineLevel="0" collapsed="false">
      <c r="A12" s="11" t="n">
        <v>11</v>
      </c>
      <c r="B12" s="10" t="n">
        <f aca="false">SUMIF(محلات!$B$2:$B$350,A12,محلات!$D$2:$D$350)</f>
        <v>307469</v>
      </c>
      <c r="C12" s="10" t="n">
        <v>271859</v>
      </c>
      <c r="D12" s="10" t="n">
        <v>95523</v>
      </c>
      <c r="E12" s="10" t="n">
        <v>75913</v>
      </c>
      <c r="F12" s="10" t="n">
        <v>19610</v>
      </c>
      <c r="G12" s="10" t="n">
        <v>10543</v>
      </c>
      <c r="H12" s="10" t="n">
        <v>6487</v>
      </c>
      <c r="I12" s="10" t="n">
        <v>4056</v>
      </c>
      <c r="J12" s="10" t="n">
        <v>76171</v>
      </c>
      <c r="K12" s="10" t="n">
        <v>49917</v>
      </c>
      <c r="L12" s="10" t="n">
        <v>21609</v>
      </c>
      <c r="M12" s="11" t="n">
        <f aca="false">G12/(D12+G12)*100</f>
        <v>9.94003733524409</v>
      </c>
      <c r="N12" s="11" t="n">
        <f aca="false">H12/(E12+H12)*100</f>
        <v>7.87257281553398</v>
      </c>
      <c r="O12" s="11" t="n">
        <f aca="false">I12/(F12+I12)*100</f>
        <v>17.1385109439703</v>
      </c>
      <c r="P12" s="11" t="n">
        <f aca="false">(D12+G12)/C12*100</f>
        <v>39.0150776689387</v>
      </c>
      <c r="Q12" s="11" t="n">
        <f aca="false">D12/C12*100</f>
        <v>35.1369643822717</v>
      </c>
      <c r="R12" s="11" t="n">
        <f aca="false">(F12+I12)/(D12+G12)*100</f>
        <v>22.3125223917184</v>
      </c>
      <c r="S12" s="10" t="n">
        <v>98208</v>
      </c>
      <c r="T12" s="11" t="n">
        <v>37.033</v>
      </c>
      <c r="U12" s="11" t="n">
        <v>31.387</v>
      </c>
      <c r="V12" s="11" t="n">
        <v>8.452</v>
      </c>
      <c r="W12" s="11" t="n">
        <v>22.623</v>
      </c>
      <c r="X12" s="11" t="n">
        <v>0.506</v>
      </c>
      <c r="Y12" s="11" t="n">
        <f aca="false">W12+X12</f>
        <v>23.129</v>
      </c>
      <c r="Z12" s="11" t="n">
        <v>34.089</v>
      </c>
      <c r="AA12" s="11" t="n">
        <v>5.404</v>
      </c>
      <c r="AB12" s="11" t="n">
        <f aca="false">(100-M12)*(100-Y12)/100</f>
        <v>69.2299939000245</v>
      </c>
      <c r="AC12" s="11" t="n">
        <f aca="false">SUMPRODUCT((محلات!$B$2:$B$350=A12)*محلات!$D$2:$D$350*محلات!$H$2:$H$350)/B12</f>
        <v>69.2282318831622</v>
      </c>
      <c r="AD12" s="10" t="n">
        <f aca="false">SUMIF(محلات!$B$2:$B$350,A12,محلات!$P$2:$P$350)</f>
        <v>95525</v>
      </c>
      <c r="AE12" s="11" t="n">
        <f aca="false">(AD12/D12-1)*100</f>
        <v>0.00209373658699441</v>
      </c>
      <c r="AF12" s="14" t="n">
        <f aca="false">C12/B12</f>
        <v>0.884183446136033</v>
      </c>
    </row>
    <row r="13" customFormat="false" ht="15" hidden="false" customHeight="false" outlineLevel="0" collapsed="false">
      <c r="A13" s="11" t="n">
        <v>12</v>
      </c>
      <c r="B13" s="10" t="n">
        <f aca="false">SUMIF(محلات!$B$2:$B$350,A13,محلات!$D$2:$D$350)</f>
        <v>240909</v>
      </c>
      <c r="C13" s="10" t="n">
        <v>208406</v>
      </c>
      <c r="D13" s="10" t="n">
        <v>72351</v>
      </c>
      <c r="E13" s="10" t="n">
        <v>62542</v>
      </c>
      <c r="F13" s="10" t="n">
        <v>9809</v>
      </c>
      <c r="G13" s="10" t="n">
        <v>6710</v>
      </c>
      <c r="H13" s="10" t="n">
        <v>4657</v>
      </c>
      <c r="I13" s="10" t="n">
        <v>2053</v>
      </c>
      <c r="J13" s="10" t="n">
        <v>65250</v>
      </c>
      <c r="K13" s="10" t="n">
        <v>38281</v>
      </c>
      <c r="L13" s="10" t="n">
        <v>12679</v>
      </c>
      <c r="M13" s="11" t="n">
        <f aca="false">G13/(D13+G13)*100</f>
        <v>8.487117542151</v>
      </c>
      <c r="N13" s="11" t="n">
        <f aca="false">H13/(E13+H13)*100</f>
        <v>6.93016265122993</v>
      </c>
      <c r="O13" s="11" t="n">
        <f aca="false">I13/(F13+I13)*100</f>
        <v>17.3073680660934</v>
      </c>
      <c r="P13" s="11" t="n">
        <f aca="false">(D13+G13)/C13*100</f>
        <v>37.9360479064902</v>
      </c>
      <c r="Q13" s="11" t="n">
        <f aca="false">D13/C13*100</f>
        <v>34.7163709298197</v>
      </c>
      <c r="R13" s="11" t="n">
        <f aca="false">(F13+I13)/(D13+G13)*100</f>
        <v>15.0036048114747</v>
      </c>
      <c r="S13" s="10" t="n">
        <v>85773</v>
      </c>
      <c r="T13" s="11" t="n">
        <v>22.867</v>
      </c>
      <c r="U13" s="11" t="n">
        <v>37.074</v>
      </c>
      <c r="V13" s="11" t="n">
        <v>10.586</v>
      </c>
      <c r="W13" s="11" t="n">
        <v>28.662</v>
      </c>
      <c r="X13" s="11" t="n">
        <v>0.811</v>
      </c>
      <c r="Y13" s="11" t="n">
        <f aca="false">W13+X13</f>
        <v>29.473</v>
      </c>
      <c r="Z13" s="11" t="n">
        <v>23.285</v>
      </c>
      <c r="AA13" s="11" t="n">
        <v>11.235</v>
      </c>
      <c r="AB13" s="11" t="n">
        <f aca="false">(100-M13)*(100-Y13)/100</f>
        <v>64.5412906110472</v>
      </c>
      <c r="AC13" s="11" t="n">
        <f aca="false">SUMPRODUCT((محلات!$B$2:$B$350=A13)*محلات!$D$2:$D$350*محلات!$H$2:$H$350)/B13</f>
        <v>64.5389278622675</v>
      </c>
      <c r="AD13" s="10" t="n">
        <f aca="false">SUMIF(محلات!$B$2:$B$350,A13,محلات!$P$2:$P$350)</f>
        <v>72352</v>
      </c>
      <c r="AE13" s="11" t="n">
        <f aca="false">(AD13/D13-1)*100</f>
        <v>0.00138215090323968</v>
      </c>
      <c r="AF13" s="14" t="n">
        <f aca="false">C13/B13</f>
        <v>0.865081835879938</v>
      </c>
    </row>
    <row r="14" customFormat="false" ht="15" hidden="false" customHeight="false" outlineLevel="0" collapsed="false">
      <c r="A14" s="11" t="n">
        <v>13</v>
      </c>
      <c r="B14" s="10" t="n">
        <f aca="false">SUMIF(محلات!$B$2:$B$350,A14,محلات!$D$2:$D$350)</f>
        <v>248725</v>
      </c>
      <c r="C14" s="10" t="n">
        <v>225332</v>
      </c>
      <c r="D14" s="10" t="n">
        <v>71641</v>
      </c>
      <c r="E14" s="10" t="n">
        <v>58461</v>
      </c>
      <c r="F14" s="10" t="n">
        <v>13180</v>
      </c>
      <c r="G14" s="10" t="n">
        <v>9718</v>
      </c>
      <c r="H14" s="10" t="n">
        <v>6010</v>
      </c>
      <c r="I14" s="10" t="n">
        <v>3708</v>
      </c>
      <c r="J14" s="10" t="n">
        <v>66437</v>
      </c>
      <c r="K14" s="10" t="n">
        <v>42201</v>
      </c>
      <c r="L14" s="10" t="n">
        <v>20732</v>
      </c>
      <c r="M14" s="11" t="n">
        <f aca="false">G14/(D14+G14)*100</f>
        <v>11.9445912560381</v>
      </c>
      <c r="N14" s="11" t="n">
        <f aca="false">H14/(E14+H14)*100</f>
        <v>9.32202075351709</v>
      </c>
      <c r="O14" s="11" t="n">
        <f aca="false">I14/(F14+I14)*100</f>
        <v>21.956418758882</v>
      </c>
      <c r="P14" s="11" t="n">
        <f aca="false">(D14+G14)/C14*100</f>
        <v>36.1062787353771</v>
      </c>
      <c r="Q14" s="11" t="n">
        <f aca="false">D14/C14*100</f>
        <v>31.7935313226706</v>
      </c>
      <c r="R14" s="11" t="n">
        <f aca="false">(F14+I14)/(D14+G14)*100</f>
        <v>20.7573839403139</v>
      </c>
      <c r="S14" s="10" t="n">
        <v>89396</v>
      </c>
      <c r="T14" s="11" t="n">
        <v>34.974</v>
      </c>
      <c r="U14" s="11" t="n">
        <v>30.133</v>
      </c>
      <c r="V14" s="11" t="n">
        <v>11.271</v>
      </c>
      <c r="W14" s="11" t="n">
        <v>22.855</v>
      </c>
      <c r="X14" s="11" t="n">
        <v>0.765</v>
      </c>
      <c r="Y14" s="11" t="n">
        <f aca="false">W14+X14</f>
        <v>23.62</v>
      </c>
      <c r="Z14" s="11" t="n">
        <v>33.904</v>
      </c>
      <c r="AA14" s="11" t="n">
        <v>4.502</v>
      </c>
      <c r="AB14" s="11" t="n">
        <f aca="false">(100-M14)*(100-Y14)/100</f>
        <v>67.2567211986381</v>
      </c>
      <c r="AC14" s="11" t="n">
        <f aca="false">SUMPRODUCT((محلات!$B$2:$B$350=A14)*محلات!$D$2:$D$350*محلات!$H$2:$H$350)/B14</f>
        <v>67.2596369916253</v>
      </c>
      <c r="AD14" s="10" t="n">
        <f aca="false">SUMIF(محلات!$B$2:$B$350,A14,محلات!$P$2:$P$350)</f>
        <v>71639</v>
      </c>
      <c r="AE14" s="11" t="n">
        <f aca="false">(AD14/D14-1)*100</f>
        <v>-0.00279169749165531</v>
      </c>
      <c r="AF14" s="14" t="n">
        <f aca="false">C14/B14</f>
        <v>0.905948336516233</v>
      </c>
    </row>
    <row r="15" customFormat="false" ht="15" hidden="false" customHeight="false" outlineLevel="0" collapsed="false">
      <c r="A15" s="11" t="n">
        <v>14</v>
      </c>
      <c r="B15" s="10" t="n">
        <f aca="false">SUMIF(محلات!$B$2:$B$350,A15,محلات!$D$2:$D$350)</f>
        <v>489101</v>
      </c>
      <c r="C15" s="10" t="n">
        <v>426187</v>
      </c>
      <c r="D15" s="10" t="n">
        <v>143773</v>
      </c>
      <c r="E15" s="10" t="n">
        <v>121485</v>
      </c>
      <c r="F15" s="10" t="n">
        <v>22288</v>
      </c>
      <c r="G15" s="10" t="n">
        <v>16644</v>
      </c>
      <c r="H15" s="10" t="n">
        <v>10539</v>
      </c>
      <c r="I15" s="10" t="n">
        <v>6105</v>
      </c>
      <c r="J15" s="10" t="n">
        <v>132223</v>
      </c>
      <c r="K15" s="10" t="n">
        <v>75784</v>
      </c>
      <c r="L15" s="10" t="n">
        <v>32276</v>
      </c>
      <c r="M15" s="11" t="n">
        <f aca="false">G15/(D15+G15)*100</f>
        <v>10.3754589600853</v>
      </c>
      <c r="N15" s="11" t="n">
        <f aca="false">H15/(E15+H15)*100</f>
        <v>7.98263952008726</v>
      </c>
      <c r="O15" s="11" t="n">
        <f aca="false">I15/(F15+I15)*100</f>
        <v>21.5017786074032</v>
      </c>
      <c r="P15" s="11" t="n">
        <f aca="false">(D15+G15)/C15*100</f>
        <v>37.640050024989</v>
      </c>
      <c r="Q15" s="11" t="n">
        <f aca="false">D15/C15*100</f>
        <v>33.7347220820907</v>
      </c>
      <c r="R15" s="11" t="n">
        <f aca="false">(F15+I15)/(D15+G15)*100</f>
        <v>17.6994956893596</v>
      </c>
      <c r="S15" s="10" t="n">
        <v>171532</v>
      </c>
      <c r="T15" s="11" t="n">
        <v>39.331</v>
      </c>
      <c r="U15" s="11" t="n">
        <v>27.201</v>
      </c>
      <c r="V15" s="11" t="n">
        <v>10.953</v>
      </c>
      <c r="W15" s="11" t="n">
        <v>22.103</v>
      </c>
      <c r="X15" s="11" t="n">
        <v>0.412</v>
      </c>
      <c r="Y15" s="11" t="n">
        <f aca="false">W15+X15</f>
        <v>22.515</v>
      </c>
      <c r="Z15" s="11" t="n">
        <v>24.593</v>
      </c>
      <c r="AA15" s="11" t="n">
        <v>5.547</v>
      </c>
      <c r="AB15" s="11" t="n">
        <f aca="false">(100-M15)*(100-Y15)/100</f>
        <v>69.4455756247779</v>
      </c>
      <c r="AC15" s="11" t="n">
        <f aca="false">SUMPRODUCT((محلات!$B$2:$B$350=A15)*محلات!$D$2:$D$350*محلات!$H$2:$H$350)/B15</f>
        <v>69.440837402741</v>
      </c>
      <c r="AD15" s="10" t="n">
        <f aca="false">SUMIF(محلات!$B$2:$B$350,A15,محلات!$P$2:$P$350)</f>
        <v>143764</v>
      </c>
      <c r="AE15" s="11" t="n">
        <f aca="false">(AD15/D15-1)*100</f>
        <v>-0.00625986798633571</v>
      </c>
      <c r="AF15" s="14" t="n">
        <f aca="false">C15/B15</f>
        <v>0.871368081439212</v>
      </c>
    </row>
    <row r="16" customFormat="false" ht="15" hidden="false" customHeight="false" outlineLevel="0" collapsed="false">
      <c r="A16" s="11" t="n">
        <v>15</v>
      </c>
      <c r="B16" s="10" t="n">
        <f aca="false">SUMIF(محلات!$B$2:$B$350,A16,محلات!$D$2:$D$350)</f>
        <v>635811</v>
      </c>
      <c r="C16" s="10" t="n">
        <v>557194</v>
      </c>
      <c r="D16" s="10" t="n">
        <v>192420</v>
      </c>
      <c r="E16" s="10" t="n">
        <v>171201</v>
      </c>
      <c r="F16" s="10" t="n">
        <v>21219</v>
      </c>
      <c r="G16" s="10" t="n">
        <v>18863</v>
      </c>
      <c r="H16" s="10" t="n">
        <v>13190</v>
      </c>
      <c r="I16" s="10" t="n">
        <v>5673</v>
      </c>
      <c r="J16" s="10" t="n">
        <v>187802</v>
      </c>
      <c r="K16" s="10" t="n">
        <v>94300</v>
      </c>
      <c r="L16" s="10" t="n">
        <v>30415</v>
      </c>
      <c r="M16" s="11" t="n">
        <f aca="false">G16/(D16+G16)*100</f>
        <v>8.92783612500769</v>
      </c>
      <c r="N16" s="11" t="n">
        <f aca="false">H16/(E16+H16)*100</f>
        <v>7.15327754608414</v>
      </c>
      <c r="O16" s="11" t="n">
        <f aca="false">I16/(F16+I16)*100</f>
        <v>21.0954930834449</v>
      </c>
      <c r="P16" s="11" t="n">
        <f aca="false">(D16+G16)/C16*100</f>
        <v>37.9191089638438</v>
      </c>
      <c r="Q16" s="11" t="n">
        <f aca="false">D16/C16*100</f>
        <v>34.5337530554888</v>
      </c>
      <c r="R16" s="11" t="n">
        <f aca="false">(F16+I16)/(D16+G16)*100</f>
        <v>12.7279525565237</v>
      </c>
      <c r="S16" s="10" t="n">
        <v>203797</v>
      </c>
      <c r="T16" s="11" t="n">
        <v>26.294</v>
      </c>
      <c r="U16" s="11" t="n">
        <v>34.391</v>
      </c>
      <c r="V16" s="11" t="n">
        <v>9.463</v>
      </c>
      <c r="W16" s="11" t="n">
        <v>29.381</v>
      </c>
      <c r="X16" s="11" t="n">
        <v>0.47</v>
      </c>
      <c r="Y16" s="11" t="n">
        <f aca="false">W16+X16</f>
        <v>29.851</v>
      </c>
      <c r="Z16" s="11" t="n">
        <v>14.399</v>
      </c>
      <c r="AA16" s="11" t="n">
        <v>8.827</v>
      </c>
      <c r="AB16" s="11" t="n">
        <f aca="false">(100-M16)*(100-Y16)/100</f>
        <v>63.8862122366684</v>
      </c>
      <c r="AC16" s="11" t="n">
        <f aca="false">SUMPRODUCT((محلات!$B$2:$B$350=A16)*محلات!$D$2:$D$350*محلات!$H$2:$H$350)/B16</f>
        <v>63.8848549674463</v>
      </c>
      <c r="AD16" s="10" t="n">
        <f aca="false">SUMIF(محلات!$B$2:$B$350,A16,محلات!$P$2:$P$350)</f>
        <v>192422</v>
      </c>
      <c r="AE16" s="11" t="n">
        <f aca="false">(AD16/D16-1)*100</f>
        <v>0.00103939299449518</v>
      </c>
      <c r="AF16" s="14" t="n">
        <f aca="false">C16/B16</f>
        <v>0.876351620214183</v>
      </c>
    </row>
    <row r="17" customFormat="false" ht="15" hidden="false" customHeight="false" outlineLevel="0" collapsed="false">
      <c r="A17" s="11" t="n">
        <v>16</v>
      </c>
      <c r="B17" s="10" t="n">
        <f aca="false">SUMIF(محلات!$B$2:$B$350,A17,محلات!$D$2:$D$350)</f>
        <v>267678</v>
      </c>
      <c r="C17" s="10" t="n">
        <v>232040</v>
      </c>
      <c r="D17" s="10" t="n">
        <v>75638</v>
      </c>
      <c r="E17" s="10" t="n">
        <v>65958</v>
      </c>
      <c r="F17" s="10" t="n">
        <v>9680</v>
      </c>
      <c r="G17" s="10" t="n">
        <v>8962</v>
      </c>
      <c r="H17" s="10" t="n">
        <v>6399</v>
      </c>
      <c r="I17" s="10" t="n">
        <v>2563</v>
      </c>
      <c r="J17" s="10" t="n">
        <v>77400</v>
      </c>
      <c r="K17" s="10" t="n">
        <v>39328</v>
      </c>
      <c r="L17" s="10" t="n">
        <v>16834</v>
      </c>
      <c r="M17" s="11" t="n">
        <f aca="false">G17/(D17+G17)*100</f>
        <v>10.5933806146572</v>
      </c>
      <c r="N17" s="11" t="n">
        <f aca="false">H17/(E17+H17)*100</f>
        <v>8.84365023425515</v>
      </c>
      <c r="O17" s="11" t="n">
        <f aca="false">I17/(F17+I17)*100</f>
        <v>20.9344115004492</v>
      </c>
      <c r="P17" s="11" t="n">
        <f aca="false">(D17+G17)/C17*100</f>
        <v>36.4592311670402</v>
      </c>
      <c r="Q17" s="11" t="n">
        <f aca="false">D17/C17*100</f>
        <v>32.5969660403379</v>
      </c>
      <c r="R17" s="11" t="n">
        <f aca="false">(F17+I17)/(D17+G17)*100</f>
        <v>14.4716312056738</v>
      </c>
      <c r="S17" s="10" t="n">
        <v>90965</v>
      </c>
      <c r="T17" s="11" t="n">
        <v>32.533</v>
      </c>
      <c r="U17" s="11" t="n">
        <v>31.153</v>
      </c>
      <c r="V17" s="11" t="n">
        <v>7.831</v>
      </c>
      <c r="W17" s="11" t="n">
        <v>27.426</v>
      </c>
      <c r="X17" s="11" t="n">
        <v>1.057</v>
      </c>
      <c r="Y17" s="11" t="n">
        <f aca="false">W17+X17</f>
        <v>28.483</v>
      </c>
      <c r="Z17" s="11" t="n">
        <v>16.586</v>
      </c>
      <c r="AA17" s="11" t="n">
        <v>8.22</v>
      </c>
      <c r="AB17" s="11" t="n">
        <f aca="false">(100-M17)*(100-Y17)/100</f>
        <v>63.9409319858156</v>
      </c>
      <c r="AC17" s="11" t="n">
        <f aca="false">SUMPRODUCT((محلات!$B$2:$B$350=A17)*محلات!$D$2:$D$350*محلات!$H$2:$H$350)/B17</f>
        <v>63.9433218894343</v>
      </c>
      <c r="AD17" s="10" t="n">
        <f aca="false">SUMIF(محلات!$B$2:$B$350,A17,محلات!$P$2:$P$350)</f>
        <v>75642</v>
      </c>
      <c r="AE17" s="11" t="n">
        <f aca="false">(AD17/D17-1)*100</f>
        <v>0.00528834712709703</v>
      </c>
      <c r="AF17" s="14" t="n">
        <f aca="false">C17/B17</f>
        <v>0.866862424256009</v>
      </c>
    </row>
    <row r="18" customFormat="false" ht="15" hidden="false" customHeight="false" outlineLevel="0" collapsed="false">
      <c r="A18" s="11" t="n">
        <v>17</v>
      </c>
      <c r="B18" s="10" t="n">
        <f aca="false">SUMIF(محلات!$B$2:$B$350,A18,محلات!$D$2:$D$350)</f>
        <v>278354</v>
      </c>
      <c r="C18" s="10" t="n">
        <v>236412</v>
      </c>
      <c r="D18" s="10" t="n">
        <v>78538</v>
      </c>
      <c r="E18" s="10" t="n">
        <v>68967</v>
      </c>
      <c r="F18" s="10" t="n">
        <v>9571</v>
      </c>
      <c r="G18" s="10" t="n">
        <v>8971</v>
      </c>
      <c r="H18" s="10" t="n">
        <v>6432</v>
      </c>
      <c r="I18" s="10" t="n">
        <v>2539</v>
      </c>
      <c r="J18" s="10" t="n">
        <v>78947</v>
      </c>
      <c r="K18" s="10" t="n">
        <v>38791</v>
      </c>
      <c r="L18" s="10" t="n">
        <v>17417</v>
      </c>
      <c r="M18" s="11" t="n">
        <f aca="false">G18/(D18+G18)*100</f>
        <v>10.2515169868242</v>
      </c>
      <c r="N18" s="11" t="n">
        <f aca="false">H18/(E18+H18)*100</f>
        <v>8.53061711693789</v>
      </c>
      <c r="O18" s="11" t="n">
        <f aca="false">I18/(F18+I18)*100</f>
        <v>20.9661436829067</v>
      </c>
      <c r="P18" s="11" t="n">
        <f aca="false">(D18+G18)/C18*100</f>
        <v>37.0154645280273</v>
      </c>
      <c r="Q18" s="11" t="n">
        <f aca="false">D18/C18*100</f>
        <v>33.2208178941847</v>
      </c>
      <c r="R18" s="11" t="n">
        <f aca="false">(F18+I18)/(D18+G18)*100</f>
        <v>13.8385766035493</v>
      </c>
      <c r="S18" s="10" t="n">
        <v>77367</v>
      </c>
      <c r="T18" s="11" t="n">
        <v>29.497</v>
      </c>
      <c r="U18" s="11" t="n">
        <v>36.737</v>
      </c>
      <c r="V18" s="11" t="n">
        <v>8.98</v>
      </c>
      <c r="W18" s="11" t="n">
        <v>24.192</v>
      </c>
      <c r="X18" s="11" t="n">
        <v>0.594</v>
      </c>
      <c r="Y18" s="11" t="n">
        <f aca="false">W18+X18</f>
        <v>24.786</v>
      </c>
      <c r="Z18" s="11" t="n">
        <v>14.721</v>
      </c>
      <c r="AA18" s="11" t="n">
        <v>9.424</v>
      </c>
      <c r="AB18" s="11" t="n">
        <f aca="false">(100-M18)*(100-Y18)/100</f>
        <v>67.50342401353</v>
      </c>
      <c r="AC18" s="11" t="n">
        <f aca="false">SUMPRODUCT((محلات!$B$2:$B$350=A18)*محلات!$D$2:$D$350*محلات!$H$2:$H$350)/B18</f>
        <v>67.5051317178844</v>
      </c>
      <c r="AD18" s="10" t="n">
        <f aca="false">SUMIF(محلات!$B$2:$B$350,A18,محلات!$P$2:$P$350)</f>
        <v>78536</v>
      </c>
      <c r="AE18" s="11" t="n">
        <f aca="false">(AD18/D18-1)*100</f>
        <v>-0.00254653798161808</v>
      </c>
      <c r="AF18" s="14" t="n">
        <f aca="false">C18/B18</f>
        <v>0.84932136775473</v>
      </c>
    </row>
    <row r="19" customFormat="false" ht="15" hidden="false" customHeight="false" outlineLevel="0" collapsed="false">
      <c r="A19" s="11" t="n">
        <v>18</v>
      </c>
      <c r="B19" s="10" t="n">
        <f aca="false">SUMIF(محلات!$B$2:$B$350,A19,محلات!$D$2:$D$350)</f>
        <v>419249</v>
      </c>
      <c r="C19" s="10" t="n">
        <v>349420</v>
      </c>
      <c r="D19" s="10" t="n">
        <v>119522</v>
      </c>
      <c r="E19" s="10" t="n">
        <v>106165</v>
      </c>
      <c r="F19" s="10" t="n">
        <v>13357</v>
      </c>
      <c r="G19" s="10" t="n">
        <v>13018</v>
      </c>
      <c r="H19" s="10" t="n">
        <v>9442</v>
      </c>
      <c r="I19" s="10" t="n">
        <v>3576</v>
      </c>
      <c r="J19" s="10" t="n">
        <v>117396</v>
      </c>
      <c r="K19" s="10" t="n">
        <v>58787</v>
      </c>
      <c r="L19" s="10" t="n">
        <v>20856</v>
      </c>
      <c r="M19" s="11" t="n">
        <f aca="false">G19/(D19+G19)*100</f>
        <v>9.82194054625019</v>
      </c>
      <c r="N19" s="11" t="n">
        <f aca="false">H19/(E19+H19)*100</f>
        <v>8.16732550797097</v>
      </c>
      <c r="O19" s="11" t="n">
        <f aca="false">I19/(F19+I19)*100</f>
        <v>21.1185259552353</v>
      </c>
      <c r="P19" s="11" t="n">
        <f aca="false">(D19+G19)/C19*100</f>
        <v>37.9314292255738</v>
      </c>
      <c r="Q19" s="11" t="n">
        <f aca="false">D19/C19*100</f>
        <v>34.205826798695</v>
      </c>
      <c r="R19" s="11" t="n">
        <f aca="false">(F19+I19)/(D19+G19)*100</f>
        <v>12.775765806549</v>
      </c>
      <c r="S19" s="10" t="n">
        <v>99651</v>
      </c>
      <c r="T19" s="11" t="n">
        <v>28.486</v>
      </c>
      <c r="U19" s="11" t="n">
        <v>36.198</v>
      </c>
      <c r="V19" s="11" t="n">
        <v>7.413</v>
      </c>
      <c r="W19" s="11" t="n">
        <v>27.151</v>
      </c>
      <c r="X19" s="11" t="n">
        <v>0.752</v>
      </c>
      <c r="Y19" s="11" t="n">
        <f aca="false">W19+X19</f>
        <v>27.903</v>
      </c>
      <c r="Z19" s="11" t="n">
        <v>14.877</v>
      </c>
      <c r="AA19" s="11" t="n">
        <v>9.736</v>
      </c>
      <c r="AB19" s="11" t="n">
        <f aca="false">(100-M19)*(100-Y19)/100</f>
        <v>65.01567552437</v>
      </c>
      <c r="AC19" s="11" t="n">
        <f aca="false">SUMPRODUCT((محلات!$B$2:$B$350=A19)*محلات!$D$2:$D$350*محلات!$H$2:$H$350)/B19</f>
        <v>65.0175079963268</v>
      </c>
      <c r="AD19" s="10" t="n">
        <f aca="false">SUMIF(محلات!$B$2:$B$350,A19,محلات!$P$2:$P$350)</f>
        <v>119521</v>
      </c>
      <c r="AE19" s="11" t="n">
        <f aca="false">(AD19/D19-1)*100</f>
        <v>-0.000836666053116719</v>
      </c>
      <c r="AF19" s="14" t="n">
        <f aca="false">C19/B19</f>
        <v>0.833442655796436</v>
      </c>
    </row>
    <row r="20" customFormat="false" ht="15" hidden="false" customHeight="false" outlineLevel="0" collapsed="false">
      <c r="A20" s="11" t="n">
        <v>19</v>
      </c>
      <c r="B20" s="10" t="n">
        <f aca="false">SUMIF(محلات!$B$2:$B$350,A20,محلات!$D$2:$D$350)</f>
        <v>255533</v>
      </c>
      <c r="C20" s="10" t="n">
        <v>212856</v>
      </c>
      <c r="D20" s="10" t="n">
        <v>72696</v>
      </c>
      <c r="E20" s="10" t="n">
        <v>66065</v>
      </c>
      <c r="F20" s="10" t="n">
        <v>6631</v>
      </c>
      <c r="G20" s="10" t="n">
        <v>7701</v>
      </c>
      <c r="H20" s="10" t="n">
        <v>5718</v>
      </c>
      <c r="I20" s="10" t="n">
        <v>1983</v>
      </c>
      <c r="J20" s="10" t="n">
        <v>73061</v>
      </c>
      <c r="K20" s="10" t="n">
        <v>37051</v>
      </c>
      <c r="L20" s="10" t="n">
        <v>11342</v>
      </c>
      <c r="M20" s="11" t="n">
        <f aca="false">G20/(D20+G20)*100</f>
        <v>9.5787156237173</v>
      </c>
      <c r="N20" s="11" t="n">
        <f aca="false">H20/(E20+H20)*100</f>
        <v>7.96567432400429</v>
      </c>
      <c r="O20" s="11" t="n">
        <f aca="false">I20/(F20+I20)*100</f>
        <v>23.0206640352914</v>
      </c>
      <c r="P20" s="11" t="n">
        <f aca="false">(D20+G20)/C20*100</f>
        <v>37.770605479761</v>
      </c>
      <c r="Q20" s="11" t="n">
        <f aca="false">D20/C20*100</f>
        <v>34.1526665914985</v>
      </c>
      <c r="R20" s="11" t="n">
        <f aca="false">(F20+I20)/(D20+G20)*100</f>
        <v>10.7143301366966</v>
      </c>
      <c r="S20" s="10" t="n">
        <v>83604</v>
      </c>
      <c r="T20" s="11" t="n">
        <v>27.572</v>
      </c>
      <c r="U20" s="11" t="n">
        <v>35.338</v>
      </c>
      <c r="V20" s="11" t="n">
        <v>8.295</v>
      </c>
      <c r="W20" s="11" t="n">
        <v>27.396</v>
      </c>
      <c r="X20" s="11" t="n">
        <v>1.397</v>
      </c>
      <c r="Y20" s="11" t="n">
        <f aca="false">W20+X20</f>
        <v>28.793</v>
      </c>
      <c r="Z20" s="11" t="n">
        <v>12.417</v>
      </c>
      <c r="AA20" s="11" t="n">
        <v>10.642</v>
      </c>
      <c r="AB20" s="11" t="n">
        <f aca="false">(100-M20)*(100-Y20)/100</f>
        <v>64.3862839658196</v>
      </c>
      <c r="AC20" s="11" t="n">
        <f aca="false">SUMPRODUCT((محلات!$B$2:$B$350=A20)*محلات!$D$2:$D$350*محلات!$H$2:$H$350)/B20</f>
        <v>64.3829984691527</v>
      </c>
      <c r="AD20" s="10" t="n">
        <f aca="false">SUMIF(محلات!$B$2:$B$350,A20,محلات!$P$2:$P$350)</f>
        <v>72696</v>
      </c>
      <c r="AE20" s="11" t="n">
        <f aca="false">(AD20/D20-1)*100</f>
        <v>0</v>
      </c>
      <c r="AF20" s="14" t="n">
        <f aca="false">C20/B20</f>
        <v>0.832988302880646</v>
      </c>
    </row>
    <row r="21" customFormat="false" ht="15" hidden="false" customHeight="false" outlineLevel="0" collapsed="false">
      <c r="A21" s="11" t="n">
        <v>20</v>
      </c>
      <c r="B21" s="10" t="n">
        <f aca="false">SUMIF(محلات!$B$2:$B$350,A21,محلات!$D$2:$D$350)</f>
        <v>367429</v>
      </c>
      <c r="C21" s="10" t="n">
        <v>314771</v>
      </c>
      <c r="D21" s="10" t="n">
        <v>104772</v>
      </c>
      <c r="E21" s="10" t="n">
        <v>89400</v>
      </c>
      <c r="F21" s="10" t="n">
        <v>15372</v>
      </c>
      <c r="G21" s="10" t="n">
        <v>11207</v>
      </c>
      <c r="H21" s="10" t="n">
        <v>7807</v>
      </c>
      <c r="I21" s="10" t="n">
        <v>3400</v>
      </c>
      <c r="J21" s="10" t="n">
        <v>99384</v>
      </c>
      <c r="K21" s="10" t="n">
        <v>56279</v>
      </c>
      <c r="L21" s="10" t="n">
        <v>26819</v>
      </c>
      <c r="M21" s="11" t="n">
        <f aca="false">G21/(D21+G21)*100</f>
        <v>9.66295622483381</v>
      </c>
      <c r="N21" s="11" t="n">
        <f aca="false">H21/(E21+H21)*100</f>
        <v>8.03131461726007</v>
      </c>
      <c r="O21" s="11" t="n">
        <f aca="false">I21/(F21+I21)*100</f>
        <v>18.1120818239932</v>
      </c>
      <c r="P21" s="11" t="n">
        <f aca="false">(D21+G21)/C21*100</f>
        <v>36.8455162642048</v>
      </c>
      <c r="Q21" s="11" t="n">
        <f aca="false">D21/C21*100</f>
        <v>33.2851501567806</v>
      </c>
      <c r="R21" s="11" t="n">
        <f aca="false">(F21+I21)/(D21+G21)*100</f>
        <v>16.1856887884876</v>
      </c>
      <c r="S21" s="10" t="n">
        <v>105605</v>
      </c>
      <c r="T21" s="11" t="n">
        <v>33.368</v>
      </c>
      <c r="U21" s="11" t="n">
        <v>34.186</v>
      </c>
      <c r="V21" s="11" t="n">
        <v>7.502</v>
      </c>
      <c r="W21" s="11" t="n">
        <v>24.179</v>
      </c>
      <c r="X21" s="11" t="n">
        <v>0.764</v>
      </c>
      <c r="Y21" s="11" t="n">
        <f aca="false">W21+X21</f>
        <v>24.943</v>
      </c>
      <c r="Z21" s="11" t="n">
        <v>20.953</v>
      </c>
      <c r="AA21" s="11" t="n">
        <v>8.372</v>
      </c>
      <c r="AB21" s="11" t="n">
        <f aca="false">(100-M21)*(100-Y21)/100</f>
        <v>67.8042749463265</v>
      </c>
      <c r="AC21" s="11" t="n">
        <f aca="false">SUMPRODUCT((محلات!$B$2:$B$350=A21)*محلات!$D$2:$D$350*محلات!$H$2:$H$350)/B21</f>
        <v>67.8050034969695</v>
      </c>
      <c r="AD21" s="10" t="n">
        <f aca="false">SUMIF(محلات!$B$2:$B$350,A21,محلات!$P$2:$P$350)</f>
        <v>104757</v>
      </c>
      <c r="AE21" s="11" t="n">
        <f aca="false">(AD21/D21-1)*100</f>
        <v>-0.0143168021990658</v>
      </c>
      <c r="AF21" s="14" t="n">
        <f aca="false">C21/B21</f>
        <v>0.856685237147857</v>
      </c>
    </row>
    <row r="22" customFormat="false" ht="15" hidden="false" customHeight="false" outlineLevel="0" collapsed="false">
      <c r="A22" s="11" t="n">
        <v>21</v>
      </c>
      <c r="B22" s="10" t="n">
        <f aca="false">SUMIF(محلات!$B$2:$B$350,A22,محلات!$D$2:$D$350)</f>
        <v>186319</v>
      </c>
      <c r="C22" s="10" t="n">
        <v>162147</v>
      </c>
      <c r="D22" s="10" t="n">
        <v>51815</v>
      </c>
      <c r="E22" s="10" t="n">
        <v>41720</v>
      </c>
      <c r="F22" s="10" t="n">
        <v>10095</v>
      </c>
      <c r="G22" s="10" t="n">
        <v>8568</v>
      </c>
      <c r="H22" s="10" t="n">
        <v>5205</v>
      </c>
      <c r="I22" s="10" t="n">
        <v>3363</v>
      </c>
      <c r="J22" s="10" t="n">
        <v>47105</v>
      </c>
      <c r="K22" s="10" t="n">
        <v>29034</v>
      </c>
      <c r="L22" s="10" t="n">
        <v>16724</v>
      </c>
      <c r="M22" s="11" t="n">
        <f aca="false">G22/(D22+G22)*100</f>
        <v>14.1894241756786</v>
      </c>
      <c r="N22" s="11" t="n">
        <f aca="false">H22/(E22+H22)*100</f>
        <v>11.092168353756</v>
      </c>
      <c r="O22" s="11" t="n">
        <f aca="false">I22/(F22+I22)*100</f>
        <v>24.9888542131074</v>
      </c>
      <c r="P22" s="11" t="n">
        <f aca="false">(D22+G22)/C22*100</f>
        <v>37.2396652420335</v>
      </c>
      <c r="Q22" s="11" t="n">
        <f aca="false">D22/C22*100</f>
        <v>31.9555711792386</v>
      </c>
      <c r="R22" s="11" t="n">
        <f aca="false">(F22+I22)/(D22+G22)*100</f>
        <v>22.287729990229</v>
      </c>
      <c r="S22" s="10" t="n">
        <v>51681</v>
      </c>
      <c r="T22" s="11" t="n">
        <v>43.783</v>
      </c>
      <c r="U22" s="11" t="n">
        <v>29.566</v>
      </c>
      <c r="V22" s="11" t="n">
        <v>7.757</v>
      </c>
      <c r="W22" s="11" t="n">
        <v>18.455</v>
      </c>
      <c r="X22" s="11" t="n">
        <v>0.438</v>
      </c>
      <c r="Y22" s="11" t="n">
        <f aca="false">W22+X22</f>
        <v>18.893</v>
      </c>
      <c r="Z22" s="11" t="n">
        <v>32.451</v>
      </c>
      <c r="AA22" s="11" t="n">
        <v>5.295</v>
      </c>
      <c r="AB22" s="11" t="n">
        <f aca="false">(100-M22)*(100-Y22)/100</f>
        <v>69.5983837338324</v>
      </c>
      <c r="AC22" s="11" t="n">
        <f aca="false">SUMPRODUCT((محلات!$B$2:$B$350=A22)*محلات!$D$2:$D$350*محلات!$H$2:$H$350)/B22</f>
        <v>69.5977209045884</v>
      </c>
      <c r="AD22" s="10" t="n">
        <f aca="false">SUMIF(محلات!$B$2:$B$350,A22,محلات!$P$2:$P$350)</f>
        <v>51819</v>
      </c>
      <c r="AE22" s="11" t="n">
        <f aca="false">(AD22/D22-1)*100</f>
        <v>0.00771977226672327</v>
      </c>
      <c r="AF22" s="14" t="n">
        <f aca="false">C22/B22</f>
        <v>0.870265512373939</v>
      </c>
    </row>
    <row r="23" customFormat="false" ht="15" hidden="false" customHeight="false" outlineLevel="0" collapsed="false">
      <c r="A23" s="11" t="n">
        <v>22</v>
      </c>
      <c r="B23" s="10" t="n">
        <f aca="false">SUMIF(محلات!$B$2:$B$350,A23,محلات!$D$2:$D$350)</f>
        <v>174227</v>
      </c>
      <c r="C23" s="10" t="n">
        <v>153510</v>
      </c>
      <c r="D23" s="10" t="n">
        <v>48879</v>
      </c>
      <c r="E23" s="10" t="n">
        <v>39647</v>
      </c>
      <c r="F23" s="10" t="n">
        <v>9232</v>
      </c>
      <c r="G23" s="10" t="n">
        <v>7729</v>
      </c>
      <c r="H23" s="10" t="n">
        <v>4405</v>
      </c>
      <c r="I23" s="10" t="n">
        <v>3324</v>
      </c>
      <c r="J23" s="10" t="n">
        <v>41380</v>
      </c>
      <c r="K23" s="10" t="n">
        <v>31688</v>
      </c>
      <c r="L23" s="10" t="n">
        <v>14783</v>
      </c>
      <c r="M23" s="11" t="n">
        <f aca="false">G23/(D23+G23)*100</f>
        <v>13.6535472018089</v>
      </c>
      <c r="N23" s="11" t="n">
        <f aca="false">H23/(E23+H23)*100</f>
        <v>9.99954599110143</v>
      </c>
      <c r="O23" s="11" t="n">
        <f aca="false">I23/(F23+I23)*100</f>
        <v>26.4733991717107</v>
      </c>
      <c r="P23" s="11" t="n">
        <f aca="false">(D23+G23)/C23*100</f>
        <v>36.8757735652401</v>
      </c>
      <c r="Q23" s="11" t="n">
        <f aca="false">D23/C23*100</f>
        <v>31.8409224154778</v>
      </c>
      <c r="R23" s="11" t="n">
        <f aca="false">(F23+I23)/(D23+G23)*100</f>
        <v>22.1806105144149</v>
      </c>
      <c r="S23" s="10" t="n">
        <v>35913</v>
      </c>
      <c r="T23" s="11" t="n">
        <v>41.164</v>
      </c>
      <c r="U23" s="11" t="n">
        <v>26.569</v>
      </c>
      <c r="V23" s="11" t="n">
        <v>10.743</v>
      </c>
      <c r="W23" s="11" t="n">
        <v>20.956</v>
      </c>
      <c r="X23" s="11" t="n">
        <v>0.565</v>
      </c>
      <c r="Y23" s="11" t="n">
        <f aca="false">W23+X23</f>
        <v>21.521</v>
      </c>
      <c r="Z23" s="11" t="n">
        <v>32.416</v>
      </c>
      <c r="AA23" s="11" t="n">
        <v>6.651</v>
      </c>
      <c r="AB23" s="11" t="n">
        <f aca="false">(100-M23)*(100-Y23)/100</f>
        <v>67.7638326914924</v>
      </c>
      <c r="AC23" s="11" t="n">
        <f aca="false">SUMPRODUCT((محلات!$B$2:$B$350=A23)*محلات!$D$2:$D$350*محلات!$H$2:$H$350)/B23</f>
        <v>67.7654093088901</v>
      </c>
      <c r="AD23" s="10" t="n">
        <f aca="false">SUMIF(محلات!$B$2:$B$350,A23,محلات!$P$2:$P$350)</f>
        <v>48878</v>
      </c>
      <c r="AE23" s="11" t="n">
        <f aca="false">(AD23/D23-1)*100</f>
        <v>-0.00204586836882736</v>
      </c>
      <c r="AF23" s="14" t="n">
        <f aca="false">C23/B23</f>
        <v>0.881091908831582</v>
      </c>
    </row>
    <row r="24" customFormat="false" ht="15" hidden="false" customHeight="false" outlineLevel="0" collapsed="false">
      <c r="A24" s="2" t="s">
        <v>523</v>
      </c>
      <c r="B24" s="6" t="n">
        <f aca="false">SUM(B2:B23)</f>
        <v>8627281</v>
      </c>
      <c r="C24" s="6" t="n">
        <f aca="false">SUM(C2:C23)</f>
        <v>7644828</v>
      </c>
      <c r="D24" s="6" t="n">
        <f aca="false">SUM(D2:D23)</f>
        <v>2546775</v>
      </c>
      <c r="E24" s="6" t="n">
        <f aca="false">SUM(E2:E23)</f>
        <v>2040876</v>
      </c>
      <c r="F24" s="6" t="n">
        <f aca="false">SUM(F2:F23)</f>
        <v>505899</v>
      </c>
      <c r="G24" s="6" t="n">
        <f aca="false">SUM(G2:G23)</f>
        <v>330922</v>
      </c>
      <c r="H24" s="6" t="n">
        <f aca="false">SUM(H2:H23)</f>
        <v>198511</v>
      </c>
      <c r="I24" s="6" t="n">
        <f aca="false">SUM(I2:I23)</f>
        <v>132411</v>
      </c>
      <c r="J24" s="6" t="n">
        <f aca="false">SUM(J2:J23)</f>
        <v>2173499</v>
      </c>
      <c r="K24" s="6" t="n">
        <f aca="false">SUM(K2:K23)</f>
        <v>1392101</v>
      </c>
      <c r="L24" s="6" t="n">
        <f aca="false">SUM(L2:L23)</f>
        <v>729447</v>
      </c>
      <c r="M24" s="7" t="n">
        <f aca="false">G24/(D24+G24)*100</f>
        <v>11.4995428636163</v>
      </c>
      <c r="P24" s="7" t="n">
        <f aca="false">(D24+G24)/C24*100</f>
        <v>37.642403465454</v>
      </c>
      <c r="Q24" s="7" t="n">
        <f aca="false">D24/C24*100</f>
        <v>33.3136991440488</v>
      </c>
      <c r="S24" s="6" t="n">
        <f aca="false">SUM(S2:S23)</f>
        <v>2629106</v>
      </c>
      <c r="AD24" s="6" t="n">
        <f aca="false">SUM(AD2:AD23)</f>
        <v>2546746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0.85" hidden="false" customHeight="false" outlineLevel="0" collapsed="false">
      <c r="A1" s="1" t="s">
        <v>524</v>
      </c>
    </row>
    <row r="3" customFormat="false" ht="60" hidden="false" customHeight="true" outlineLevel="0" collapsed="false">
      <c r="A3" s="9" t="s">
        <v>525</v>
      </c>
      <c r="B3" s="9" t="s">
        <v>526</v>
      </c>
      <c r="C3" s="9" t="s">
        <v>527</v>
      </c>
      <c r="D3" s="15" t="s">
        <v>528</v>
      </c>
      <c r="E3" s="9" t="s">
        <v>529</v>
      </c>
      <c r="F3" s="9" t="s">
        <v>530</v>
      </c>
      <c r="G3" s="9" t="s">
        <v>531</v>
      </c>
    </row>
    <row r="4" customFormat="false" ht="16.4" hidden="false" customHeight="false" outlineLevel="0" collapsed="false">
      <c r="A4" s="3" t="s">
        <v>532</v>
      </c>
      <c r="B4" s="3" t="n">
        <v>0.191</v>
      </c>
      <c r="C4" s="3" t="n">
        <v>0.075</v>
      </c>
      <c r="D4" s="3" t="n">
        <v>0.247</v>
      </c>
      <c r="E4" s="3" t="n">
        <v>0.488</v>
      </c>
      <c r="F4" s="3" t="n">
        <v>1.28</v>
      </c>
      <c r="G4" s="3" t="s">
        <v>533</v>
      </c>
    </row>
    <row r="5" customFormat="false" ht="16.4" hidden="false" customHeight="false" outlineLevel="0" collapsed="false">
      <c r="A5" s="3" t="s">
        <v>534</v>
      </c>
      <c r="B5" s="3" t="n">
        <v>-0.028</v>
      </c>
      <c r="C5" s="3" t="n">
        <v>0.019</v>
      </c>
      <c r="D5" s="3" t="n">
        <v>0.094</v>
      </c>
      <c r="E5" s="3" t="n">
        <v>-0.307</v>
      </c>
      <c r="F5" s="3" t="n">
        <v>0.68</v>
      </c>
      <c r="G5" s="3" t="s">
        <v>533</v>
      </c>
    </row>
    <row r="6" customFormat="false" ht="15" hidden="false" customHeight="false" outlineLevel="0" collapsed="false">
      <c r="A6" s="3" t="s">
        <v>535</v>
      </c>
      <c r="B6" s="3" t="n">
        <v>-0.057</v>
      </c>
      <c r="C6" s="3" t="n">
        <v>0.022</v>
      </c>
      <c r="D6" s="3" t="n">
        <v>0.257</v>
      </c>
      <c r="E6" s="3" t="n">
        <v>-0.507</v>
      </c>
      <c r="F6" s="3" t="n">
        <v>0.78</v>
      </c>
      <c r="G6" s="3" t="s">
        <v>536</v>
      </c>
    </row>
    <row r="7" customFormat="false" ht="16.4" hidden="false" customHeight="false" outlineLevel="0" collapsed="false">
      <c r="A7" s="3" t="s">
        <v>537</v>
      </c>
      <c r="B7" s="3" t="n">
        <v>0.075</v>
      </c>
      <c r="C7" s="3" t="n">
        <v>0.136</v>
      </c>
      <c r="D7" s="3" t="n">
        <v>0.015</v>
      </c>
      <c r="E7" s="3" t="n">
        <v>0.107</v>
      </c>
      <c r="F7" s="3" t="n">
        <v>4.77</v>
      </c>
      <c r="G7" s="3" t="s">
        <v>533</v>
      </c>
    </row>
    <row r="8" customFormat="false" ht="15" hidden="false" customHeight="false" outlineLevel="0" collapsed="false">
      <c r="A8" s="3" t="s">
        <v>538</v>
      </c>
      <c r="B8" s="3" t="n">
        <v>-0.427</v>
      </c>
      <c r="C8" s="3" t="n">
        <v>0.091</v>
      </c>
      <c r="D8" s="3" t="n">
        <v>0.524</v>
      </c>
      <c r="E8" s="3" t="n">
        <v>-0.717</v>
      </c>
      <c r="F8" s="3" t="n">
        <v>2.63</v>
      </c>
      <c r="G8" s="3" t="s">
        <v>536</v>
      </c>
    </row>
    <row r="9" customFormat="false" ht="15" hidden="false" customHeight="false" outlineLevel="0" collapsed="false">
      <c r="A9" s="3" t="s">
        <v>539</v>
      </c>
      <c r="B9" s="3" t="n">
        <v>1.508</v>
      </c>
      <c r="C9" s="3" t="n">
        <v>0.175</v>
      </c>
      <c r="D9" s="3" t="n">
        <v>0.788</v>
      </c>
      <c r="E9" s="3" t="n">
        <v>0.902</v>
      </c>
      <c r="F9" s="3" t="n">
        <v>5.54</v>
      </c>
      <c r="G9" s="3" t="s">
        <v>536</v>
      </c>
    </row>
    <row r="10" customFormat="false" ht="15" hidden="false" customHeight="false" outlineLevel="0" collapsed="false">
      <c r="A10" s="3" t="s">
        <v>540</v>
      </c>
      <c r="B10" s="3" t="n">
        <v>-0.536</v>
      </c>
      <c r="C10" s="3" t="n">
        <v>0.172</v>
      </c>
      <c r="D10" s="3" t="n">
        <v>0.325</v>
      </c>
      <c r="E10" s="3" t="n">
        <v>-0.57</v>
      </c>
      <c r="F10" s="3" t="n">
        <v>1.77</v>
      </c>
      <c r="G10" s="3" t="s">
        <v>536</v>
      </c>
    </row>
    <row r="11" customFormat="false" ht="15" hidden="false" customHeight="false" outlineLevel="0" collapsed="false">
      <c r="A11" s="3" t="s">
        <v>541</v>
      </c>
      <c r="B11" s="3" t="n">
        <v>0.239</v>
      </c>
      <c r="C11" s="3" t="n">
        <v>0.049</v>
      </c>
      <c r="D11" s="3" t="n">
        <v>0.539</v>
      </c>
      <c r="E11" s="3" t="n">
        <v>0.732</v>
      </c>
      <c r="F11" s="3" t="n">
        <v>1.98</v>
      </c>
      <c r="G11" s="3" t="s">
        <v>536</v>
      </c>
    </row>
    <row r="12" customFormat="false" ht="16.4" hidden="false" customHeight="false" outlineLevel="0" collapsed="false">
      <c r="A12" s="3" t="s">
        <v>542</v>
      </c>
      <c r="B12" s="3" t="n">
        <v>-0.079</v>
      </c>
      <c r="C12" s="3" t="n">
        <v>0.075</v>
      </c>
      <c r="D12" s="3" t="n">
        <v>0.053</v>
      </c>
      <c r="E12" s="3" t="n">
        <v>-0.231</v>
      </c>
      <c r="F12" s="3" t="n">
        <v>1.87</v>
      </c>
      <c r="G12" s="3" t="s">
        <v>533</v>
      </c>
    </row>
    <row r="13" customFormat="false" ht="16.4" hidden="false" customHeight="false" outlineLevel="0" collapsed="false">
      <c r="A13" s="3" t="s">
        <v>543</v>
      </c>
      <c r="B13" s="3" t="n">
        <v>0.108</v>
      </c>
      <c r="C13" s="3" t="n">
        <v>0.065</v>
      </c>
      <c r="D13" s="3" t="n">
        <v>0.122</v>
      </c>
      <c r="E13" s="3" t="n">
        <v>0.341</v>
      </c>
      <c r="F13" s="3" t="n">
        <v>0.9</v>
      </c>
      <c r="G13" s="3" t="s">
        <v>533</v>
      </c>
    </row>
    <row r="16" customFormat="false" ht="36" hidden="false" customHeight="true" outlineLevel="0" collapsed="false">
      <c r="A16" s="8" t="s">
        <v>544</v>
      </c>
      <c r="B16" s="8"/>
      <c r="C16" s="8"/>
      <c r="D16" s="8"/>
      <c r="E16" s="8"/>
      <c r="F16" s="8"/>
      <c r="G16" s="8"/>
    </row>
    <row r="17" customFormat="false" ht="36" hidden="false" customHeight="true" outlineLevel="0" collapsed="false">
      <c r="A17" s="8" t="s">
        <v>545</v>
      </c>
      <c r="B17" s="8"/>
      <c r="C17" s="8"/>
      <c r="D17" s="8"/>
      <c r="E17" s="8"/>
      <c r="F17" s="8"/>
      <c r="G17" s="8"/>
    </row>
    <row r="18" customFormat="false" ht="36" hidden="false" customHeight="true" outlineLevel="0" collapsed="false">
      <c r="A18" s="8" t="s">
        <v>546</v>
      </c>
      <c r="B18" s="8"/>
      <c r="C18" s="8"/>
      <c r="D18" s="8"/>
      <c r="E18" s="8"/>
      <c r="F18" s="8"/>
      <c r="G18" s="8"/>
    </row>
    <row r="19" customFormat="false" ht="36" hidden="false" customHeight="true" outlineLevel="0" collapsed="false">
      <c r="A19" s="8" t="s">
        <v>547</v>
      </c>
      <c r="B19" s="8"/>
      <c r="C19" s="8"/>
      <c r="D19" s="8"/>
      <c r="E19" s="8"/>
      <c r="F19" s="8"/>
      <c r="G19" s="8"/>
    </row>
    <row r="20" customFormat="false" ht="36" hidden="false" customHeight="true" outlineLevel="0" collapsed="false">
      <c r="A20" s="8" t="s">
        <v>548</v>
      </c>
      <c r="B20" s="8"/>
      <c r="C20" s="8"/>
      <c r="D20" s="8"/>
      <c r="E20" s="8"/>
      <c r="F20" s="8"/>
      <c r="G20" s="8"/>
    </row>
  </sheetData>
  <mergeCells count="5"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19" min="2" style="0" width="12"/>
  </cols>
  <sheetData>
    <row r="1" customFormat="false" ht="60" hidden="false" customHeight="true" outlineLevel="0" collapsed="false">
      <c r="A1" s="9" t="s">
        <v>30</v>
      </c>
      <c r="B1" s="9" t="s">
        <v>549</v>
      </c>
      <c r="C1" s="9" t="s">
        <v>550</v>
      </c>
      <c r="D1" s="9" t="s">
        <v>551</v>
      </c>
      <c r="E1" s="9" t="s">
        <v>552</v>
      </c>
      <c r="F1" s="9" t="s">
        <v>553</v>
      </c>
      <c r="G1" s="9" t="s">
        <v>554</v>
      </c>
      <c r="H1" s="9" t="s">
        <v>555</v>
      </c>
      <c r="I1" s="9" t="s">
        <v>556</v>
      </c>
      <c r="J1" s="9" t="s">
        <v>557</v>
      </c>
      <c r="K1" s="9" t="s">
        <v>558</v>
      </c>
      <c r="L1" s="9" t="s">
        <v>559</v>
      </c>
      <c r="M1" s="9" t="s">
        <v>560</v>
      </c>
      <c r="N1" s="9" t="s">
        <v>561</v>
      </c>
      <c r="O1" s="9" t="s">
        <v>562</v>
      </c>
      <c r="P1" s="9" t="s">
        <v>563</v>
      </c>
      <c r="Q1" s="9" t="s">
        <v>564</v>
      </c>
      <c r="R1" s="9" t="s">
        <v>565</v>
      </c>
      <c r="S1" s="9" t="s">
        <v>566</v>
      </c>
    </row>
    <row r="2" customFormat="false" ht="15" hidden="false" customHeight="false" outlineLevel="0" collapsed="false">
      <c r="A2" s="10" t="n">
        <v>1</v>
      </c>
      <c r="B2" s="10" t="n">
        <v>122374</v>
      </c>
      <c r="C2" s="10" t="n">
        <v>77967</v>
      </c>
      <c r="D2" s="10" t="n">
        <v>20284</v>
      </c>
      <c r="E2" s="10" t="n">
        <v>22571</v>
      </c>
      <c r="F2" s="10" t="n">
        <v>34374</v>
      </c>
      <c r="G2" s="10" t="n">
        <v>738</v>
      </c>
      <c r="H2" s="10" t="n">
        <v>41433</v>
      </c>
      <c r="I2" s="10" t="n">
        <v>2974</v>
      </c>
      <c r="J2" s="10" t="n">
        <v>17009</v>
      </c>
      <c r="K2" s="10" t="n">
        <v>30987</v>
      </c>
      <c r="L2" s="10" t="n">
        <v>11515</v>
      </c>
      <c r="M2" s="10" t="n">
        <v>7647</v>
      </c>
      <c r="N2" s="10" t="n">
        <v>20844</v>
      </c>
      <c r="O2" s="10" t="n">
        <v>452</v>
      </c>
      <c r="P2" s="10" t="n">
        <v>9206</v>
      </c>
      <c r="Q2" s="10" t="n">
        <v>4966</v>
      </c>
      <c r="R2" s="10" t="n">
        <v>7564</v>
      </c>
      <c r="S2" s="10" t="n">
        <v>12184</v>
      </c>
    </row>
    <row r="3" customFormat="false" ht="15" hidden="false" customHeight="false" outlineLevel="0" collapsed="false">
      <c r="A3" s="10" t="n">
        <v>2</v>
      </c>
      <c r="B3" s="10" t="n">
        <v>209644</v>
      </c>
      <c r="C3" s="10" t="n">
        <v>135938</v>
      </c>
      <c r="D3" s="10" t="n">
        <v>26994</v>
      </c>
      <c r="E3" s="10" t="n">
        <v>35001</v>
      </c>
      <c r="F3" s="10" t="n">
        <v>72677</v>
      </c>
      <c r="G3" s="10" t="n">
        <v>1266</v>
      </c>
      <c r="H3" s="10" t="n">
        <v>68984</v>
      </c>
      <c r="I3" s="10" t="n">
        <v>4722</v>
      </c>
      <c r="J3" s="10" t="n">
        <v>27788</v>
      </c>
      <c r="K3" s="10" t="n">
        <v>60206</v>
      </c>
      <c r="L3" s="10" t="n">
        <v>26295</v>
      </c>
      <c r="M3" s="10" t="n">
        <v>16268</v>
      </c>
      <c r="N3" s="10" t="n">
        <v>33737</v>
      </c>
      <c r="O3" s="10" t="n">
        <v>1086</v>
      </c>
      <c r="P3" s="10" t="n">
        <v>18611</v>
      </c>
      <c r="Q3" s="10" t="n">
        <v>10798</v>
      </c>
      <c r="R3" s="10" t="n">
        <v>7024</v>
      </c>
      <c r="S3" s="10" t="n">
        <v>7829</v>
      </c>
    </row>
    <row r="4" customFormat="false" ht="15" hidden="false" customHeight="false" outlineLevel="0" collapsed="false">
      <c r="A4" s="10" t="n">
        <v>3</v>
      </c>
      <c r="B4" s="10" t="n">
        <v>100463</v>
      </c>
      <c r="C4" s="10" t="n">
        <v>71463</v>
      </c>
      <c r="D4" s="10" t="n">
        <v>20254</v>
      </c>
      <c r="E4" s="10" t="n">
        <v>14797</v>
      </c>
      <c r="F4" s="10" t="n">
        <v>35506</v>
      </c>
      <c r="G4" s="10" t="n">
        <v>905</v>
      </c>
      <c r="H4" s="10" t="n">
        <v>26576</v>
      </c>
      <c r="I4" s="10" t="n">
        <v>2424</v>
      </c>
      <c r="J4" s="10" t="n">
        <v>16230</v>
      </c>
      <c r="K4" s="10" t="n">
        <v>30639</v>
      </c>
      <c r="L4" s="10" t="n">
        <v>9081</v>
      </c>
      <c r="M4" s="10" t="n">
        <v>5561</v>
      </c>
      <c r="N4" s="10" t="n">
        <v>17579</v>
      </c>
      <c r="O4" s="10" t="n">
        <v>510</v>
      </c>
      <c r="P4" s="10" t="n">
        <v>6934</v>
      </c>
      <c r="Q4" s="10" t="n">
        <v>3659</v>
      </c>
      <c r="R4" s="10" t="n">
        <v>4927</v>
      </c>
      <c r="S4" s="10" t="n">
        <v>5343</v>
      </c>
    </row>
    <row r="5" customFormat="false" ht="15" hidden="false" customHeight="false" outlineLevel="0" collapsed="false">
      <c r="A5" s="10" t="n">
        <v>4</v>
      </c>
      <c r="B5" s="10" t="n">
        <v>277017</v>
      </c>
      <c r="C5" s="10" t="n">
        <v>185289</v>
      </c>
      <c r="D5" s="10" t="n">
        <v>31185</v>
      </c>
      <c r="E5" s="10" t="n">
        <v>60067</v>
      </c>
      <c r="F5" s="10" t="n">
        <v>93221</v>
      </c>
      <c r="G5" s="10" t="n">
        <v>815</v>
      </c>
      <c r="H5" s="10" t="n">
        <v>85569</v>
      </c>
      <c r="I5" s="10" t="n">
        <v>6160</v>
      </c>
      <c r="J5" s="10" t="n">
        <v>15519</v>
      </c>
      <c r="K5" s="10" t="n">
        <v>43554</v>
      </c>
      <c r="L5" s="10" t="n">
        <v>26277</v>
      </c>
      <c r="M5" s="10" t="n">
        <v>21477</v>
      </c>
      <c r="N5" s="10" t="n">
        <v>42566</v>
      </c>
      <c r="O5" s="10" t="n">
        <v>980</v>
      </c>
      <c r="P5" s="10" t="n">
        <v>64551</v>
      </c>
      <c r="Q5" s="10" t="n">
        <v>28286</v>
      </c>
      <c r="R5" s="10" t="n">
        <v>11027</v>
      </c>
      <c r="S5" s="10" t="n">
        <v>22779</v>
      </c>
    </row>
    <row r="6" customFormat="false" ht="15" hidden="false" customHeight="false" outlineLevel="0" collapsed="false">
      <c r="A6" s="10" t="n">
        <v>5</v>
      </c>
      <c r="B6" s="10" t="n">
        <v>240504</v>
      </c>
      <c r="C6" s="10" t="n">
        <v>149414</v>
      </c>
      <c r="D6" s="10" t="n">
        <v>30481</v>
      </c>
      <c r="E6" s="10" t="n">
        <v>40202</v>
      </c>
      <c r="F6" s="10" t="n">
        <v>77463</v>
      </c>
      <c r="G6" s="10" t="n">
        <v>1268</v>
      </c>
      <c r="H6" s="10" t="n">
        <v>86415</v>
      </c>
      <c r="I6" s="10" t="n">
        <v>4675</v>
      </c>
      <c r="J6" s="10" t="n">
        <v>23474</v>
      </c>
      <c r="K6" s="10" t="n">
        <v>58068</v>
      </c>
      <c r="L6" s="10" t="n">
        <v>33218</v>
      </c>
      <c r="M6" s="10" t="n">
        <v>21159</v>
      </c>
      <c r="N6" s="10" t="n">
        <v>38147</v>
      </c>
      <c r="O6" s="10" t="n">
        <v>1235</v>
      </c>
      <c r="P6" s="10" t="n">
        <v>28539</v>
      </c>
      <c r="Q6" s="10" t="n">
        <v>18034</v>
      </c>
      <c r="R6" s="10" t="n">
        <v>7354</v>
      </c>
      <c r="S6" s="10" t="n">
        <v>11277</v>
      </c>
    </row>
    <row r="7" customFormat="false" ht="15" hidden="false" customHeight="false" outlineLevel="0" collapsed="false">
      <c r="A7" s="10" t="n">
        <v>6</v>
      </c>
      <c r="B7" s="10" t="n">
        <v>80451</v>
      </c>
      <c r="C7" s="10" t="n">
        <v>49298</v>
      </c>
      <c r="D7" s="10" t="n">
        <v>10183</v>
      </c>
      <c r="E7" s="10" t="n">
        <v>12549</v>
      </c>
      <c r="F7" s="10" t="n">
        <v>25928</v>
      </c>
      <c r="G7" s="10" t="n">
        <v>639</v>
      </c>
      <c r="H7" s="10" t="n">
        <v>29289</v>
      </c>
      <c r="I7" s="10" t="n">
        <v>1864</v>
      </c>
      <c r="J7" s="10" t="n">
        <v>8571</v>
      </c>
      <c r="K7" s="10" t="n">
        <v>25009</v>
      </c>
      <c r="L7" s="10" t="n">
        <v>8845</v>
      </c>
      <c r="M7" s="10" t="n">
        <v>6911</v>
      </c>
      <c r="N7" s="10" t="n">
        <v>13387</v>
      </c>
      <c r="O7" s="10" t="n">
        <v>304</v>
      </c>
      <c r="P7" s="10" t="n">
        <v>5278</v>
      </c>
      <c r="Q7" s="10" t="n">
        <v>2509</v>
      </c>
      <c r="R7" s="10" t="n">
        <v>3385</v>
      </c>
      <c r="S7" s="10" t="n">
        <v>6251</v>
      </c>
    </row>
    <row r="8" customFormat="false" ht="15" hidden="false" customHeight="false" outlineLevel="0" collapsed="false">
      <c r="A8" s="10" t="n">
        <v>7</v>
      </c>
      <c r="B8" s="10" t="n">
        <v>110064</v>
      </c>
      <c r="C8" s="10" t="n">
        <v>70562</v>
      </c>
      <c r="D8" s="10" t="n">
        <v>10698</v>
      </c>
      <c r="E8" s="10" t="n">
        <v>20820</v>
      </c>
      <c r="F8" s="10" t="n">
        <v>38691</v>
      </c>
      <c r="G8" s="10" t="n">
        <v>353</v>
      </c>
      <c r="H8" s="10" t="n">
        <v>37634</v>
      </c>
      <c r="I8" s="10" t="n">
        <v>1868</v>
      </c>
      <c r="J8" s="10" t="n">
        <v>6842</v>
      </c>
      <c r="K8" s="10" t="n">
        <v>24517</v>
      </c>
      <c r="L8" s="10" t="n">
        <v>13260</v>
      </c>
      <c r="M8" s="10" t="n">
        <v>11584</v>
      </c>
      <c r="N8" s="10" t="n">
        <v>17860</v>
      </c>
      <c r="O8" s="10" t="n">
        <v>152</v>
      </c>
      <c r="P8" s="10" t="n">
        <v>16281</v>
      </c>
      <c r="Q8" s="10" t="n">
        <v>8093</v>
      </c>
      <c r="R8" s="10" t="n">
        <v>4278</v>
      </c>
      <c r="S8" s="10" t="n">
        <v>7197</v>
      </c>
    </row>
    <row r="9" customFormat="false" ht="15" hidden="false" customHeight="false" outlineLevel="0" collapsed="false">
      <c r="A9" s="10" t="n">
        <v>8</v>
      </c>
      <c r="B9" s="10" t="n">
        <v>130949</v>
      </c>
      <c r="C9" s="10" t="n">
        <v>84796</v>
      </c>
      <c r="D9" s="10" t="n">
        <v>14216</v>
      </c>
      <c r="E9" s="10" t="n">
        <v>25239</v>
      </c>
      <c r="F9" s="10" t="n">
        <v>44804</v>
      </c>
      <c r="G9" s="10" t="n">
        <v>536</v>
      </c>
      <c r="H9" s="10" t="n">
        <v>44072</v>
      </c>
      <c r="I9" s="10" t="n">
        <v>2082</v>
      </c>
      <c r="J9" s="10" t="n">
        <v>7376</v>
      </c>
      <c r="K9" s="10" t="n">
        <v>23230</v>
      </c>
      <c r="L9" s="10" t="n">
        <v>15753</v>
      </c>
      <c r="M9" s="10" t="n">
        <v>14165</v>
      </c>
      <c r="N9" s="10" t="n">
        <v>20342</v>
      </c>
      <c r="O9" s="10" t="n">
        <v>322</v>
      </c>
      <c r="P9" s="10" t="n">
        <v>25040</v>
      </c>
      <c r="Q9" s="10" t="n">
        <v>13891</v>
      </c>
      <c r="R9" s="10" t="n">
        <v>4806</v>
      </c>
      <c r="S9" s="10" t="n">
        <v>6025</v>
      </c>
    </row>
    <row r="10" customFormat="false" ht="15" hidden="false" customHeight="false" outlineLevel="0" collapsed="false">
      <c r="A10" s="10" t="n">
        <v>9</v>
      </c>
      <c r="B10" s="10" t="n">
        <v>55678</v>
      </c>
      <c r="C10" s="10" t="n">
        <v>29505</v>
      </c>
      <c r="D10" s="10" t="n">
        <v>4266</v>
      </c>
      <c r="E10" s="10" t="n">
        <v>9711</v>
      </c>
      <c r="F10" s="10" t="n">
        <v>15448</v>
      </c>
      <c r="G10" s="10" t="n">
        <v>80</v>
      </c>
      <c r="H10" s="10" t="n">
        <v>25459</v>
      </c>
      <c r="I10" s="10" t="n">
        <v>714</v>
      </c>
      <c r="J10" s="10" t="n">
        <v>1797</v>
      </c>
      <c r="K10" s="10" t="n">
        <v>6222</v>
      </c>
      <c r="L10" s="10" t="n">
        <v>4690</v>
      </c>
      <c r="M10" s="10" t="n">
        <v>5041</v>
      </c>
      <c r="N10" s="10" t="n">
        <v>8065</v>
      </c>
      <c r="O10" s="10" t="n">
        <v>79</v>
      </c>
      <c r="P10" s="10" t="n">
        <v>11670</v>
      </c>
      <c r="Q10" s="10" t="n">
        <v>5555</v>
      </c>
      <c r="R10" s="10" t="n">
        <v>3259</v>
      </c>
      <c r="S10" s="10" t="n">
        <v>9299</v>
      </c>
    </row>
    <row r="11" customFormat="false" ht="15" hidden="false" customHeight="false" outlineLevel="0" collapsed="false">
      <c r="A11" s="10" t="n">
        <v>10</v>
      </c>
      <c r="B11" s="10" t="n">
        <v>108470</v>
      </c>
      <c r="C11" s="10" t="n">
        <v>66852</v>
      </c>
      <c r="D11" s="10" t="n">
        <v>9160</v>
      </c>
      <c r="E11" s="10" t="n">
        <v>21774</v>
      </c>
      <c r="F11" s="10" t="n">
        <v>35231</v>
      </c>
      <c r="G11" s="10" t="n">
        <v>686</v>
      </c>
      <c r="H11" s="10" t="n">
        <v>40151</v>
      </c>
      <c r="I11" s="10" t="n">
        <v>1467</v>
      </c>
      <c r="J11" s="10" t="n">
        <v>3349</v>
      </c>
      <c r="K11" s="10" t="n">
        <v>16556</v>
      </c>
      <c r="L11" s="10" t="n">
        <v>13860</v>
      </c>
      <c r="M11" s="10" t="n">
        <v>13615</v>
      </c>
      <c r="N11" s="10" t="n">
        <v>19334</v>
      </c>
      <c r="O11" s="10" t="n">
        <v>251</v>
      </c>
      <c r="P11" s="10" t="n">
        <v>18852</v>
      </c>
      <c r="Q11" s="10" t="n">
        <v>12513</v>
      </c>
      <c r="R11" s="10" t="n">
        <v>5235</v>
      </c>
      <c r="S11" s="10" t="n">
        <v>4904</v>
      </c>
    </row>
    <row r="12" customFormat="false" ht="15" hidden="false" customHeight="false" outlineLevel="0" collapsed="false">
      <c r="A12" s="10" t="n">
        <v>11</v>
      </c>
      <c r="B12" s="10" t="n">
        <v>98208</v>
      </c>
      <c r="C12" s="10" t="n">
        <v>60849</v>
      </c>
      <c r="D12" s="10" t="n">
        <v>8168</v>
      </c>
      <c r="E12" s="10" t="n">
        <v>21862</v>
      </c>
      <c r="F12" s="10" t="n">
        <v>30331</v>
      </c>
      <c r="G12" s="10" t="n">
        <v>489</v>
      </c>
      <c r="H12" s="10" t="n">
        <v>35787</v>
      </c>
      <c r="I12" s="10" t="n">
        <v>1572</v>
      </c>
      <c r="J12" s="10" t="n">
        <v>3661</v>
      </c>
      <c r="K12" s="10" t="n">
        <v>15036</v>
      </c>
      <c r="L12" s="10" t="n">
        <v>11588</v>
      </c>
      <c r="M12" s="10" t="n">
        <v>9149</v>
      </c>
      <c r="N12" s="10" t="n">
        <v>21263</v>
      </c>
      <c r="O12" s="10" t="n">
        <v>154</v>
      </c>
      <c r="P12" s="10" t="n">
        <v>13761</v>
      </c>
      <c r="Q12" s="10" t="n">
        <v>9428</v>
      </c>
      <c r="R12" s="10" t="n">
        <v>4801</v>
      </c>
      <c r="S12" s="10" t="n">
        <v>9367</v>
      </c>
    </row>
    <row r="13" customFormat="false" ht="15" hidden="false" customHeight="false" outlineLevel="0" collapsed="false">
      <c r="A13" s="10" t="n">
        <v>12</v>
      </c>
      <c r="B13" s="10" t="n">
        <v>85773</v>
      </c>
      <c r="C13" s="10" t="n">
        <v>65077</v>
      </c>
      <c r="D13" s="10" t="n">
        <v>8931</v>
      </c>
      <c r="E13" s="10" t="n">
        <v>24182</v>
      </c>
      <c r="F13" s="10" t="n">
        <v>31279</v>
      </c>
      <c r="G13" s="10" t="n">
        <v>684</v>
      </c>
      <c r="H13" s="10" t="n">
        <v>19293</v>
      </c>
      <c r="I13" s="10" t="n">
        <v>1403</v>
      </c>
      <c r="J13" s="10" t="n">
        <v>3099</v>
      </c>
      <c r="K13" s="10" t="n">
        <v>9415</v>
      </c>
      <c r="L13" s="10" t="n">
        <v>6804</v>
      </c>
      <c r="M13" s="10" t="n">
        <v>5464</v>
      </c>
      <c r="N13" s="10" t="n">
        <v>22408</v>
      </c>
      <c r="O13" s="10" t="n">
        <v>120</v>
      </c>
      <c r="P13" s="10" t="n">
        <v>19441</v>
      </c>
      <c r="Q13" s="10" t="n">
        <v>6892</v>
      </c>
      <c r="R13" s="10" t="n">
        <v>9321</v>
      </c>
      <c r="S13" s="10" t="n">
        <v>2809</v>
      </c>
    </row>
    <row r="14" customFormat="false" ht="15" hidden="false" customHeight="false" outlineLevel="0" collapsed="false">
      <c r="A14" s="10" t="n">
        <v>13</v>
      </c>
      <c r="B14" s="10" t="n">
        <v>89396</v>
      </c>
      <c r="C14" s="10" t="n">
        <v>57278</v>
      </c>
      <c r="D14" s="10" t="n">
        <v>9928</v>
      </c>
      <c r="E14" s="10" t="n">
        <v>20132</v>
      </c>
      <c r="F14" s="10" t="n">
        <v>26543</v>
      </c>
      <c r="G14" s="10" t="n">
        <v>674</v>
      </c>
      <c r="H14" s="10" t="n">
        <v>30807</v>
      </c>
      <c r="I14" s="10" t="n">
        <v>1311</v>
      </c>
      <c r="J14" s="10" t="n">
        <v>4140</v>
      </c>
      <c r="K14" s="10" t="n">
        <v>14460</v>
      </c>
      <c r="L14" s="10" t="n">
        <v>9218</v>
      </c>
      <c r="M14" s="10" t="n">
        <v>8060</v>
      </c>
      <c r="N14" s="10" t="n">
        <v>17983</v>
      </c>
      <c r="O14" s="10" t="n">
        <v>188</v>
      </c>
      <c r="P14" s="10" t="n">
        <v>15437</v>
      </c>
      <c r="Q14" s="10" t="n">
        <v>8870</v>
      </c>
      <c r="R14" s="10" t="n">
        <v>3694</v>
      </c>
      <c r="S14" s="10" t="n">
        <v>7347</v>
      </c>
    </row>
    <row r="15" customFormat="false" ht="15" hidden="false" customHeight="false" outlineLevel="0" collapsed="false">
      <c r="A15" s="10" t="n">
        <v>14</v>
      </c>
      <c r="B15" s="10" t="n">
        <v>171532</v>
      </c>
      <c r="C15" s="10" t="n">
        <v>102766</v>
      </c>
      <c r="D15" s="10" t="n">
        <v>18553</v>
      </c>
      <c r="E15" s="10" t="n">
        <v>37439</v>
      </c>
      <c r="F15" s="10" t="n">
        <v>46075</v>
      </c>
      <c r="G15" s="10" t="n">
        <v>698</v>
      </c>
      <c r="H15" s="10" t="n">
        <v>66621</v>
      </c>
      <c r="I15" s="10" t="n">
        <v>2146</v>
      </c>
      <c r="J15" s="10" t="n">
        <v>4904</v>
      </c>
      <c r="K15" s="10" t="n">
        <v>16260</v>
      </c>
      <c r="L15" s="10" t="n">
        <v>14573</v>
      </c>
      <c r="M15" s="10" t="n">
        <v>14878</v>
      </c>
      <c r="N15" s="10" t="n">
        <v>35853</v>
      </c>
      <c r="O15" s="10" t="n">
        <v>749</v>
      </c>
      <c r="P15" s="10" t="n">
        <v>31659</v>
      </c>
      <c r="Q15" s="10" t="n">
        <v>18380</v>
      </c>
      <c r="R15" s="10" t="n">
        <v>8061</v>
      </c>
      <c r="S15" s="10" t="n">
        <v>26217</v>
      </c>
    </row>
    <row r="16" customFormat="false" ht="15" hidden="false" customHeight="false" outlineLevel="0" collapsed="false">
      <c r="A16" s="10" t="n">
        <v>15</v>
      </c>
      <c r="B16" s="10" t="n">
        <v>203797</v>
      </c>
      <c r="C16" s="10" t="n">
        <v>147923</v>
      </c>
      <c r="D16" s="10" t="n">
        <v>18992</v>
      </c>
      <c r="E16" s="10" t="n">
        <v>58966</v>
      </c>
      <c r="F16" s="10" t="n">
        <v>69021</v>
      </c>
      <c r="G16" s="10" t="n">
        <v>944</v>
      </c>
      <c r="H16" s="10" t="n">
        <v>52771</v>
      </c>
      <c r="I16" s="10" t="n">
        <v>3103</v>
      </c>
      <c r="J16" s="10" t="n">
        <v>3151</v>
      </c>
      <c r="K16" s="10" t="n">
        <v>11084</v>
      </c>
      <c r="L16" s="10" t="n">
        <v>13397</v>
      </c>
      <c r="M16" s="10" t="n">
        <v>13433</v>
      </c>
      <c r="N16" s="10" t="n">
        <v>39730</v>
      </c>
      <c r="O16" s="10" t="n">
        <v>848</v>
      </c>
      <c r="P16" s="10" t="n">
        <v>60817</v>
      </c>
      <c r="Q16" s="10" t="n">
        <v>32503</v>
      </c>
      <c r="R16" s="10" t="n">
        <v>16940</v>
      </c>
      <c r="S16" s="10" t="n">
        <v>11894</v>
      </c>
    </row>
    <row r="17" customFormat="false" ht="15" hidden="false" customHeight="false" outlineLevel="0" collapsed="false">
      <c r="A17" s="10" t="n">
        <v>16</v>
      </c>
      <c r="B17" s="10" t="n">
        <v>90965</v>
      </c>
      <c r="C17" s="10" t="n">
        <v>60463</v>
      </c>
      <c r="D17" s="10" t="n">
        <v>7018</v>
      </c>
      <c r="E17" s="10" t="n">
        <v>24579</v>
      </c>
      <c r="F17" s="10" t="n">
        <v>27919</v>
      </c>
      <c r="G17" s="10" t="n">
        <v>947</v>
      </c>
      <c r="H17" s="10" t="n">
        <v>29155</v>
      </c>
      <c r="I17" s="10" t="n">
        <v>1347</v>
      </c>
      <c r="J17" s="10" t="n">
        <v>2059</v>
      </c>
      <c r="K17" s="10" t="n">
        <v>6178</v>
      </c>
      <c r="L17" s="10" t="n">
        <v>6213</v>
      </c>
      <c r="M17" s="10" t="n">
        <v>8490</v>
      </c>
      <c r="N17" s="10" t="n">
        <v>20491</v>
      </c>
      <c r="O17" s="10" t="n">
        <v>251</v>
      </c>
      <c r="P17" s="10" t="n">
        <v>22612</v>
      </c>
      <c r="Q17" s="10" t="n">
        <v>13666</v>
      </c>
      <c r="R17" s="10" t="n">
        <v>7161</v>
      </c>
      <c r="S17" s="10" t="n">
        <v>3844</v>
      </c>
    </row>
    <row r="18" customFormat="false" ht="15" hidden="false" customHeight="false" outlineLevel="0" collapsed="false">
      <c r="A18" s="10" t="n">
        <v>17</v>
      </c>
      <c r="B18" s="10" t="n">
        <v>77367</v>
      </c>
      <c r="C18" s="10" t="n">
        <v>53453</v>
      </c>
      <c r="D18" s="10" t="n">
        <v>6808</v>
      </c>
      <c r="E18" s="10" t="n">
        <v>18342</v>
      </c>
      <c r="F18" s="10" t="n">
        <v>27853</v>
      </c>
      <c r="G18" s="10" t="n">
        <v>450</v>
      </c>
      <c r="H18" s="10" t="n">
        <v>22364</v>
      </c>
      <c r="I18" s="10" t="n">
        <v>1550</v>
      </c>
      <c r="J18" s="10" t="n">
        <v>1155</v>
      </c>
      <c r="K18" s="10" t="n">
        <v>3925</v>
      </c>
      <c r="L18" s="10" t="n">
        <v>5896</v>
      </c>
      <c r="M18" s="10" t="n">
        <v>6779</v>
      </c>
      <c r="N18" s="10" t="n">
        <v>16846</v>
      </c>
      <c r="O18" s="10" t="n">
        <v>302</v>
      </c>
      <c r="P18" s="10" t="n">
        <v>20854</v>
      </c>
      <c r="Q18" s="10" t="n">
        <v>11775</v>
      </c>
      <c r="R18" s="10" t="n">
        <v>7026</v>
      </c>
      <c r="S18" s="10" t="n">
        <v>2809</v>
      </c>
    </row>
    <row r="19" customFormat="false" ht="15" hidden="false" customHeight="false" outlineLevel="0" collapsed="false">
      <c r="A19" s="10" t="n">
        <v>18</v>
      </c>
      <c r="B19" s="10" t="n">
        <v>99651</v>
      </c>
      <c r="C19" s="10" t="n">
        <v>69997</v>
      </c>
      <c r="D19" s="10" t="n">
        <v>7256</v>
      </c>
      <c r="E19" s="10" t="n">
        <v>26575</v>
      </c>
      <c r="F19" s="10" t="n">
        <v>35430</v>
      </c>
      <c r="G19" s="10" t="n">
        <v>736</v>
      </c>
      <c r="H19" s="10" t="n">
        <v>27881</v>
      </c>
      <c r="I19" s="10" t="n">
        <v>1774</v>
      </c>
      <c r="J19" s="10" t="n">
        <v>1334</v>
      </c>
      <c r="K19" s="10" t="n">
        <v>6407</v>
      </c>
      <c r="L19" s="10" t="n">
        <v>6455</v>
      </c>
      <c r="M19" s="10" t="n">
        <v>7534</v>
      </c>
      <c r="N19" s="10" t="n">
        <v>17589</v>
      </c>
      <c r="O19" s="10" t="n">
        <v>1154</v>
      </c>
      <c r="P19" s="10" t="n">
        <v>30806</v>
      </c>
      <c r="Q19" s="10" t="n">
        <v>14854</v>
      </c>
      <c r="R19" s="10" t="n">
        <v>9291</v>
      </c>
      <c r="S19" s="10" t="n">
        <v>4226</v>
      </c>
    </row>
    <row r="20" customFormat="false" ht="15" hidden="false" customHeight="false" outlineLevel="0" collapsed="false">
      <c r="A20" s="10" t="n">
        <v>19</v>
      </c>
      <c r="B20" s="10" t="n">
        <v>83604</v>
      </c>
      <c r="C20" s="10" t="n">
        <v>59504</v>
      </c>
      <c r="D20" s="10" t="n">
        <v>6815</v>
      </c>
      <c r="E20" s="10" t="n">
        <v>22508</v>
      </c>
      <c r="F20" s="10" t="n">
        <v>29033</v>
      </c>
      <c r="G20" s="10" t="n">
        <v>1148</v>
      </c>
      <c r="H20" s="10" t="n">
        <v>22652</v>
      </c>
      <c r="I20" s="10" t="n">
        <v>1447</v>
      </c>
      <c r="J20" s="10" t="n">
        <v>1535</v>
      </c>
      <c r="K20" s="10" t="n">
        <v>3742</v>
      </c>
      <c r="L20" s="10" t="n">
        <v>4653</v>
      </c>
      <c r="M20" s="10" t="n">
        <v>6210</v>
      </c>
      <c r="N20" s="10" t="n">
        <v>20277</v>
      </c>
      <c r="O20" s="10" t="n">
        <v>218</v>
      </c>
      <c r="P20" s="10" t="n">
        <v>23562</v>
      </c>
      <c r="Q20" s="10" t="n">
        <v>11264</v>
      </c>
      <c r="R20" s="10" t="n">
        <v>8511</v>
      </c>
      <c r="S20" s="10" t="n">
        <v>3631</v>
      </c>
    </row>
    <row r="21" customFormat="false" ht="15" hidden="false" customHeight="false" outlineLevel="0" collapsed="false">
      <c r="A21" s="10" t="n">
        <v>20</v>
      </c>
      <c r="B21" s="10" t="n">
        <v>105605</v>
      </c>
      <c r="C21" s="10" t="n">
        <v>69004</v>
      </c>
      <c r="D21" s="10" t="n">
        <v>7769</v>
      </c>
      <c r="E21" s="10" t="n">
        <v>25040</v>
      </c>
      <c r="F21" s="10" t="n">
        <v>35403</v>
      </c>
      <c r="G21" s="10" t="n">
        <v>791</v>
      </c>
      <c r="H21" s="10" t="n">
        <v>34556</v>
      </c>
      <c r="I21" s="10" t="n">
        <v>2045</v>
      </c>
      <c r="J21" s="10" t="n">
        <v>3054</v>
      </c>
      <c r="K21" s="10" t="n">
        <v>9821</v>
      </c>
      <c r="L21" s="10" t="n">
        <v>8055</v>
      </c>
      <c r="M21" s="10" t="n">
        <v>9693</v>
      </c>
      <c r="N21" s="10" t="n">
        <v>19025</v>
      </c>
      <c r="O21" s="10" t="n">
        <v>1259</v>
      </c>
      <c r="P21" s="10" t="n">
        <v>22550</v>
      </c>
      <c r="Q21" s="10" t="n">
        <v>18071</v>
      </c>
      <c r="R21" s="10" t="n">
        <v>8363</v>
      </c>
      <c r="S21" s="10" t="n">
        <v>5713</v>
      </c>
    </row>
    <row r="22" customFormat="false" ht="15" hidden="false" customHeight="false" outlineLevel="0" collapsed="false">
      <c r="A22" s="10" t="n">
        <v>21</v>
      </c>
      <c r="B22" s="10" t="n">
        <v>51681</v>
      </c>
      <c r="C22" s="10" t="n">
        <v>28344</v>
      </c>
      <c r="D22" s="10" t="n">
        <v>3911</v>
      </c>
      <c r="E22" s="10" t="n">
        <v>9305</v>
      </c>
      <c r="F22" s="10" t="n">
        <v>14907</v>
      </c>
      <c r="G22" s="10" t="n">
        <v>221</v>
      </c>
      <c r="H22" s="10" t="n">
        <v>22075</v>
      </c>
      <c r="I22" s="10" t="n">
        <v>1262</v>
      </c>
      <c r="J22" s="10" t="n">
        <v>2347</v>
      </c>
      <c r="K22" s="10" t="n">
        <v>6760</v>
      </c>
      <c r="L22" s="10" t="n">
        <v>6030</v>
      </c>
      <c r="M22" s="10" t="n">
        <v>4950</v>
      </c>
      <c r="N22" s="10" t="n">
        <v>8433</v>
      </c>
      <c r="O22" s="10" t="n">
        <v>102</v>
      </c>
      <c r="P22" s="10" t="n">
        <v>8158</v>
      </c>
      <c r="Q22" s="10" t="n">
        <v>7395</v>
      </c>
      <c r="R22" s="10" t="n">
        <v>2470</v>
      </c>
      <c r="S22" s="10" t="n">
        <v>5035</v>
      </c>
    </row>
    <row r="23" customFormat="false" ht="15" hidden="false" customHeight="false" outlineLevel="0" collapsed="false">
      <c r="A23" s="10" t="n">
        <v>22</v>
      </c>
      <c r="B23" s="10" t="n">
        <v>35913</v>
      </c>
      <c r="C23" s="10" t="n">
        <v>20422</v>
      </c>
      <c r="D23" s="10" t="n">
        <v>3729</v>
      </c>
      <c r="E23" s="10" t="n">
        <v>7274</v>
      </c>
      <c r="F23" s="10" t="n">
        <v>9222</v>
      </c>
      <c r="G23" s="10" t="n">
        <v>196</v>
      </c>
      <c r="H23" s="10" t="n">
        <v>14288</v>
      </c>
      <c r="I23" s="10" t="n">
        <v>1203</v>
      </c>
      <c r="J23" s="10" t="n">
        <v>1783</v>
      </c>
      <c r="K23" s="10" t="n">
        <v>4434</v>
      </c>
      <c r="L23" s="10" t="n">
        <v>3862</v>
      </c>
      <c r="M23" s="10" t="n">
        <v>3176</v>
      </c>
      <c r="N23" s="10" t="n">
        <v>6013</v>
      </c>
      <c r="O23" s="10" t="n">
        <v>303</v>
      </c>
      <c r="P23" s="10" t="n">
        <v>5053</v>
      </c>
      <c r="Q23" s="10" t="n">
        <v>4402</v>
      </c>
      <c r="R23" s="10" t="n">
        <v>2068</v>
      </c>
      <c r="S23" s="10" t="n">
        <v>4820</v>
      </c>
    </row>
    <row r="24" customFormat="false" ht="15" hidden="false" customHeight="false" outlineLevel="0" collapsed="false">
      <c r="A24" s="2" t="s">
        <v>567</v>
      </c>
      <c r="B24" s="6" t="n">
        <f aca="false">SUM(B2:B23)</f>
        <v>2629106</v>
      </c>
      <c r="C24" s="6" t="n">
        <f aca="false">SUM(C2:C23)</f>
        <v>1716164</v>
      </c>
      <c r="D24" s="6" t="n">
        <f aca="false">SUM(D2:D23)</f>
        <v>285599</v>
      </c>
      <c r="E24" s="6" t="n">
        <f aca="false">SUM(E2:E23)</f>
        <v>558935</v>
      </c>
      <c r="F24" s="6" t="n">
        <f aca="false">SUM(F2:F23)</f>
        <v>856359</v>
      </c>
      <c r="G24" s="6" t="n">
        <f aca="false">SUM(G2:G23)</f>
        <v>15264</v>
      </c>
      <c r="H24" s="6" t="n">
        <f aca="false">SUM(H2:H23)</f>
        <v>863832</v>
      </c>
      <c r="I24" s="6" t="n">
        <f aca="false">SUM(I2:I23)</f>
        <v>49113</v>
      </c>
      <c r="J24" s="6" t="n">
        <f aca="false">SUM(J2:J23)</f>
        <v>160177</v>
      </c>
      <c r="K24" s="6" t="n">
        <f aca="false">SUM(K2:K23)</f>
        <v>426510</v>
      </c>
      <c r="L24" s="6" t="n">
        <f aca="false">SUM(L2:L23)</f>
        <v>259538</v>
      </c>
      <c r="M24" s="6" t="n">
        <f aca="false">SUM(M2:M23)</f>
        <v>221244</v>
      </c>
      <c r="N24" s="6" t="n">
        <f aca="false">SUM(N2:N23)</f>
        <v>477772</v>
      </c>
      <c r="O24" s="6" t="n">
        <f aca="false">SUM(O2:O23)</f>
        <v>11019</v>
      </c>
      <c r="P24" s="6" t="n">
        <f aca="false">SUM(P2:P23)</f>
        <v>479672</v>
      </c>
      <c r="Q24" s="6" t="n">
        <f aca="false">SUM(Q2:Q23)</f>
        <v>265804</v>
      </c>
      <c r="R24" s="6" t="n">
        <f aca="false">SUM(R2:R23)</f>
        <v>146566</v>
      </c>
      <c r="S24" s="6" t="n">
        <f aca="false">SUM(S2:S23)</f>
        <v>180800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6.4" hidden="false" customHeight="false" outlineLevel="0" collapsed="false">
      <c r="A1" s="16" t="s">
        <v>568</v>
      </c>
      <c r="B1" s="17" t="s">
        <v>569</v>
      </c>
    </row>
    <row r="2" customFormat="false" ht="46.25" hidden="false" customHeight="false" outlineLevel="0" collapsed="false">
      <c r="A2" s="2" t="s">
        <v>570</v>
      </c>
      <c r="B2" s="18" t="s">
        <v>571</v>
      </c>
    </row>
    <row r="3" customFormat="false" ht="31.3" hidden="false" customHeight="false" outlineLevel="0" collapsed="false">
      <c r="A3" s="2" t="s">
        <v>572</v>
      </c>
      <c r="B3" s="18" t="s">
        <v>573</v>
      </c>
    </row>
    <row r="4" customFormat="false" ht="16.4" hidden="false" customHeight="false" outlineLevel="0" collapsed="false">
      <c r="A4" s="2" t="s">
        <v>574</v>
      </c>
      <c r="B4" s="18" t="s">
        <v>575</v>
      </c>
    </row>
    <row r="5" customFormat="false" ht="16.4" hidden="false" customHeight="false" outlineLevel="0" collapsed="false">
      <c r="A5" s="2" t="s">
        <v>576</v>
      </c>
      <c r="B5" s="18" t="s">
        <v>577</v>
      </c>
    </row>
    <row r="6" customFormat="false" ht="29.85" hidden="false" customHeight="false" outlineLevel="0" collapsed="false">
      <c r="A6" s="2" t="s">
        <v>578</v>
      </c>
      <c r="B6" s="18" t="s">
        <v>579</v>
      </c>
    </row>
    <row r="7" customFormat="false" ht="46.25" hidden="false" customHeight="false" outlineLevel="0" collapsed="false">
      <c r="A7" s="2" t="s">
        <v>580</v>
      </c>
      <c r="B7" s="18" t="s">
        <v>581</v>
      </c>
    </row>
    <row r="8" customFormat="false" ht="31.3" hidden="false" customHeight="false" outlineLevel="0" collapsed="false">
      <c r="A8" s="2" t="s">
        <v>582</v>
      </c>
      <c r="B8" s="18" t="s">
        <v>583</v>
      </c>
    </row>
    <row r="9" customFormat="false" ht="31.3" hidden="false" customHeight="false" outlineLevel="0" collapsed="false">
      <c r="A9" s="2" t="s">
        <v>584</v>
      </c>
      <c r="B9" s="18" t="s">
        <v>585</v>
      </c>
    </row>
    <row r="10" customFormat="false" ht="16.4" hidden="false" customHeight="false" outlineLevel="0" collapsed="false">
      <c r="A10" s="2" t="s">
        <v>586</v>
      </c>
      <c r="B10" s="19" t="s">
        <v>587</v>
      </c>
    </row>
    <row r="11" customFormat="false" ht="61.15" hidden="false" customHeight="false" outlineLevel="0" collapsed="false">
      <c r="A11" s="2" t="s">
        <v>588</v>
      </c>
      <c r="B11" s="18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2026-10-07T09:32:46Z</dcterms:created>
  <dc:creator>openpyxl</dc:creator>
  <dc:description/>
  <dc:language>en-US</dc:language>
  <cp:lastModifiedBy/>
  <dcterms:modified xsi:type="dcterms:W3CDTF">2026-10-07T09:32:46Z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