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M\Downloads\"/>
    </mc:Choice>
  </mc:AlternateContent>
  <xr:revisionPtr revIDLastSave="0" documentId="13_ncr:1_{B55EC9A9-3EF9-4E4B-B250-E74B774A0178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راهنما" sheetId="1" r:id="rId1"/>
    <sheet name="پارامترها" sheetId="2" r:id="rId2"/>
    <sheet name="محلات" sheetId="3" r:id="rId3"/>
    <sheet name="مناطق" sheetId="4" r:id="rId4"/>
    <sheet name="داده خام دیوار" sheetId="5" r:id="rId5"/>
    <sheet name="مدل و اعتبارسنجی" sheetId="6" r:id="rId6"/>
    <sheet name="منابع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09" i="5" l="1"/>
  <c r="G309" i="5"/>
  <c r="H308" i="5"/>
  <c r="G308" i="5"/>
  <c r="H307" i="5"/>
  <c r="G307" i="5"/>
  <c r="H306" i="5"/>
  <c r="G306" i="5"/>
  <c r="H305" i="5"/>
  <c r="G305" i="5"/>
  <c r="H304" i="5"/>
  <c r="G304" i="5"/>
  <c r="H303" i="5"/>
  <c r="G303" i="5"/>
  <c r="H302" i="5"/>
  <c r="G302" i="5"/>
  <c r="H301" i="5"/>
  <c r="G301" i="5"/>
  <c r="H300" i="5"/>
  <c r="G300" i="5"/>
  <c r="H299" i="5"/>
  <c r="G299" i="5"/>
  <c r="H298" i="5"/>
  <c r="G298" i="5"/>
  <c r="H297" i="5"/>
  <c r="G297" i="5"/>
  <c r="H296" i="5"/>
  <c r="G296" i="5"/>
  <c r="H295" i="5"/>
  <c r="G295" i="5"/>
  <c r="H294" i="5"/>
  <c r="G294" i="5"/>
  <c r="H293" i="5"/>
  <c r="G293" i="5"/>
  <c r="H292" i="5"/>
  <c r="G292" i="5"/>
  <c r="H291" i="5"/>
  <c r="G291" i="5"/>
  <c r="H290" i="5"/>
  <c r="G290" i="5"/>
  <c r="H289" i="5"/>
  <c r="G289" i="5"/>
  <c r="H288" i="5"/>
  <c r="G288" i="5"/>
  <c r="H287" i="5"/>
  <c r="G287" i="5"/>
  <c r="H286" i="5"/>
  <c r="G286" i="5"/>
  <c r="H285" i="5"/>
  <c r="G285" i="5"/>
  <c r="H284" i="5"/>
  <c r="G284" i="5"/>
  <c r="H283" i="5"/>
  <c r="G283" i="5"/>
  <c r="H282" i="5"/>
  <c r="G282" i="5"/>
  <c r="H281" i="5"/>
  <c r="G281" i="5"/>
  <c r="H280" i="5"/>
  <c r="G280" i="5"/>
  <c r="H279" i="5"/>
  <c r="G279" i="5"/>
  <c r="H278" i="5"/>
  <c r="G278" i="5"/>
  <c r="H277" i="5"/>
  <c r="G277" i="5"/>
  <c r="H276" i="5"/>
  <c r="G276" i="5"/>
  <c r="H275" i="5"/>
  <c r="G275" i="5"/>
  <c r="H274" i="5"/>
  <c r="G274" i="5"/>
  <c r="H273" i="5"/>
  <c r="G273" i="5"/>
  <c r="H272" i="5"/>
  <c r="G272" i="5"/>
  <c r="H271" i="5"/>
  <c r="G271" i="5"/>
  <c r="H269" i="5"/>
  <c r="G269" i="5"/>
  <c r="H268" i="5"/>
  <c r="G268" i="5"/>
  <c r="H267" i="5"/>
  <c r="G267" i="5"/>
  <c r="H266" i="5"/>
  <c r="G266" i="5"/>
  <c r="H265" i="5"/>
  <c r="G265" i="5"/>
  <c r="H264" i="5"/>
  <c r="G264" i="5"/>
  <c r="H263" i="5"/>
  <c r="G263" i="5"/>
  <c r="H262" i="5"/>
  <c r="G262" i="5"/>
  <c r="H261" i="5"/>
  <c r="G261" i="5"/>
  <c r="H260" i="5"/>
  <c r="G260" i="5"/>
  <c r="H259" i="5"/>
  <c r="G259" i="5"/>
  <c r="H258" i="5"/>
  <c r="G258" i="5"/>
  <c r="H257" i="5"/>
  <c r="G257" i="5"/>
  <c r="H256" i="5"/>
  <c r="G256" i="5"/>
  <c r="H255" i="5"/>
  <c r="G255" i="5"/>
  <c r="H254" i="5"/>
  <c r="G254" i="5"/>
  <c r="H253" i="5"/>
  <c r="G253" i="5"/>
  <c r="H252" i="5"/>
  <c r="G252" i="5"/>
  <c r="H251" i="5"/>
  <c r="G251" i="5"/>
  <c r="H250" i="5"/>
  <c r="G250" i="5"/>
  <c r="H249" i="5"/>
  <c r="G249" i="5"/>
  <c r="H248" i="5"/>
  <c r="G248" i="5"/>
  <c r="H247" i="5"/>
  <c r="G247" i="5"/>
  <c r="H246" i="5"/>
  <c r="G246" i="5"/>
  <c r="H245" i="5"/>
  <c r="G245" i="5"/>
  <c r="H244" i="5"/>
  <c r="G244" i="5"/>
  <c r="H243" i="5"/>
  <c r="G243" i="5"/>
  <c r="H242" i="5"/>
  <c r="G242" i="5"/>
  <c r="H241" i="5"/>
  <c r="G241" i="5"/>
  <c r="H240" i="5"/>
  <c r="G240" i="5"/>
  <c r="H239" i="5"/>
  <c r="G239" i="5"/>
  <c r="H238" i="5"/>
  <c r="G238" i="5"/>
  <c r="H237" i="5"/>
  <c r="G237" i="5"/>
  <c r="H236" i="5"/>
  <c r="G236" i="5"/>
  <c r="H235" i="5"/>
  <c r="G235" i="5"/>
  <c r="H234" i="5"/>
  <c r="G234" i="5"/>
  <c r="H233" i="5"/>
  <c r="G233" i="5"/>
  <c r="H232" i="5"/>
  <c r="G232" i="5"/>
  <c r="H231" i="5"/>
  <c r="G231" i="5"/>
  <c r="H230" i="5"/>
  <c r="G230" i="5"/>
  <c r="H229" i="5"/>
  <c r="G229" i="5"/>
  <c r="H228" i="5"/>
  <c r="G228" i="5"/>
  <c r="H226" i="5"/>
  <c r="G226" i="5"/>
  <c r="H225" i="5"/>
  <c r="G225" i="5"/>
  <c r="H224" i="5"/>
  <c r="G224" i="5"/>
  <c r="H223" i="5"/>
  <c r="G223" i="5"/>
  <c r="H222" i="5"/>
  <c r="G222" i="5"/>
  <c r="H221" i="5"/>
  <c r="G221" i="5"/>
  <c r="H220" i="5"/>
  <c r="G220" i="5"/>
  <c r="H219" i="5"/>
  <c r="G219" i="5"/>
  <c r="H218" i="5"/>
  <c r="G218" i="5"/>
  <c r="H217" i="5"/>
  <c r="G217" i="5"/>
  <c r="H216" i="5"/>
  <c r="G216" i="5"/>
  <c r="H215" i="5"/>
  <c r="G215" i="5"/>
  <c r="H214" i="5"/>
  <c r="G214" i="5"/>
  <c r="H213" i="5"/>
  <c r="G213" i="5"/>
  <c r="H212" i="5"/>
  <c r="G212" i="5"/>
  <c r="H211" i="5"/>
  <c r="G211" i="5"/>
  <c r="H210" i="5"/>
  <c r="G210" i="5"/>
  <c r="H209" i="5"/>
  <c r="G209" i="5"/>
  <c r="H208" i="5"/>
  <c r="G208" i="5"/>
  <c r="H207" i="5"/>
  <c r="G207" i="5"/>
  <c r="H206" i="5"/>
  <c r="G206" i="5"/>
  <c r="H205" i="5"/>
  <c r="G205" i="5"/>
  <c r="H204" i="5"/>
  <c r="G204" i="5"/>
  <c r="H203" i="5"/>
  <c r="G203" i="5"/>
  <c r="H202" i="5"/>
  <c r="G202" i="5"/>
  <c r="H201" i="5"/>
  <c r="G201" i="5"/>
  <c r="H200" i="5"/>
  <c r="G200" i="5"/>
  <c r="H199" i="5"/>
  <c r="G199" i="5"/>
  <c r="H198" i="5"/>
  <c r="G198" i="5"/>
  <c r="H197" i="5"/>
  <c r="G197" i="5"/>
  <c r="H196" i="5"/>
  <c r="G196" i="5"/>
  <c r="H195" i="5"/>
  <c r="G195" i="5"/>
  <c r="H194" i="5"/>
  <c r="G194" i="5"/>
  <c r="H193" i="5"/>
  <c r="G193" i="5"/>
  <c r="H192" i="5"/>
  <c r="G192" i="5"/>
  <c r="H191" i="5"/>
  <c r="G191" i="5"/>
  <c r="H190" i="5"/>
  <c r="G190" i="5"/>
  <c r="H189" i="5"/>
  <c r="G189" i="5"/>
  <c r="H188" i="5"/>
  <c r="G188" i="5"/>
  <c r="H187" i="5"/>
  <c r="G187" i="5"/>
  <c r="H186" i="5"/>
  <c r="G186" i="5"/>
  <c r="H185" i="5"/>
  <c r="G185" i="5"/>
  <c r="H184" i="5"/>
  <c r="G184" i="5"/>
  <c r="H183" i="5"/>
  <c r="G183" i="5"/>
  <c r="H182" i="5"/>
  <c r="G182" i="5"/>
  <c r="H181" i="5"/>
  <c r="G181" i="5"/>
  <c r="H180" i="5"/>
  <c r="G180" i="5"/>
  <c r="H179" i="5"/>
  <c r="G179" i="5"/>
  <c r="H178" i="5"/>
  <c r="G178" i="5"/>
  <c r="H177" i="5"/>
  <c r="G177" i="5"/>
  <c r="H176" i="5"/>
  <c r="G176" i="5"/>
  <c r="H175" i="5"/>
  <c r="G175" i="5"/>
  <c r="H174" i="5"/>
  <c r="G174" i="5"/>
  <c r="H173" i="5"/>
  <c r="G173" i="5"/>
  <c r="H172" i="5"/>
  <c r="G172" i="5"/>
  <c r="H171" i="5"/>
  <c r="G171" i="5"/>
  <c r="H170" i="5"/>
  <c r="G170" i="5"/>
  <c r="H169" i="5"/>
  <c r="G169" i="5"/>
  <c r="H168" i="5"/>
  <c r="G168" i="5"/>
  <c r="H167" i="5"/>
  <c r="G167" i="5"/>
  <c r="H165" i="5"/>
  <c r="G165" i="5"/>
  <c r="H164" i="5"/>
  <c r="G164" i="5"/>
  <c r="H163" i="5"/>
  <c r="G163" i="5"/>
  <c r="H162" i="5"/>
  <c r="G162" i="5"/>
  <c r="H161" i="5"/>
  <c r="G161" i="5"/>
  <c r="H160" i="5"/>
  <c r="G160" i="5"/>
  <c r="H159" i="5"/>
  <c r="G159" i="5"/>
  <c r="H158" i="5"/>
  <c r="G158" i="5"/>
  <c r="H157" i="5"/>
  <c r="G157" i="5"/>
  <c r="H156" i="5"/>
  <c r="G156" i="5"/>
  <c r="H155" i="5"/>
  <c r="G155" i="5"/>
  <c r="H154" i="5"/>
  <c r="G154" i="5"/>
  <c r="H153" i="5"/>
  <c r="G153" i="5"/>
  <c r="H152" i="5"/>
  <c r="G152" i="5"/>
  <c r="H151" i="5"/>
  <c r="G151" i="5"/>
  <c r="H150" i="5"/>
  <c r="G150" i="5"/>
  <c r="H149" i="5"/>
  <c r="G149" i="5"/>
  <c r="H148" i="5"/>
  <c r="G148" i="5"/>
  <c r="H147" i="5"/>
  <c r="G147" i="5"/>
  <c r="H146" i="5"/>
  <c r="G146" i="5"/>
  <c r="H145" i="5"/>
  <c r="G145" i="5"/>
  <c r="H144" i="5"/>
  <c r="G144" i="5"/>
  <c r="H143" i="5"/>
  <c r="G143" i="5"/>
  <c r="H142" i="5"/>
  <c r="G142" i="5"/>
  <c r="H141" i="5"/>
  <c r="G141" i="5"/>
  <c r="H140" i="5"/>
  <c r="G140" i="5"/>
  <c r="H139" i="5"/>
  <c r="G139" i="5"/>
  <c r="H138" i="5"/>
  <c r="G138" i="5"/>
  <c r="H137" i="5"/>
  <c r="G137" i="5"/>
  <c r="H136" i="5"/>
  <c r="G136" i="5"/>
  <c r="H135" i="5"/>
  <c r="G135" i="5"/>
  <c r="H134" i="5"/>
  <c r="G134" i="5"/>
  <c r="H133" i="5"/>
  <c r="G133" i="5"/>
  <c r="H132" i="5"/>
  <c r="G132" i="5"/>
  <c r="H131" i="5"/>
  <c r="G131" i="5"/>
  <c r="H130" i="5"/>
  <c r="G130" i="5"/>
  <c r="H129" i="5"/>
  <c r="G129" i="5"/>
  <c r="H128" i="5"/>
  <c r="G128" i="5"/>
  <c r="H127" i="5"/>
  <c r="G127" i="5"/>
  <c r="H126" i="5"/>
  <c r="G126" i="5"/>
  <c r="H125" i="5"/>
  <c r="G125" i="5"/>
  <c r="H124" i="5"/>
  <c r="G124" i="5"/>
  <c r="H123" i="5"/>
  <c r="G123" i="5"/>
  <c r="H122" i="5"/>
  <c r="G122" i="5"/>
  <c r="H121" i="5"/>
  <c r="G121" i="5"/>
  <c r="H120" i="5"/>
  <c r="G120" i="5"/>
  <c r="H119" i="5"/>
  <c r="G119" i="5"/>
  <c r="H118" i="5"/>
  <c r="G118" i="5"/>
  <c r="H117" i="5"/>
  <c r="G117" i="5"/>
  <c r="H116" i="5"/>
  <c r="G116" i="5"/>
  <c r="H115" i="5"/>
  <c r="G115" i="5"/>
  <c r="H114" i="5"/>
  <c r="G114" i="5"/>
  <c r="H113" i="5"/>
  <c r="G113" i="5"/>
  <c r="H112" i="5"/>
  <c r="G112" i="5"/>
  <c r="H111" i="5"/>
  <c r="G111" i="5"/>
  <c r="H110" i="5"/>
  <c r="G110" i="5"/>
  <c r="H109" i="5"/>
  <c r="G109" i="5"/>
  <c r="H108" i="5"/>
  <c r="G108" i="5"/>
  <c r="H107" i="5"/>
  <c r="G107" i="5"/>
  <c r="H106" i="5"/>
  <c r="G106" i="5"/>
  <c r="H105" i="5"/>
  <c r="G105" i="5"/>
  <c r="H104" i="5"/>
  <c r="G104" i="5"/>
  <c r="H103" i="5"/>
  <c r="G103" i="5"/>
  <c r="H102" i="5"/>
  <c r="G102" i="5"/>
  <c r="H101" i="5"/>
  <c r="G101" i="5"/>
  <c r="H100" i="5"/>
  <c r="G100" i="5"/>
  <c r="H99" i="5"/>
  <c r="G99" i="5"/>
  <c r="H98" i="5"/>
  <c r="G98" i="5"/>
  <c r="H97" i="5"/>
  <c r="G97" i="5"/>
  <c r="H96" i="5"/>
  <c r="G96" i="5"/>
  <c r="H95" i="5"/>
  <c r="G95" i="5"/>
  <c r="H94" i="5"/>
  <c r="G94" i="5"/>
  <c r="H93" i="5"/>
  <c r="G93" i="5"/>
  <c r="H92" i="5"/>
  <c r="G92" i="5"/>
  <c r="H91" i="5"/>
  <c r="G91" i="5"/>
  <c r="H90" i="5"/>
  <c r="G90" i="5"/>
  <c r="H89" i="5"/>
  <c r="G89" i="5"/>
  <c r="H88" i="5"/>
  <c r="G88" i="5"/>
  <c r="H87" i="5"/>
  <c r="G87" i="5"/>
  <c r="H86" i="5"/>
  <c r="G86" i="5"/>
  <c r="H85" i="5"/>
  <c r="G85" i="5"/>
  <c r="H84" i="5"/>
  <c r="G84" i="5"/>
  <c r="H83" i="5"/>
  <c r="G83" i="5"/>
  <c r="H82" i="5"/>
  <c r="G82" i="5"/>
  <c r="H81" i="5"/>
  <c r="G81" i="5"/>
  <c r="H80" i="5"/>
  <c r="G80" i="5"/>
  <c r="H79" i="5"/>
  <c r="G79" i="5"/>
  <c r="H78" i="5"/>
  <c r="G78" i="5"/>
  <c r="H77" i="5"/>
  <c r="G77" i="5"/>
  <c r="H76" i="5"/>
  <c r="G76" i="5"/>
  <c r="H75" i="5"/>
  <c r="G75" i="5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3" i="5"/>
  <c r="G3" i="5"/>
  <c r="H2" i="5"/>
  <c r="G2" i="5"/>
  <c r="C24" i="4"/>
  <c r="D24" i="4" s="1"/>
  <c r="B24" i="4"/>
  <c r="O23" i="4"/>
  <c r="N23" i="4"/>
  <c r="M23" i="4"/>
  <c r="D23" i="4"/>
  <c r="O22" i="4"/>
  <c r="N22" i="4"/>
  <c r="M22" i="4"/>
  <c r="D22" i="4"/>
  <c r="O21" i="4"/>
  <c r="N21" i="4"/>
  <c r="M21" i="4"/>
  <c r="D21" i="4"/>
  <c r="O20" i="4"/>
  <c r="N20" i="4"/>
  <c r="M20" i="4"/>
  <c r="D20" i="4"/>
  <c r="O19" i="4"/>
  <c r="N19" i="4"/>
  <c r="M19" i="4"/>
  <c r="D19" i="4"/>
  <c r="O18" i="4"/>
  <c r="N18" i="4"/>
  <c r="M18" i="4"/>
  <c r="D18" i="4"/>
  <c r="O17" i="4"/>
  <c r="N17" i="4"/>
  <c r="M17" i="4"/>
  <c r="D17" i="4"/>
  <c r="O16" i="4"/>
  <c r="N16" i="4"/>
  <c r="M16" i="4"/>
  <c r="D16" i="4"/>
  <c r="O15" i="4"/>
  <c r="N15" i="4"/>
  <c r="M15" i="4"/>
  <c r="D15" i="4"/>
  <c r="O14" i="4"/>
  <c r="N14" i="4"/>
  <c r="M14" i="4"/>
  <c r="D14" i="4"/>
  <c r="O13" i="4"/>
  <c r="N13" i="4"/>
  <c r="M13" i="4"/>
  <c r="D13" i="4"/>
  <c r="O12" i="4"/>
  <c r="N12" i="4"/>
  <c r="M12" i="4"/>
  <c r="D12" i="4"/>
  <c r="O11" i="4"/>
  <c r="N11" i="4"/>
  <c r="M11" i="4"/>
  <c r="D11" i="4"/>
  <c r="O10" i="4"/>
  <c r="N10" i="4"/>
  <c r="M10" i="4"/>
  <c r="D10" i="4"/>
  <c r="O9" i="4"/>
  <c r="N9" i="4"/>
  <c r="M9" i="4"/>
  <c r="D9" i="4"/>
  <c r="O8" i="4"/>
  <c r="N8" i="4"/>
  <c r="M8" i="4"/>
  <c r="D8" i="4"/>
  <c r="O7" i="4"/>
  <c r="N7" i="4"/>
  <c r="M7" i="4"/>
  <c r="D7" i="4"/>
  <c r="O6" i="4"/>
  <c r="N6" i="4"/>
  <c r="M6" i="4"/>
  <c r="D6" i="4"/>
  <c r="O5" i="4"/>
  <c r="N5" i="4"/>
  <c r="M5" i="4"/>
  <c r="D5" i="4"/>
  <c r="O4" i="4"/>
  <c r="N4" i="4"/>
  <c r="M4" i="4"/>
  <c r="D4" i="4"/>
  <c r="O3" i="4"/>
  <c r="N3" i="4"/>
  <c r="M3" i="4"/>
  <c r="D3" i="4"/>
  <c r="O2" i="4"/>
  <c r="N2" i="4"/>
  <c r="M2" i="4"/>
  <c r="D2" i="4"/>
  <c r="V350" i="3"/>
  <c r="O350" i="3"/>
  <c r="Q350" i="3" s="1"/>
  <c r="I350" i="3"/>
  <c r="E350" i="3"/>
  <c r="O349" i="3"/>
  <c r="I349" i="3"/>
  <c r="E349" i="3"/>
  <c r="O348" i="3"/>
  <c r="I348" i="3"/>
  <c r="E348" i="3"/>
  <c r="O347" i="3"/>
  <c r="I347" i="3"/>
  <c r="V347" i="3" s="1"/>
  <c r="E347" i="3"/>
  <c r="O346" i="3"/>
  <c r="I346" i="3"/>
  <c r="E346" i="3"/>
  <c r="V345" i="3"/>
  <c r="O345" i="3"/>
  <c r="I345" i="3"/>
  <c r="U345" i="3" s="1"/>
  <c r="E345" i="3"/>
  <c r="O344" i="3"/>
  <c r="I344" i="3"/>
  <c r="E344" i="3"/>
  <c r="O343" i="3"/>
  <c r="I343" i="3"/>
  <c r="E343" i="3"/>
  <c r="O342" i="3"/>
  <c r="I342" i="3"/>
  <c r="U342" i="3" s="1"/>
  <c r="E342" i="3"/>
  <c r="O341" i="3"/>
  <c r="I341" i="3"/>
  <c r="E341" i="3"/>
  <c r="O340" i="3"/>
  <c r="I340" i="3"/>
  <c r="L340" i="3" s="1"/>
  <c r="E340" i="3"/>
  <c r="O339" i="3"/>
  <c r="I339" i="3"/>
  <c r="E339" i="3"/>
  <c r="O338" i="3"/>
  <c r="I338" i="3"/>
  <c r="U338" i="3" s="1"/>
  <c r="E338" i="3"/>
  <c r="V337" i="3"/>
  <c r="U337" i="3"/>
  <c r="O337" i="3"/>
  <c r="I337" i="3"/>
  <c r="E337" i="3"/>
  <c r="V336" i="3"/>
  <c r="O336" i="3"/>
  <c r="I336" i="3"/>
  <c r="E336" i="3"/>
  <c r="O335" i="3"/>
  <c r="I335" i="3"/>
  <c r="E335" i="3"/>
  <c r="O334" i="3"/>
  <c r="I334" i="3"/>
  <c r="E334" i="3"/>
  <c r="O333" i="3"/>
  <c r="I333" i="3"/>
  <c r="E333" i="3"/>
  <c r="O332" i="3"/>
  <c r="I332" i="3"/>
  <c r="U332" i="3" s="1"/>
  <c r="E332" i="3"/>
  <c r="O331" i="3"/>
  <c r="I331" i="3"/>
  <c r="E331" i="3"/>
  <c r="O330" i="3"/>
  <c r="I330" i="3"/>
  <c r="E330" i="3"/>
  <c r="O329" i="3"/>
  <c r="I329" i="3"/>
  <c r="V329" i="3" s="1"/>
  <c r="E329" i="3"/>
  <c r="O328" i="3"/>
  <c r="I328" i="3"/>
  <c r="E328" i="3"/>
  <c r="O327" i="3"/>
  <c r="I327" i="3"/>
  <c r="L327" i="3" s="1"/>
  <c r="E327" i="3"/>
  <c r="O326" i="3"/>
  <c r="I326" i="3"/>
  <c r="E326" i="3"/>
  <c r="U325" i="3"/>
  <c r="O325" i="3"/>
  <c r="I325" i="3"/>
  <c r="V325" i="3" s="1"/>
  <c r="E325" i="3"/>
  <c r="V324" i="3"/>
  <c r="O324" i="3"/>
  <c r="I324" i="3"/>
  <c r="U324" i="3" s="1"/>
  <c r="E324" i="3"/>
  <c r="V323" i="3"/>
  <c r="O323" i="3"/>
  <c r="I323" i="3"/>
  <c r="U323" i="3" s="1"/>
  <c r="E323" i="3"/>
  <c r="V322" i="3"/>
  <c r="O322" i="3"/>
  <c r="I322" i="3"/>
  <c r="U322" i="3" s="1"/>
  <c r="E322" i="3"/>
  <c r="O321" i="3"/>
  <c r="I321" i="3"/>
  <c r="E321" i="3"/>
  <c r="O320" i="3"/>
  <c r="I320" i="3"/>
  <c r="E320" i="3"/>
  <c r="O319" i="3"/>
  <c r="Q319" i="3" s="1"/>
  <c r="I319" i="3"/>
  <c r="U319" i="3" s="1"/>
  <c r="E319" i="3"/>
  <c r="V318" i="3"/>
  <c r="U318" i="3"/>
  <c r="O318" i="3"/>
  <c r="I318" i="3"/>
  <c r="E318" i="3"/>
  <c r="O317" i="3"/>
  <c r="I317" i="3"/>
  <c r="V317" i="3" s="1"/>
  <c r="E317" i="3"/>
  <c r="O316" i="3"/>
  <c r="I316" i="3"/>
  <c r="U316" i="3" s="1"/>
  <c r="E316" i="3"/>
  <c r="O315" i="3"/>
  <c r="I315" i="3"/>
  <c r="V315" i="3" s="1"/>
  <c r="E315" i="3"/>
  <c r="O314" i="3"/>
  <c r="I314" i="3"/>
  <c r="E314" i="3"/>
  <c r="O313" i="3"/>
  <c r="I313" i="3"/>
  <c r="L313" i="3" s="1"/>
  <c r="E313" i="3"/>
  <c r="O312" i="3"/>
  <c r="I312" i="3"/>
  <c r="U312" i="3" s="1"/>
  <c r="E312" i="3"/>
  <c r="O311" i="3"/>
  <c r="I311" i="3"/>
  <c r="U311" i="3" s="1"/>
  <c r="E311" i="3"/>
  <c r="O310" i="3"/>
  <c r="I310" i="3"/>
  <c r="V310" i="3" s="1"/>
  <c r="E310" i="3"/>
  <c r="U309" i="3"/>
  <c r="O309" i="3"/>
  <c r="I309" i="3"/>
  <c r="E309" i="3"/>
  <c r="O308" i="3"/>
  <c r="I308" i="3"/>
  <c r="E308" i="3"/>
  <c r="O307" i="3"/>
  <c r="L307" i="3"/>
  <c r="I307" i="3"/>
  <c r="E307" i="3"/>
  <c r="O306" i="3"/>
  <c r="I306" i="3"/>
  <c r="V306" i="3" s="1"/>
  <c r="E306" i="3"/>
  <c r="U305" i="3"/>
  <c r="O305" i="3"/>
  <c r="L305" i="3"/>
  <c r="I305" i="3"/>
  <c r="V305" i="3" s="1"/>
  <c r="E305" i="3"/>
  <c r="O304" i="3"/>
  <c r="I304" i="3"/>
  <c r="V304" i="3" s="1"/>
  <c r="E304" i="3"/>
  <c r="O303" i="3"/>
  <c r="I303" i="3"/>
  <c r="V303" i="3" s="1"/>
  <c r="E303" i="3"/>
  <c r="O302" i="3"/>
  <c r="I302" i="3"/>
  <c r="V302" i="3" s="1"/>
  <c r="E302" i="3"/>
  <c r="O301" i="3"/>
  <c r="Q301" i="3" s="1"/>
  <c r="I301" i="3"/>
  <c r="U301" i="3" s="1"/>
  <c r="E301" i="3"/>
  <c r="O300" i="3"/>
  <c r="I300" i="3"/>
  <c r="U300" i="3" s="1"/>
  <c r="E300" i="3"/>
  <c r="O299" i="3"/>
  <c r="I299" i="3"/>
  <c r="E299" i="3"/>
  <c r="O298" i="3"/>
  <c r="I298" i="3"/>
  <c r="E298" i="3"/>
  <c r="V297" i="3"/>
  <c r="O297" i="3"/>
  <c r="I297" i="3"/>
  <c r="U297" i="3" s="1"/>
  <c r="E297" i="3"/>
  <c r="O296" i="3"/>
  <c r="I296" i="3"/>
  <c r="V296" i="3" s="1"/>
  <c r="E296" i="3"/>
  <c r="O295" i="3"/>
  <c r="I295" i="3"/>
  <c r="V295" i="3" s="1"/>
  <c r="E295" i="3"/>
  <c r="O294" i="3"/>
  <c r="I294" i="3"/>
  <c r="V294" i="3" s="1"/>
  <c r="E294" i="3"/>
  <c r="O293" i="3"/>
  <c r="I293" i="3"/>
  <c r="L293" i="3" s="1"/>
  <c r="E293" i="3"/>
  <c r="O292" i="3"/>
  <c r="I292" i="3"/>
  <c r="E292" i="3"/>
  <c r="V291" i="3"/>
  <c r="U291" i="3"/>
  <c r="O291" i="3"/>
  <c r="I291" i="3"/>
  <c r="E291" i="3"/>
  <c r="O290" i="3"/>
  <c r="I290" i="3"/>
  <c r="E290" i="3"/>
  <c r="U289" i="3"/>
  <c r="O289" i="3"/>
  <c r="I289" i="3"/>
  <c r="E289" i="3"/>
  <c r="O288" i="3"/>
  <c r="I288" i="3"/>
  <c r="U288" i="3" s="1"/>
  <c r="E288" i="3"/>
  <c r="U287" i="3"/>
  <c r="O287" i="3"/>
  <c r="I287" i="3"/>
  <c r="E287" i="3"/>
  <c r="O286" i="3"/>
  <c r="I286" i="3"/>
  <c r="E286" i="3"/>
  <c r="O285" i="3"/>
  <c r="I285" i="3"/>
  <c r="E285" i="3"/>
  <c r="O284" i="3"/>
  <c r="I284" i="3"/>
  <c r="G284" i="3"/>
  <c r="P284" i="3" s="1"/>
  <c r="R284" i="3" s="1"/>
  <c r="E284" i="3"/>
  <c r="O283" i="3"/>
  <c r="I283" i="3"/>
  <c r="E283" i="3"/>
  <c r="O282" i="3"/>
  <c r="I282" i="3"/>
  <c r="E282" i="3"/>
  <c r="O281" i="3"/>
  <c r="Q281" i="3" s="1"/>
  <c r="I281" i="3"/>
  <c r="U281" i="3" s="1"/>
  <c r="E281" i="3"/>
  <c r="O280" i="3"/>
  <c r="I280" i="3"/>
  <c r="U280" i="3" s="1"/>
  <c r="G280" i="3"/>
  <c r="E280" i="3"/>
  <c r="O279" i="3"/>
  <c r="I279" i="3"/>
  <c r="U279" i="3" s="1"/>
  <c r="E279" i="3"/>
  <c r="O278" i="3"/>
  <c r="I278" i="3"/>
  <c r="E278" i="3"/>
  <c r="O277" i="3"/>
  <c r="I277" i="3"/>
  <c r="V277" i="3" s="1"/>
  <c r="E277" i="3"/>
  <c r="O276" i="3"/>
  <c r="I276" i="3"/>
  <c r="U276" i="3" s="1"/>
  <c r="E276" i="3"/>
  <c r="O275" i="3"/>
  <c r="I275" i="3"/>
  <c r="V275" i="3" s="1"/>
  <c r="E275" i="3"/>
  <c r="O274" i="3"/>
  <c r="Q274" i="3" s="1"/>
  <c r="I274" i="3"/>
  <c r="E274" i="3"/>
  <c r="O273" i="3"/>
  <c r="I273" i="3"/>
  <c r="V273" i="3" s="1"/>
  <c r="E273" i="3"/>
  <c r="O272" i="3"/>
  <c r="I272" i="3"/>
  <c r="V272" i="3" s="1"/>
  <c r="E272" i="3"/>
  <c r="O271" i="3"/>
  <c r="I271" i="3"/>
  <c r="E271" i="3"/>
  <c r="O270" i="3"/>
  <c r="I270" i="3"/>
  <c r="E270" i="3"/>
  <c r="U269" i="3"/>
  <c r="O269" i="3"/>
  <c r="I269" i="3"/>
  <c r="E269" i="3"/>
  <c r="O268" i="3"/>
  <c r="Q268" i="3" s="1"/>
  <c r="I268" i="3"/>
  <c r="V268" i="3" s="1"/>
  <c r="E268" i="3"/>
  <c r="O267" i="3"/>
  <c r="I267" i="3"/>
  <c r="E267" i="3"/>
  <c r="O266" i="3"/>
  <c r="Q266" i="3" s="1"/>
  <c r="I266" i="3"/>
  <c r="V266" i="3" s="1"/>
  <c r="E266" i="3"/>
  <c r="V265" i="3"/>
  <c r="O265" i="3"/>
  <c r="I265" i="3"/>
  <c r="E265" i="3"/>
  <c r="V264" i="3"/>
  <c r="U264" i="3"/>
  <c r="O264" i="3"/>
  <c r="I264" i="3"/>
  <c r="L264" i="3" s="1"/>
  <c r="E264" i="3"/>
  <c r="O263" i="3"/>
  <c r="I263" i="3"/>
  <c r="U263" i="3" s="1"/>
  <c r="E263" i="3"/>
  <c r="O262" i="3"/>
  <c r="I262" i="3"/>
  <c r="E262" i="3"/>
  <c r="O261" i="3"/>
  <c r="I261" i="3"/>
  <c r="V261" i="3" s="1"/>
  <c r="E261" i="3"/>
  <c r="O260" i="3"/>
  <c r="Q260" i="3" s="1"/>
  <c r="I260" i="3"/>
  <c r="E260" i="3"/>
  <c r="O259" i="3"/>
  <c r="I259" i="3"/>
  <c r="L259" i="3" s="1"/>
  <c r="E259" i="3"/>
  <c r="O258" i="3"/>
  <c r="I258" i="3"/>
  <c r="V258" i="3" s="1"/>
  <c r="E258" i="3"/>
  <c r="O257" i="3"/>
  <c r="I257" i="3"/>
  <c r="G257" i="3"/>
  <c r="E257" i="3"/>
  <c r="O256" i="3"/>
  <c r="I256" i="3"/>
  <c r="E256" i="3"/>
  <c r="O255" i="3"/>
  <c r="I255" i="3"/>
  <c r="E255" i="3"/>
  <c r="V254" i="3"/>
  <c r="O254" i="3"/>
  <c r="I254" i="3"/>
  <c r="U254" i="3" s="1"/>
  <c r="E254" i="3"/>
  <c r="V253" i="3"/>
  <c r="O253" i="3"/>
  <c r="I253" i="3"/>
  <c r="U253" i="3" s="1"/>
  <c r="E253" i="3"/>
  <c r="V252" i="3"/>
  <c r="O252" i="3"/>
  <c r="I252" i="3"/>
  <c r="U252" i="3" s="1"/>
  <c r="E252" i="3"/>
  <c r="O251" i="3"/>
  <c r="I251" i="3"/>
  <c r="U251" i="3" s="1"/>
  <c r="E251" i="3"/>
  <c r="O250" i="3"/>
  <c r="I250" i="3"/>
  <c r="G250" i="3"/>
  <c r="E250" i="3"/>
  <c r="O249" i="3"/>
  <c r="I249" i="3"/>
  <c r="G249" i="3"/>
  <c r="P249" i="3" s="1"/>
  <c r="R249" i="3" s="1"/>
  <c r="E249" i="3"/>
  <c r="O248" i="3"/>
  <c r="I248" i="3"/>
  <c r="V248" i="3" s="1"/>
  <c r="E248" i="3"/>
  <c r="O247" i="3"/>
  <c r="I247" i="3"/>
  <c r="E247" i="3"/>
  <c r="V246" i="3"/>
  <c r="O246" i="3"/>
  <c r="I246" i="3"/>
  <c r="U246" i="3" s="1"/>
  <c r="E246" i="3"/>
  <c r="U245" i="3"/>
  <c r="O245" i="3"/>
  <c r="Q245" i="3" s="1"/>
  <c r="I245" i="3"/>
  <c r="V245" i="3" s="1"/>
  <c r="E245" i="3"/>
  <c r="O244" i="3"/>
  <c r="I244" i="3"/>
  <c r="E244" i="3"/>
  <c r="V243" i="3"/>
  <c r="U243" i="3"/>
  <c r="Q243" i="3"/>
  <c r="O243" i="3"/>
  <c r="I243" i="3"/>
  <c r="G243" i="3"/>
  <c r="E243" i="3"/>
  <c r="O242" i="3"/>
  <c r="I242" i="3"/>
  <c r="E242" i="3"/>
  <c r="O241" i="3"/>
  <c r="I241" i="3"/>
  <c r="V241" i="3" s="1"/>
  <c r="E241" i="3"/>
  <c r="O240" i="3"/>
  <c r="I240" i="3"/>
  <c r="V240" i="3" s="1"/>
  <c r="E240" i="3"/>
  <c r="Q239" i="3"/>
  <c r="O239" i="3"/>
  <c r="I239" i="3"/>
  <c r="E239" i="3"/>
  <c r="O238" i="3"/>
  <c r="I238" i="3"/>
  <c r="E238" i="3"/>
  <c r="O237" i="3"/>
  <c r="I237" i="3"/>
  <c r="E237" i="3"/>
  <c r="O236" i="3"/>
  <c r="I236" i="3"/>
  <c r="U236" i="3" s="1"/>
  <c r="E236" i="3"/>
  <c r="O235" i="3"/>
  <c r="I235" i="3"/>
  <c r="G235" i="3"/>
  <c r="E235" i="3"/>
  <c r="O234" i="3"/>
  <c r="I234" i="3"/>
  <c r="G234" i="3"/>
  <c r="E234" i="3"/>
  <c r="O233" i="3"/>
  <c r="I233" i="3"/>
  <c r="U233" i="3" s="1"/>
  <c r="E233" i="3"/>
  <c r="O232" i="3"/>
  <c r="I232" i="3"/>
  <c r="V232" i="3" s="1"/>
  <c r="E232" i="3"/>
  <c r="O231" i="3"/>
  <c r="I231" i="3"/>
  <c r="E231" i="3"/>
  <c r="O230" i="3"/>
  <c r="P230" i="3" s="1"/>
  <c r="R230" i="3" s="1"/>
  <c r="M230" i="3"/>
  <c r="I230" i="3"/>
  <c r="G230" i="3"/>
  <c r="K230" i="3" s="1"/>
  <c r="E230" i="3"/>
  <c r="O229" i="3"/>
  <c r="I229" i="3"/>
  <c r="V229" i="3" s="1"/>
  <c r="G229" i="3"/>
  <c r="K229" i="3" s="1"/>
  <c r="E229" i="3"/>
  <c r="V228" i="3"/>
  <c r="O228" i="3"/>
  <c r="I228" i="3"/>
  <c r="E228" i="3"/>
  <c r="V227" i="3"/>
  <c r="O227" i="3"/>
  <c r="L227" i="3"/>
  <c r="I227" i="3"/>
  <c r="E227" i="3"/>
  <c r="O226" i="3"/>
  <c r="I226" i="3"/>
  <c r="V226" i="3" s="1"/>
  <c r="E226" i="3"/>
  <c r="O225" i="3"/>
  <c r="I225" i="3"/>
  <c r="L225" i="3" s="1"/>
  <c r="G225" i="3"/>
  <c r="E225" i="3"/>
  <c r="O224" i="3"/>
  <c r="I224" i="3"/>
  <c r="G224" i="3"/>
  <c r="E224" i="3"/>
  <c r="V223" i="3"/>
  <c r="U223" i="3"/>
  <c r="R223" i="3"/>
  <c r="O223" i="3"/>
  <c r="I223" i="3"/>
  <c r="G223" i="3"/>
  <c r="P223" i="3" s="1"/>
  <c r="E223" i="3"/>
  <c r="O222" i="3"/>
  <c r="Q222" i="3" s="1"/>
  <c r="I222" i="3"/>
  <c r="U222" i="3" s="1"/>
  <c r="G222" i="3"/>
  <c r="E222" i="3"/>
  <c r="U221" i="3"/>
  <c r="O221" i="3"/>
  <c r="L221" i="3"/>
  <c r="K221" i="3"/>
  <c r="I221" i="3"/>
  <c r="V221" i="3" s="1"/>
  <c r="G221" i="3"/>
  <c r="E221" i="3"/>
  <c r="O220" i="3"/>
  <c r="I220" i="3"/>
  <c r="E220" i="3"/>
  <c r="O219" i="3"/>
  <c r="I219" i="3"/>
  <c r="V219" i="3" s="1"/>
  <c r="E219" i="3"/>
  <c r="O218" i="3"/>
  <c r="I218" i="3"/>
  <c r="V218" i="3" s="1"/>
  <c r="E218" i="3"/>
  <c r="O217" i="3"/>
  <c r="I217" i="3"/>
  <c r="U217" i="3" s="1"/>
  <c r="E217" i="3"/>
  <c r="O216" i="3"/>
  <c r="I216" i="3"/>
  <c r="E216" i="3"/>
  <c r="O215" i="3"/>
  <c r="Q215" i="3" s="1"/>
  <c r="I215" i="3"/>
  <c r="E215" i="3"/>
  <c r="O214" i="3"/>
  <c r="Q214" i="3" s="1"/>
  <c r="I214" i="3"/>
  <c r="G214" i="3"/>
  <c r="K214" i="3" s="1"/>
  <c r="E214" i="3"/>
  <c r="U213" i="3"/>
  <c r="O213" i="3"/>
  <c r="I213" i="3"/>
  <c r="V213" i="3" s="1"/>
  <c r="G213" i="3"/>
  <c r="K213" i="3" s="1"/>
  <c r="E213" i="3"/>
  <c r="V212" i="3"/>
  <c r="W212" i="3" s="1"/>
  <c r="P212" i="3"/>
  <c r="R212" i="3" s="1"/>
  <c r="O212" i="3"/>
  <c r="I212" i="3"/>
  <c r="G212" i="3"/>
  <c r="E212" i="3"/>
  <c r="O211" i="3"/>
  <c r="I211" i="3"/>
  <c r="V211" i="3" s="1"/>
  <c r="E211" i="3"/>
  <c r="V210" i="3"/>
  <c r="W210" i="3" s="1"/>
  <c r="O210" i="3"/>
  <c r="I210" i="3"/>
  <c r="G210" i="3"/>
  <c r="E210" i="3"/>
  <c r="Q209" i="3"/>
  <c r="O209" i="3"/>
  <c r="I209" i="3"/>
  <c r="E209" i="3"/>
  <c r="V208" i="3"/>
  <c r="O208" i="3"/>
  <c r="I208" i="3"/>
  <c r="E208" i="3"/>
  <c r="O207" i="3"/>
  <c r="I207" i="3"/>
  <c r="V207" i="3" s="1"/>
  <c r="G207" i="3"/>
  <c r="P207" i="3" s="1"/>
  <c r="R207" i="3" s="1"/>
  <c r="E207" i="3"/>
  <c r="V206" i="3"/>
  <c r="W206" i="3" s="1"/>
  <c r="Q206" i="3"/>
  <c r="P206" i="3"/>
  <c r="R206" i="3" s="1"/>
  <c r="O206" i="3"/>
  <c r="I206" i="3"/>
  <c r="L206" i="3" s="1"/>
  <c r="G206" i="3"/>
  <c r="E206" i="3"/>
  <c r="V205" i="3"/>
  <c r="U205" i="3"/>
  <c r="O205" i="3"/>
  <c r="I205" i="3"/>
  <c r="E205" i="3"/>
  <c r="O204" i="3"/>
  <c r="I204" i="3"/>
  <c r="U204" i="3" s="1"/>
  <c r="G204" i="3"/>
  <c r="E204" i="3"/>
  <c r="U203" i="3"/>
  <c r="O203" i="3"/>
  <c r="Q203" i="3" s="1"/>
  <c r="I203" i="3"/>
  <c r="L203" i="3" s="1"/>
  <c r="G203" i="3"/>
  <c r="E203" i="3"/>
  <c r="O202" i="3"/>
  <c r="I202" i="3"/>
  <c r="E202" i="3"/>
  <c r="O201" i="3"/>
  <c r="I201" i="3"/>
  <c r="V201" i="3" s="1"/>
  <c r="E201" i="3"/>
  <c r="O200" i="3"/>
  <c r="Q200" i="3" s="1"/>
  <c r="L200" i="3"/>
  <c r="I200" i="3"/>
  <c r="E200" i="3"/>
  <c r="U199" i="3"/>
  <c r="Q199" i="3"/>
  <c r="P199" i="3"/>
  <c r="R199" i="3" s="1"/>
  <c r="O199" i="3"/>
  <c r="I199" i="3"/>
  <c r="G199" i="3"/>
  <c r="E199" i="3"/>
  <c r="O198" i="3"/>
  <c r="I198" i="3"/>
  <c r="U198" i="3" s="1"/>
  <c r="G198" i="3"/>
  <c r="P198" i="3" s="1"/>
  <c r="R198" i="3" s="1"/>
  <c r="E198" i="3"/>
  <c r="V197" i="3"/>
  <c r="U197" i="3"/>
  <c r="O197" i="3"/>
  <c r="I197" i="3"/>
  <c r="E197" i="3"/>
  <c r="V196" i="3"/>
  <c r="O196" i="3"/>
  <c r="I196" i="3"/>
  <c r="E196" i="3"/>
  <c r="O195" i="3"/>
  <c r="Q195" i="3" s="1"/>
  <c r="I195" i="3"/>
  <c r="G195" i="3"/>
  <c r="E195" i="3"/>
  <c r="V194" i="3"/>
  <c r="W194" i="3" s="1"/>
  <c r="O194" i="3"/>
  <c r="L194" i="3"/>
  <c r="I194" i="3"/>
  <c r="G194" i="3"/>
  <c r="E194" i="3"/>
  <c r="O193" i="3"/>
  <c r="I193" i="3"/>
  <c r="E193" i="3"/>
  <c r="O192" i="3"/>
  <c r="I192" i="3"/>
  <c r="L192" i="3" s="1"/>
  <c r="E192" i="3"/>
  <c r="O191" i="3"/>
  <c r="I191" i="3"/>
  <c r="K191" i="3" s="1"/>
  <c r="Y191" i="3" s="1"/>
  <c r="G191" i="3"/>
  <c r="P191" i="3" s="1"/>
  <c r="R191" i="3" s="1"/>
  <c r="E191" i="3"/>
  <c r="O190" i="3"/>
  <c r="Q190" i="3" s="1"/>
  <c r="I190" i="3"/>
  <c r="E190" i="3"/>
  <c r="O189" i="3"/>
  <c r="I189" i="3"/>
  <c r="E189" i="3"/>
  <c r="O188" i="3"/>
  <c r="I188" i="3"/>
  <c r="E188" i="3"/>
  <c r="U187" i="3"/>
  <c r="O187" i="3"/>
  <c r="L187" i="3"/>
  <c r="I187" i="3"/>
  <c r="V187" i="3" s="1"/>
  <c r="E187" i="3"/>
  <c r="O186" i="3"/>
  <c r="I186" i="3"/>
  <c r="U186" i="3" s="1"/>
  <c r="G186" i="3"/>
  <c r="E186" i="3"/>
  <c r="O185" i="3"/>
  <c r="Q185" i="3" s="1"/>
  <c r="I185" i="3"/>
  <c r="G185" i="3"/>
  <c r="P185" i="3" s="1"/>
  <c r="R185" i="3" s="1"/>
  <c r="E185" i="3"/>
  <c r="O184" i="3"/>
  <c r="I184" i="3"/>
  <c r="U184" i="3" s="1"/>
  <c r="E184" i="3"/>
  <c r="O183" i="3"/>
  <c r="I183" i="3"/>
  <c r="G183" i="3"/>
  <c r="P183" i="3" s="1"/>
  <c r="R183" i="3" s="1"/>
  <c r="E183" i="3"/>
  <c r="O182" i="3"/>
  <c r="Q182" i="3" s="1"/>
  <c r="I182" i="3"/>
  <c r="E182" i="3"/>
  <c r="U181" i="3"/>
  <c r="O181" i="3"/>
  <c r="I181" i="3"/>
  <c r="V181" i="3" s="1"/>
  <c r="E181" i="3"/>
  <c r="O180" i="3"/>
  <c r="I180" i="3"/>
  <c r="E180" i="3"/>
  <c r="O179" i="3"/>
  <c r="Q179" i="3" s="1"/>
  <c r="I179" i="3"/>
  <c r="V179" i="3" s="1"/>
  <c r="G179" i="3"/>
  <c r="P179" i="3" s="1"/>
  <c r="R179" i="3" s="1"/>
  <c r="E179" i="3"/>
  <c r="O178" i="3"/>
  <c r="I178" i="3"/>
  <c r="G178" i="3"/>
  <c r="P178" i="3" s="1"/>
  <c r="R178" i="3" s="1"/>
  <c r="E178" i="3"/>
  <c r="O177" i="3"/>
  <c r="I177" i="3"/>
  <c r="G177" i="3"/>
  <c r="E177" i="3"/>
  <c r="O176" i="3"/>
  <c r="I176" i="3"/>
  <c r="V176" i="3" s="1"/>
  <c r="E176" i="3"/>
  <c r="V175" i="3"/>
  <c r="U175" i="3"/>
  <c r="O175" i="3"/>
  <c r="S175" i="3" s="1"/>
  <c r="I175" i="3"/>
  <c r="G175" i="3"/>
  <c r="E175" i="3"/>
  <c r="U174" i="3"/>
  <c r="O174" i="3"/>
  <c r="Q174" i="3" s="1"/>
  <c r="I174" i="3"/>
  <c r="V174" i="3" s="1"/>
  <c r="G174" i="3"/>
  <c r="E174" i="3"/>
  <c r="O173" i="3"/>
  <c r="I173" i="3"/>
  <c r="U173" i="3" s="1"/>
  <c r="E173" i="3"/>
  <c r="V172" i="3"/>
  <c r="Q172" i="3"/>
  <c r="O172" i="3"/>
  <c r="I172" i="3"/>
  <c r="E172" i="3"/>
  <c r="O171" i="3"/>
  <c r="I171" i="3"/>
  <c r="T171" i="3" s="1"/>
  <c r="G171" i="3"/>
  <c r="E171" i="3"/>
  <c r="O170" i="3"/>
  <c r="I170" i="3"/>
  <c r="V170" i="3" s="1"/>
  <c r="G170" i="3"/>
  <c r="W170" i="3" s="1"/>
  <c r="E170" i="3"/>
  <c r="U169" i="3"/>
  <c r="O169" i="3"/>
  <c r="I169" i="3"/>
  <c r="E169" i="3"/>
  <c r="V168" i="3"/>
  <c r="U168" i="3"/>
  <c r="Q168" i="3"/>
  <c r="O168" i="3"/>
  <c r="I168" i="3"/>
  <c r="E168" i="3"/>
  <c r="O167" i="3"/>
  <c r="Q167" i="3" s="1"/>
  <c r="I167" i="3"/>
  <c r="U167" i="3" s="1"/>
  <c r="E167" i="3"/>
  <c r="V166" i="3"/>
  <c r="U166" i="3"/>
  <c r="O166" i="3"/>
  <c r="I166" i="3"/>
  <c r="L166" i="3" s="1"/>
  <c r="E166" i="3"/>
  <c r="V165" i="3"/>
  <c r="U165" i="3"/>
  <c r="O165" i="3"/>
  <c r="Q165" i="3" s="1"/>
  <c r="I165" i="3"/>
  <c r="E165" i="3"/>
  <c r="O164" i="3"/>
  <c r="P164" i="3" s="1"/>
  <c r="R164" i="3" s="1"/>
  <c r="I164" i="3"/>
  <c r="G164" i="3"/>
  <c r="K164" i="3" s="1"/>
  <c r="M164" i="3" s="1"/>
  <c r="E164" i="3"/>
  <c r="O163" i="3"/>
  <c r="I163" i="3"/>
  <c r="G163" i="3"/>
  <c r="E163" i="3"/>
  <c r="O162" i="3"/>
  <c r="I162" i="3"/>
  <c r="E162" i="3"/>
  <c r="O161" i="3"/>
  <c r="I161" i="3"/>
  <c r="V161" i="3" s="1"/>
  <c r="E161" i="3"/>
  <c r="O160" i="3"/>
  <c r="I160" i="3"/>
  <c r="V160" i="3" s="1"/>
  <c r="W160" i="3" s="1"/>
  <c r="G160" i="3"/>
  <c r="E160" i="3"/>
  <c r="U159" i="3"/>
  <c r="Q159" i="3"/>
  <c r="O159" i="3"/>
  <c r="I159" i="3"/>
  <c r="E159" i="3"/>
  <c r="O158" i="3"/>
  <c r="Q158" i="3" s="1"/>
  <c r="I158" i="3"/>
  <c r="V158" i="3" s="1"/>
  <c r="G158" i="3"/>
  <c r="K158" i="3" s="1"/>
  <c r="E158" i="3"/>
  <c r="V157" i="3"/>
  <c r="U157" i="3"/>
  <c r="O157" i="3"/>
  <c r="I157" i="3"/>
  <c r="L157" i="3" s="1"/>
  <c r="G157" i="3"/>
  <c r="E157" i="3"/>
  <c r="O156" i="3"/>
  <c r="Q156" i="3" s="1"/>
  <c r="I156" i="3"/>
  <c r="G156" i="3"/>
  <c r="P156" i="3" s="1"/>
  <c r="R156" i="3" s="1"/>
  <c r="E156" i="3"/>
  <c r="O155" i="3"/>
  <c r="I155" i="3"/>
  <c r="V155" i="3" s="1"/>
  <c r="W155" i="3" s="1"/>
  <c r="G155" i="3"/>
  <c r="K155" i="3" s="1"/>
  <c r="E155" i="3"/>
  <c r="O154" i="3"/>
  <c r="Q154" i="3" s="1"/>
  <c r="I154" i="3"/>
  <c r="E154" i="3"/>
  <c r="V153" i="3"/>
  <c r="U153" i="3"/>
  <c r="O153" i="3"/>
  <c r="Q153" i="3" s="1"/>
  <c r="I153" i="3"/>
  <c r="E153" i="3"/>
  <c r="U152" i="3"/>
  <c r="O152" i="3"/>
  <c r="I152" i="3"/>
  <c r="V152" i="3" s="1"/>
  <c r="E152" i="3"/>
  <c r="O151" i="3"/>
  <c r="I151" i="3"/>
  <c r="L151" i="3" s="1"/>
  <c r="G151" i="3"/>
  <c r="E151" i="3"/>
  <c r="V150" i="3"/>
  <c r="O150" i="3"/>
  <c r="I150" i="3"/>
  <c r="U150" i="3" s="1"/>
  <c r="E150" i="3"/>
  <c r="O149" i="3"/>
  <c r="Q149" i="3" s="1"/>
  <c r="I149" i="3"/>
  <c r="V149" i="3" s="1"/>
  <c r="G149" i="3"/>
  <c r="E149" i="3"/>
  <c r="O148" i="3"/>
  <c r="I148" i="3"/>
  <c r="U148" i="3" s="1"/>
  <c r="E148" i="3"/>
  <c r="O147" i="3"/>
  <c r="Q147" i="3" s="1"/>
  <c r="I147" i="3"/>
  <c r="U147" i="3" s="1"/>
  <c r="E147" i="3"/>
  <c r="V146" i="3"/>
  <c r="W146" i="3" s="1"/>
  <c r="O146" i="3"/>
  <c r="Q146" i="3" s="1"/>
  <c r="I146" i="3"/>
  <c r="G146" i="3"/>
  <c r="E146" i="3"/>
  <c r="U145" i="3"/>
  <c r="O145" i="3"/>
  <c r="L145" i="3"/>
  <c r="I145" i="3"/>
  <c r="E145" i="3"/>
  <c r="U144" i="3"/>
  <c r="O144" i="3"/>
  <c r="Q144" i="3" s="1"/>
  <c r="I144" i="3"/>
  <c r="E144" i="3"/>
  <c r="O143" i="3"/>
  <c r="P143" i="3" s="1"/>
  <c r="R143" i="3" s="1"/>
  <c r="I143" i="3"/>
  <c r="V143" i="3" s="1"/>
  <c r="W143" i="3" s="1"/>
  <c r="G143" i="3"/>
  <c r="E143" i="3"/>
  <c r="U142" i="3"/>
  <c r="O142" i="3"/>
  <c r="I142" i="3"/>
  <c r="V142" i="3" s="1"/>
  <c r="G142" i="3"/>
  <c r="E142" i="3"/>
  <c r="V141" i="3"/>
  <c r="O141" i="3"/>
  <c r="L141" i="3"/>
  <c r="I141" i="3"/>
  <c r="E141" i="3"/>
  <c r="V140" i="3"/>
  <c r="U140" i="3"/>
  <c r="O140" i="3"/>
  <c r="I140" i="3"/>
  <c r="G140" i="3"/>
  <c r="E140" i="3"/>
  <c r="O139" i="3"/>
  <c r="I139" i="3"/>
  <c r="U139" i="3" s="1"/>
  <c r="E139" i="3"/>
  <c r="O138" i="3"/>
  <c r="Q138" i="3" s="1"/>
  <c r="I138" i="3"/>
  <c r="U138" i="3" s="1"/>
  <c r="V137" i="3"/>
  <c r="U137" i="3"/>
  <c r="Q137" i="3"/>
  <c r="O137" i="3"/>
  <c r="I137" i="3"/>
  <c r="E137" i="3"/>
  <c r="O136" i="3"/>
  <c r="I136" i="3"/>
  <c r="O135" i="3"/>
  <c r="Q135" i="3" s="1"/>
  <c r="I135" i="3"/>
  <c r="O134" i="3"/>
  <c r="Q134" i="3" s="1"/>
  <c r="I134" i="3"/>
  <c r="V134" i="3" s="1"/>
  <c r="W134" i="3" s="1"/>
  <c r="G134" i="3"/>
  <c r="K134" i="3" s="1"/>
  <c r="V133" i="3"/>
  <c r="O133" i="3"/>
  <c r="I133" i="3"/>
  <c r="U133" i="3" s="1"/>
  <c r="O132" i="3"/>
  <c r="I132" i="3"/>
  <c r="G132" i="3"/>
  <c r="O131" i="3"/>
  <c r="Q131" i="3" s="1"/>
  <c r="I131" i="3"/>
  <c r="L131" i="3" s="1"/>
  <c r="G131" i="3"/>
  <c r="P131" i="3" s="1"/>
  <c r="R131" i="3" s="1"/>
  <c r="O130" i="3"/>
  <c r="I130" i="3"/>
  <c r="V130" i="3" s="1"/>
  <c r="W130" i="3" s="1"/>
  <c r="G130" i="3"/>
  <c r="V129" i="3"/>
  <c r="O129" i="3"/>
  <c r="I129" i="3"/>
  <c r="O128" i="3"/>
  <c r="I128" i="3"/>
  <c r="E128" i="3"/>
  <c r="O127" i="3"/>
  <c r="I127" i="3"/>
  <c r="V127" i="3" s="1"/>
  <c r="O126" i="3"/>
  <c r="I126" i="3"/>
  <c r="L126" i="3" s="1"/>
  <c r="U125" i="3"/>
  <c r="O125" i="3"/>
  <c r="Q125" i="3" s="1"/>
  <c r="I125" i="3"/>
  <c r="V124" i="3"/>
  <c r="O124" i="3"/>
  <c r="Q124" i="3" s="1"/>
  <c r="I124" i="3"/>
  <c r="U124" i="3" s="1"/>
  <c r="O123" i="3"/>
  <c r="Q123" i="3" s="1"/>
  <c r="I123" i="3"/>
  <c r="U123" i="3" s="1"/>
  <c r="O122" i="3"/>
  <c r="Q122" i="3" s="1"/>
  <c r="I122" i="3"/>
  <c r="O121" i="3"/>
  <c r="I121" i="3"/>
  <c r="G121" i="3"/>
  <c r="O120" i="3"/>
  <c r="I120" i="3"/>
  <c r="E120" i="3"/>
  <c r="O119" i="3"/>
  <c r="Q119" i="3" s="1"/>
  <c r="I119" i="3"/>
  <c r="V119" i="3" s="1"/>
  <c r="O118" i="3"/>
  <c r="Q118" i="3" s="1"/>
  <c r="I118" i="3"/>
  <c r="G118" i="3"/>
  <c r="O117" i="3"/>
  <c r="Q117" i="3" s="1"/>
  <c r="I117" i="3"/>
  <c r="O116" i="3"/>
  <c r="Q116" i="3" s="1"/>
  <c r="I116" i="3"/>
  <c r="U116" i="3" s="1"/>
  <c r="V115" i="3"/>
  <c r="O115" i="3"/>
  <c r="L115" i="3"/>
  <c r="I115" i="3"/>
  <c r="U115" i="3" s="1"/>
  <c r="V114" i="3"/>
  <c r="W114" i="3" s="1"/>
  <c r="O114" i="3"/>
  <c r="I114" i="3"/>
  <c r="L114" i="3" s="1"/>
  <c r="G114" i="3"/>
  <c r="O113" i="3"/>
  <c r="I113" i="3"/>
  <c r="U112" i="3"/>
  <c r="O112" i="3"/>
  <c r="I112" i="3"/>
  <c r="L112" i="3" s="1"/>
  <c r="G112" i="3"/>
  <c r="P112" i="3" s="1"/>
  <c r="R112" i="3" s="1"/>
  <c r="V111" i="3"/>
  <c r="U111" i="3"/>
  <c r="O111" i="3"/>
  <c r="I111" i="3"/>
  <c r="V110" i="3"/>
  <c r="Q110" i="3"/>
  <c r="O110" i="3"/>
  <c r="I110" i="3"/>
  <c r="L110" i="3" s="1"/>
  <c r="G110" i="3"/>
  <c r="P110" i="3" s="1"/>
  <c r="R110" i="3" s="1"/>
  <c r="E110" i="3"/>
  <c r="O109" i="3"/>
  <c r="Q109" i="3" s="1"/>
  <c r="I109" i="3"/>
  <c r="G109" i="3"/>
  <c r="E109" i="3"/>
  <c r="W108" i="3"/>
  <c r="O108" i="3"/>
  <c r="Q108" i="3" s="1"/>
  <c r="I108" i="3"/>
  <c r="V108" i="3" s="1"/>
  <c r="G108" i="3"/>
  <c r="E108" i="3"/>
  <c r="O107" i="3"/>
  <c r="I107" i="3"/>
  <c r="E107" i="3"/>
  <c r="O106" i="3"/>
  <c r="I106" i="3"/>
  <c r="L106" i="3" s="1"/>
  <c r="E106" i="3"/>
  <c r="O105" i="3"/>
  <c r="Q105" i="3" s="1"/>
  <c r="I105" i="3"/>
  <c r="E105" i="3"/>
  <c r="O104" i="3"/>
  <c r="Q104" i="3" s="1"/>
  <c r="I104" i="3"/>
  <c r="U104" i="3" s="1"/>
  <c r="E104" i="3"/>
  <c r="O103" i="3"/>
  <c r="I103" i="3"/>
  <c r="G103" i="3"/>
  <c r="E103" i="3"/>
  <c r="O102" i="3"/>
  <c r="I102" i="3"/>
  <c r="L102" i="3" s="1"/>
  <c r="G102" i="3"/>
  <c r="P102" i="3" s="1"/>
  <c r="R102" i="3" s="1"/>
  <c r="E102" i="3"/>
  <c r="V101" i="3"/>
  <c r="O101" i="3"/>
  <c r="Q101" i="3" s="1"/>
  <c r="I101" i="3"/>
  <c r="E101" i="3"/>
  <c r="U100" i="3"/>
  <c r="O100" i="3"/>
  <c r="L100" i="3"/>
  <c r="I100" i="3"/>
  <c r="G100" i="3"/>
  <c r="E100" i="3"/>
  <c r="O99" i="3"/>
  <c r="I99" i="3"/>
  <c r="V99" i="3" s="1"/>
  <c r="G99" i="3"/>
  <c r="P99" i="3" s="1"/>
  <c r="R99" i="3" s="1"/>
  <c r="E99" i="3"/>
  <c r="U98" i="3"/>
  <c r="O98" i="3"/>
  <c r="Q98" i="3" s="1"/>
  <c r="I98" i="3"/>
  <c r="G98" i="3"/>
  <c r="P98" i="3" s="1"/>
  <c r="R98" i="3" s="1"/>
  <c r="E98" i="3"/>
  <c r="O97" i="3"/>
  <c r="Q97" i="3" s="1"/>
  <c r="I97" i="3"/>
  <c r="K97" i="3" s="1"/>
  <c r="G97" i="3"/>
  <c r="E97" i="3"/>
  <c r="O96" i="3"/>
  <c r="I96" i="3"/>
  <c r="U96" i="3" s="1"/>
  <c r="E96" i="3"/>
  <c r="V95" i="3"/>
  <c r="O95" i="3"/>
  <c r="Q95" i="3" s="1"/>
  <c r="I95" i="3"/>
  <c r="U95" i="3" s="1"/>
  <c r="E95" i="3"/>
  <c r="U94" i="3"/>
  <c r="Q94" i="3"/>
  <c r="O94" i="3"/>
  <c r="I94" i="3"/>
  <c r="V94" i="3" s="1"/>
  <c r="E94" i="3"/>
  <c r="V93" i="3"/>
  <c r="O93" i="3"/>
  <c r="Q93" i="3" s="1"/>
  <c r="I93" i="3"/>
  <c r="L93" i="3" s="1"/>
  <c r="G93" i="3"/>
  <c r="E93" i="3"/>
  <c r="V92" i="3"/>
  <c r="W92" i="3" s="1"/>
  <c r="O92" i="3"/>
  <c r="L92" i="3"/>
  <c r="I92" i="3"/>
  <c r="U92" i="3" s="1"/>
  <c r="G92" i="3"/>
  <c r="E92" i="3"/>
  <c r="U91" i="3"/>
  <c r="O91" i="3"/>
  <c r="I91" i="3"/>
  <c r="V91" i="3" s="1"/>
  <c r="G91" i="3"/>
  <c r="K91" i="3" s="1"/>
  <c r="E91" i="3"/>
  <c r="O90" i="3"/>
  <c r="Q90" i="3" s="1"/>
  <c r="I90" i="3"/>
  <c r="E90" i="3"/>
  <c r="U89" i="3"/>
  <c r="O89" i="3"/>
  <c r="Q89" i="3" s="1"/>
  <c r="I89" i="3"/>
  <c r="V89" i="3" s="1"/>
  <c r="E89" i="3"/>
  <c r="O88" i="3"/>
  <c r="I88" i="3"/>
  <c r="G88" i="3"/>
  <c r="E88" i="3"/>
  <c r="Q87" i="3"/>
  <c r="O87" i="3"/>
  <c r="I87" i="3"/>
  <c r="G87" i="3"/>
  <c r="P87" i="3" s="1"/>
  <c r="R87" i="3" s="1"/>
  <c r="E87" i="3"/>
  <c r="V86" i="3"/>
  <c r="W86" i="3" s="1"/>
  <c r="O86" i="3"/>
  <c r="L86" i="3"/>
  <c r="K86" i="3"/>
  <c r="I86" i="3"/>
  <c r="U86" i="3" s="1"/>
  <c r="G86" i="3"/>
  <c r="E86" i="3"/>
  <c r="O85" i="3"/>
  <c r="Q85" i="3" s="1"/>
  <c r="I85" i="3"/>
  <c r="V85" i="3" s="1"/>
  <c r="G85" i="3"/>
  <c r="P85" i="3" s="1"/>
  <c r="R85" i="3" s="1"/>
  <c r="E85" i="3"/>
  <c r="U84" i="3"/>
  <c r="O84" i="3"/>
  <c r="Q84" i="3" s="1"/>
  <c r="I84" i="3"/>
  <c r="V84" i="3" s="1"/>
  <c r="G84" i="3"/>
  <c r="E84" i="3"/>
  <c r="O83" i="3"/>
  <c r="I83" i="3"/>
  <c r="U83" i="3" s="1"/>
  <c r="G83" i="3"/>
  <c r="E83" i="3"/>
  <c r="O82" i="3"/>
  <c r="Q82" i="3" s="1"/>
  <c r="I82" i="3"/>
  <c r="G82" i="3"/>
  <c r="E82" i="3"/>
  <c r="O81" i="3"/>
  <c r="Q81" i="3" s="1"/>
  <c r="L81" i="3"/>
  <c r="K81" i="3"/>
  <c r="M81" i="3" s="1"/>
  <c r="I81" i="3"/>
  <c r="U81" i="3" s="1"/>
  <c r="G81" i="3"/>
  <c r="E81" i="3"/>
  <c r="V80" i="3"/>
  <c r="U80" i="3"/>
  <c r="O80" i="3"/>
  <c r="Q80" i="3" s="1"/>
  <c r="I80" i="3"/>
  <c r="E80" i="3"/>
  <c r="V79" i="3"/>
  <c r="O79" i="3"/>
  <c r="Q79" i="3" s="1"/>
  <c r="I79" i="3"/>
  <c r="G79" i="3"/>
  <c r="E79" i="3"/>
  <c r="O78" i="3"/>
  <c r="I78" i="3"/>
  <c r="V78" i="3" s="1"/>
  <c r="G78" i="3"/>
  <c r="E78" i="3"/>
  <c r="Q77" i="3"/>
  <c r="O77" i="3"/>
  <c r="I77" i="3"/>
  <c r="G77" i="3"/>
  <c r="E77" i="3"/>
  <c r="O76" i="3"/>
  <c r="Q76" i="3" s="1"/>
  <c r="I76" i="3"/>
  <c r="G76" i="3"/>
  <c r="E76" i="3"/>
  <c r="V75" i="3"/>
  <c r="W75" i="3" s="1"/>
  <c r="U75" i="3"/>
  <c r="O75" i="3"/>
  <c r="Q75" i="3" s="1"/>
  <c r="L75" i="3"/>
  <c r="I75" i="3"/>
  <c r="G75" i="3"/>
  <c r="K75" i="3" s="1"/>
  <c r="E75" i="3"/>
  <c r="O74" i="3"/>
  <c r="Q74" i="3" s="1"/>
  <c r="K74" i="3"/>
  <c r="I74" i="3"/>
  <c r="G74" i="3"/>
  <c r="E74" i="3"/>
  <c r="O73" i="3"/>
  <c r="Q73" i="3" s="1"/>
  <c r="I73" i="3"/>
  <c r="V73" i="3" s="1"/>
  <c r="E73" i="3"/>
  <c r="O72" i="3"/>
  <c r="I72" i="3"/>
  <c r="U72" i="3" s="1"/>
  <c r="G72" i="3"/>
  <c r="E72" i="3"/>
  <c r="O71" i="3"/>
  <c r="Q71" i="3" s="1"/>
  <c r="I71" i="3"/>
  <c r="U71" i="3" s="1"/>
  <c r="G71" i="3"/>
  <c r="E71" i="3"/>
  <c r="O70" i="3"/>
  <c r="I70" i="3"/>
  <c r="U70" i="3" s="1"/>
  <c r="G70" i="3"/>
  <c r="E70" i="3"/>
  <c r="V69" i="3"/>
  <c r="O69" i="3"/>
  <c r="Q69" i="3" s="1"/>
  <c r="I69" i="3"/>
  <c r="G69" i="3"/>
  <c r="P69" i="3" s="1"/>
  <c r="R69" i="3" s="1"/>
  <c r="E69" i="3"/>
  <c r="O68" i="3"/>
  <c r="Q68" i="3" s="1"/>
  <c r="I68" i="3"/>
  <c r="V68" i="3" s="1"/>
  <c r="E68" i="3"/>
  <c r="V67" i="3"/>
  <c r="W67" i="3" s="1"/>
  <c r="O67" i="3"/>
  <c r="Q67" i="3" s="1"/>
  <c r="I67" i="3"/>
  <c r="G67" i="3"/>
  <c r="K67" i="3" s="1"/>
  <c r="M67" i="3" s="1"/>
  <c r="E67" i="3"/>
  <c r="Q66" i="3"/>
  <c r="O66" i="3"/>
  <c r="P66" i="3" s="1"/>
  <c r="R66" i="3" s="1"/>
  <c r="I66" i="3"/>
  <c r="V66" i="3" s="1"/>
  <c r="W66" i="3" s="1"/>
  <c r="G66" i="3"/>
  <c r="E66" i="3"/>
  <c r="O65" i="3"/>
  <c r="Q65" i="3" s="1"/>
  <c r="I65" i="3"/>
  <c r="G65" i="3"/>
  <c r="E65" i="3"/>
  <c r="P64" i="3"/>
  <c r="R64" i="3" s="1"/>
  <c r="O64" i="3"/>
  <c r="Q64" i="3" s="1"/>
  <c r="I64" i="3"/>
  <c r="G64" i="3"/>
  <c r="E64" i="3"/>
  <c r="V63" i="3"/>
  <c r="U63" i="3"/>
  <c r="O63" i="3"/>
  <c r="P63" i="3" s="1"/>
  <c r="R63" i="3" s="1"/>
  <c r="L63" i="3"/>
  <c r="I63" i="3"/>
  <c r="G63" i="3"/>
  <c r="E63" i="3"/>
  <c r="O62" i="3"/>
  <c r="Q62" i="3" s="1"/>
  <c r="I62" i="3"/>
  <c r="G62" i="3"/>
  <c r="E62" i="3"/>
  <c r="O61" i="3"/>
  <c r="I61" i="3"/>
  <c r="V61" i="3" s="1"/>
  <c r="G61" i="3"/>
  <c r="U60" i="3"/>
  <c r="O60" i="3"/>
  <c r="I60" i="3"/>
  <c r="V60" i="3" s="1"/>
  <c r="G60" i="3"/>
  <c r="K60" i="3" s="1"/>
  <c r="M60" i="3" s="1"/>
  <c r="U59" i="3"/>
  <c r="O59" i="3"/>
  <c r="Q59" i="3" s="1"/>
  <c r="L59" i="3"/>
  <c r="I59" i="3"/>
  <c r="V59" i="3" s="1"/>
  <c r="W59" i="3" s="1"/>
  <c r="G59" i="3"/>
  <c r="K59" i="3" s="1"/>
  <c r="M59" i="3" s="1"/>
  <c r="U58" i="3"/>
  <c r="O58" i="3"/>
  <c r="Q58" i="3" s="1"/>
  <c r="I58" i="3"/>
  <c r="L58" i="3" s="1"/>
  <c r="G58" i="3"/>
  <c r="V57" i="3"/>
  <c r="U57" i="3"/>
  <c r="O57" i="3"/>
  <c r="I57" i="3"/>
  <c r="L57" i="3" s="1"/>
  <c r="G57" i="3"/>
  <c r="K57" i="3" s="1"/>
  <c r="O56" i="3"/>
  <c r="Q56" i="3" s="1"/>
  <c r="I56" i="3"/>
  <c r="L56" i="3" s="1"/>
  <c r="G56" i="3"/>
  <c r="P56" i="3" s="1"/>
  <c r="R56" i="3" s="1"/>
  <c r="U55" i="3"/>
  <c r="O55" i="3"/>
  <c r="Q55" i="3" s="1"/>
  <c r="L55" i="3"/>
  <c r="I55" i="3"/>
  <c r="V54" i="3"/>
  <c r="U54" i="3"/>
  <c r="Q54" i="3"/>
  <c r="O54" i="3"/>
  <c r="I54" i="3"/>
  <c r="O53" i="3"/>
  <c r="Q53" i="3" s="1"/>
  <c r="I53" i="3"/>
  <c r="G53" i="3"/>
  <c r="P53" i="3" s="1"/>
  <c r="R53" i="3" s="1"/>
  <c r="O52" i="3"/>
  <c r="Q52" i="3" s="1"/>
  <c r="I52" i="3"/>
  <c r="V51" i="3"/>
  <c r="W51" i="3" s="1"/>
  <c r="O51" i="3"/>
  <c r="M51" i="3"/>
  <c r="K51" i="3"/>
  <c r="I51" i="3"/>
  <c r="G51" i="3"/>
  <c r="O50" i="3"/>
  <c r="Q50" i="3" s="1"/>
  <c r="I50" i="3"/>
  <c r="G50" i="3"/>
  <c r="O49" i="3"/>
  <c r="Q49" i="3" s="1"/>
  <c r="I49" i="3"/>
  <c r="V49" i="3" s="1"/>
  <c r="G49" i="3"/>
  <c r="P49" i="3" s="1"/>
  <c r="R49" i="3" s="1"/>
  <c r="E49" i="3"/>
  <c r="V48" i="3"/>
  <c r="W48" i="3" s="1"/>
  <c r="Q48" i="3"/>
  <c r="O48" i="3"/>
  <c r="P48" i="3" s="1"/>
  <c r="R48" i="3" s="1"/>
  <c r="I48" i="3"/>
  <c r="L48" i="3" s="1"/>
  <c r="G48" i="3"/>
  <c r="E48" i="3"/>
  <c r="O47" i="3"/>
  <c r="Q47" i="3" s="1"/>
  <c r="I47" i="3"/>
  <c r="G47" i="3"/>
  <c r="E47" i="3"/>
  <c r="W46" i="3"/>
  <c r="U46" i="3"/>
  <c r="O46" i="3"/>
  <c r="Q46" i="3" s="1"/>
  <c r="I46" i="3"/>
  <c r="V46" i="3" s="1"/>
  <c r="G46" i="3"/>
  <c r="E46" i="3"/>
  <c r="U45" i="3"/>
  <c r="O45" i="3"/>
  <c r="L45" i="3"/>
  <c r="I45" i="3"/>
  <c r="G45" i="3"/>
  <c r="E45" i="3"/>
  <c r="O44" i="3"/>
  <c r="I44" i="3"/>
  <c r="G44" i="3"/>
  <c r="P44" i="3" s="1"/>
  <c r="R44" i="3" s="1"/>
  <c r="E44" i="3"/>
  <c r="O43" i="3"/>
  <c r="L43" i="3"/>
  <c r="K43" i="3"/>
  <c r="I43" i="3"/>
  <c r="G43" i="3"/>
  <c r="E43" i="3"/>
  <c r="O42" i="3"/>
  <c r="P42" i="3" s="1"/>
  <c r="R42" i="3" s="1"/>
  <c r="I42" i="3"/>
  <c r="K42" i="3" s="1"/>
  <c r="M42" i="3" s="1"/>
  <c r="G42" i="3"/>
  <c r="E42" i="3"/>
  <c r="Q41" i="3"/>
  <c r="O41" i="3"/>
  <c r="I41" i="3"/>
  <c r="V41" i="3" s="1"/>
  <c r="G41" i="3"/>
  <c r="E41" i="3"/>
  <c r="O40" i="3"/>
  <c r="I40" i="3"/>
  <c r="V40" i="3" s="1"/>
  <c r="G40" i="3"/>
  <c r="E40" i="3"/>
  <c r="O39" i="3"/>
  <c r="I39" i="3"/>
  <c r="L39" i="3" s="1"/>
  <c r="E39" i="3"/>
  <c r="O38" i="3"/>
  <c r="I38" i="3"/>
  <c r="U38" i="3" s="1"/>
  <c r="G38" i="3"/>
  <c r="P38" i="3" s="1"/>
  <c r="R38" i="3" s="1"/>
  <c r="E38" i="3"/>
  <c r="U37" i="3"/>
  <c r="O37" i="3"/>
  <c r="Q37" i="3" s="1"/>
  <c r="I37" i="3"/>
  <c r="G37" i="3"/>
  <c r="P37" i="3" s="1"/>
  <c r="R37" i="3" s="1"/>
  <c r="E37" i="3"/>
  <c r="O36" i="3"/>
  <c r="Q36" i="3" s="1"/>
  <c r="I36" i="3"/>
  <c r="U36" i="3" s="1"/>
  <c r="E36" i="3"/>
  <c r="Q35" i="3"/>
  <c r="O35" i="3"/>
  <c r="I35" i="3"/>
  <c r="K35" i="3" s="1"/>
  <c r="M35" i="3" s="1"/>
  <c r="G35" i="3"/>
  <c r="E35" i="3"/>
  <c r="U34" i="3"/>
  <c r="O34" i="3"/>
  <c r="Q34" i="3" s="1"/>
  <c r="L34" i="3"/>
  <c r="I34" i="3"/>
  <c r="V34" i="3" s="1"/>
  <c r="E34" i="3"/>
  <c r="Q33" i="3"/>
  <c r="O33" i="3"/>
  <c r="I33" i="3"/>
  <c r="V33" i="3" s="1"/>
  <c r="G33" i="3"/>
  <c r="E33" i="3"/>
  <c r="O32" i="3"/>
  <c r="I32" i="3"/>
  <c r="G32" i="3"/>
  <c r="E32" i="3"/>
  <c r="O31" i="3"/>
  <c r="I31" i="3"/>
  <c r="G31" i="3"/>
  <c r="E31" i="3"/>
  <c r="U30" i="3"/>
  <c r="O30" i="3"/>
  <c r="I30" i="3"/>
  <c r="V30" i="3" s="1"/>
  <c r="G30" i="3"/>
  <c r="E30" i="3"/>
  <c r="O29" i="3"/>
  <c r="Q29" i="3" s="1"/>
  <c r="I29" i="3"/>
  <c r="G29" i="3"/>
  <c r="E29" i="3"/>
  <c r="V28" i="3"/>
  <c r="W28" i="3" s="1"/>
  <c r="O28" i="3"/>
  <c r="P28" i="3" s="1"/>
  <c r="R28" i="3" s="1"/>
  <c r="L28" i="3"/>
  <c r="K28" i="3"/>
  <c r="I28" i="3"/>
  <c r="U28" i="3" s="1"/>
  <c r="G28" i="3"/>
  <c r="E28" i="3"/>
  <c r="O27" i="3"/>
  <c r="Q27" i="3" s="1"/>
  <c r="I27" i="3"/>
  <c r="V27" i="3" s="1"/>
  <c r="W27" i="3" s="1"/>
  <c r="G27" i="3"/>
  <c r="P27" i="3" s="1"/>
  <c r="R27" i="3" s="1"/>
  <c r="E27" i="3"/>
  <c r="O26" i="3"/>
  <c r="Q26" i="3" s="1"/>
  <c r="I26" i="3"/>
  <c r="G26" i="3"/>
  <c r="E26" i="3"/>
  <c r="O25" i="3"/>
  <c r="L25" i="3"/>
  <c r="I25" i="3"/>
  <c r="V25" i="3" s="1"/>
  <c r="W25" i="3" s="1"/>
  <c r="G25" i="3"/>
  <c r="E25" i="3"/>
  <c r="U24" i="3"/>
  <c r="O24" i="3"/>
  <c r="Q24" i="3" s="1"/>
  <c r="I24" i="3"/>
  <c r="V24" i="3" s="1"/>
  <c r="G24" i="3"/>
  <c r="E24" i="3"/>
  <c r="Q23" i="3"/>
  <c r="O23" i="3"/>
  <c r="I23" i="3"/>
  <c r="V23" i="3" s="1"/>
  <c r="E23" i="3"/>
  <c r="O22" i="3"/>
  <c r="I22" i="3"/>
  <c r="T22" i="3" s="1"/>
  <c r="G22" i="3"/>
  <c r="E22" i="3"/>
  <c r="O21" i="3"/>
  <c r="Q21" i="3" s="1"/>
  <c r="I21" i="3"/>
  <c r="G21" i="3"/>
  <c r="P21" i="3" s="1"/>
  <c r="R21" i="3" s="1"/>
  <c r="E21" i="3"/>
  <c r="O20" i="3"/>
  <c r="S20" i="3" s="1"/>
  <c r="I20" i="3"/>
  <c r="E20" i="3"/>
  <c r="Q19" i="3"/>
  <c r="O19" i="3"/>
  <c r="I19" i="3"/>
  <c r="G19" i="3"/>
  <c r="K19" i="3" s="1"/>
  <c r="E19" i="3"/>
  <c r="O18" i="3"/>
  <c r="Q18" i="3" s="1"/>
  <c r="I18" i="3"/>
  <c r="E18" i="3"/>
  <c r="V17" i="3"/>
  <c r="W17" i="3" s="1"/>
  <c r="U17" i="3"/>
  <c r="O17" i="3"/>
  <c r="I17" i="3"/>
  <c r="L17" i="3" s="1"/>
  <c r="G17" i="3"/>
  <c r="E17" i="3"/>
  <c r="O16" i="3"/>
  <c r="Q16" i="3" s="1"/>
  <c r="I16" i="3"/>
  <c r="G16" i="3"/>
  <c r="E16" i="3"/>
  <c r="V15" i="3"/>
  <c r="W15" i="3" s="1"/>
  <c r="U15" i="3"/>
  <c r="O15" i="3"/>
  <c r="Q15" i="3" s="1"/>
  <c r="K15" i="3"/>
  <c r="I15" i="3"/>
  <c r="G15" i="3"/>
  <c r="E15" i="3"/>
  <c r="U14" i="3"/>
  <c r="O14" i="3"/>
  <c r="Q14" i="3" s="1"/>
  <c r="I14" i="3"/>
  <c r="V14" i="3" s="1"/>
  <c r="G14" i="3"/>
  <c r="E14" i="3"/>
  <c r="U13" i="3"/>
  <c r="O13" i="3"/>
  <c r="P13" i="3" s="1"/>
  <c r="R13" i="3" s="1"/>
  <c r="I13" i="3"/>
  <c r="G13" i="3"/>
  <c r="E13" i="3"/>
  <c r="O12" i="3"/>
  <c r="L12" i="3"/>
  <c r="I12" i="3"/>
  <c r="U12" i="3" s="1"/>
  <c r="G12" i="3"/>
  <c r="E12" i="3"/>
  <c r="O11" i="3"/>
  <c r="Q11" i="3" s="1"/>
  <c r="I11" i="3"/>
  <c r="L11" i="3" s="1"/>
  <c r="G11" i="3"/>
  <c r="E11" i="3"/>
  <c r="O10" i="3"/>
  <c r="I10" i="3"/>
  <c r="G10" i="3"/>
  <c r="E10" i="3"/>
  <c r="O9" i="3"/>
  <c r="I9" i="3"/>
  <c r="V9" i="3" s="1"/>
  <c r="G9" i="3"/>
  <c r="E9" i="3"/>
  <c r="O8" i="3"/>
  <c r="Q8" i="3" s="1"/>
  <c r="I8" i="3"/>
  <c r="G8" i="3"/>
  <c r="E8" i="3"/>
  <c r="U7" i="3"/>
  <c r="O7" i="3"/>
  <c r="I7" i="3"/>
  <c r="V7" i="3" s="1"/>
  <c r="E7" i="3"/>
  <c r="O6" i="3"/>
  <c r="Q6" i="3" s="1"/>
  <c r="I6" i="3"/>
  <c r="G6" i="3"/>
  <c r="P6" i="3" s="1"/>
  <c r="R6" i="3" s="1"/>
  <c r="E6" i="3"/>
  <c r="O5" i="3"/>
  <c r="Q5" i="3" s="1"/>
  <c r="I5" i="3"/>
  <c r="L5" i="3" s="1"/>
  <c r="G5" i="3"/>
  <c r="E5" i="3"/>
  <c r="O4" i="3"/>
  <c r="Q4" i="3" s="1"/>
  <c r="I4" i="3"/>
  <c r="L4" i="3" s="1"/>
  <c r="G4" i="3"/>
  <c r="E4" i="3"/>
  <c r="O3" i="3"/>
  <c r="Q3" i="3" s="1"/>
  <c r="I3" i="3"/>
  <c r="G3" i="3"/>
  <c r="E3" i="3"/>
  <c r="U2" i="3"/>
  <c r="O2" i="3"/>
  <c r="I2" i="3"/>
  <c r="L2" i="3" s="1"/>
  <c r="G2" i="3"/>
  <c r="E2" i="3"/>
  <c r="B14" i="2"/>
  <c r="B15" i="2" s="1"/>
  <c r="B12" i="2"/>
  <c r="B5" i="2"/>
  <c r="L291" i="3" s="1"/>
  <c r="B5" i="1"/>
  <c r="B3" i="1"/>
  <c r="L83" i="3" l="1"/>
  <c r="L147" i="3"/>
  <c r="L179" i="3"/>
  <c r="K41" i="3"/>
  <c r="P67" i="3"/>
  <c r="K78" i="3"/>
  <c r="L160" i="3"/>
  <c r="V173" i="3"/>
  <c r="W49" i="3"/>
  <c r="U78" i="3"/>
  <c r="L99" i="3"/>
  <c r="P35" i="3"/>
  <c r="R35" i="3" s="1"/>
  <c r="L49" i="3"/>
  <c r="U170" i="3"/>
  <c r="U219" i="3"/>
  <c r="U237" i="3"/>
  <c r="V237" i="3"/>
  <c r="V271" i="3"/>
  <c r="W271" i="3" s="1"/>
  <c r="U271" i="3"/>
  <c r="U53" i="3"/>
  <c r="K53" i="3"/>
  <c r="M53" i="3" s="1"/>
  <c r="W158" i="3"/>
  <c r="Q164" i="3"/>
  <c r="V177" i="3"/>
  <c r="W177" i="3" s="1"/>
  <c r="U177" i="3"/>
  <c r="P195" i="3"/>
  <c r="R195" i="3" s="1"/>
  <c r="L237" i="3"/>
  <c r="U306" i="3"/>
  <c r="V320" i="3"/>
  <c r="U320" i="3"/>
  <c r="V342" i="3"/>
  <c r="P3" i="3"/>
  <c r="R3" i="3" s="1"/>
  <c r="P33" i="3"/>
  <c r="R33" i="3" s="1"/>
  <c r="L123" i="3"/>
  <c r="L177" i="3"/>
  <c r="V285" i="3"/>
  <c r="U285" i="3"/>
  <c r="L41" i="3"/>
  <c r="L78" i="3"/>
  <c r="V116" i="3"/>
  <c r="L176" i="3"/>
  <c r="U179" i="3"/>
  <c r="W207" i="3"/>
  <c r="V301" i="3"/>
  <c r="P41" i="3"/>
  <c r="R41" i="3" s="1"/>
  <c r="K70" i="3"/>
  <c r="M70" i="3" s="1"/>
  <c r="W9" i="3"/>
  <c r="P29" i="3"/>
  <c r="R29" i="3" s="1"/>
  <c r="L44" i="3"/>
  <c r="K44" i="3"/>
  <c r="Y44" i="3" s="1"/>
  <c r="L70" i="3"/>
  <c r="Q9" i="3"/>
  <c r="P9" i="3"/>
  <c r="R9" i="3" s="1"/>
  <c r="L33" i="3"/>
  <c r="U99" i="3"/>
  <c r="L184" i="3"/>
  <c r="L66" i="3"/>
  <c r="K79" i="3"/>
  <c r="M79" i="3" s="1"/>
  <c r="L79" i="3"/>
  <c r="L127" i="3"/>
  <c r="P149" i="3"/>
  <c r="R149" i="3" s="1"/>
  <c r="L158" i="3"/>
  <c r="V222" i="3"/>
  <c r="U229" i="3"/>
  <c r="U9" i="3"/>
  <c r="U44" i="3"/>
  <c r="U49" i="3"/>
  <c r="U68" i="3"/>
  <c r="P84" i="3"/>
  <c r="R84" i="3" s="1"/>
  <c r="V102" i="3"/>
  <c r="L152" i="3"/>
  <c r="U155" i="3"/>
  <c r="U161" i="3"/>
  <c r="V276" i="3"/>
  <c r="W276" i="3" s="1"/>
  <c r="P15" i="3"/>
  <c r="R15" i="3" s="1"/>
  <c r="K25" i="3"/>
  <c r="U33" i="3"/>
  <c r="V44" i="3"/>
  <c r="W44" i="3" s="1"/>
  <c r="U47" i="3"/>
  <c r="V47" i="3"/>
  <c r="W47" i="3" s="1"/>
  <c r="L60" i="3"/>
  <c r="P71" i="3"/>
  <c r="R71" i="3" s="1"/>
  <c r="U79" i="3"/>
  <c r="L91" i="3"/>
  <c r="V107" i="3"/>
  <c r="U107" i="3"/>
  <c r="U127" i="3"/>
  <c r="K140" i="3"/>
  <c r="K149" i="3"/>
  <c r="U158" i="3"/>
  <c r="L181" i="3"/>
  <c r="U238" i="3"/>
  <c r="V238" i="3"/>
  <c r="W238" i="3" s="1"/>
  <c r="U303" i="3"/>
  <c r="V307" i="3"/>
  <c r="U307" i="3"/>
  <c r="U329" i="3"/>
  <c r="P8" i="3"/>
  <c r="R8" i="3" s="1"/>
  <c r="K204" i="3"/>
  <c r="M204" i="3" s="1"/>
  <c r="V274" i="3"/>
  <c r="U274" i="3"/>
  <c r="P134" i="3"/>
  <c r="R134" i="3" s="1"/>
  <c r="L170" i="3"/>
  <c r="V204" i="3"/>
  <c r="W204" i="3" s="1"/>
  <c r="U201" i="3"/>
  <c r="L222" i="3"/>
  <c r="U241" i="3"/>
  <c r="L241" i="3"/>
  <c r="K249" i="3"/>
  <c r="Y249" i="3" s="1"/>
  <c r="V288" i="3"/>
  <c r="W33" i="3"/>
  <c r="W93" i="3"/>
  <c r="U189" i="3"/>
  <c r="L189" i="3"/>
  <c r="V339" i="3"/>
  <c r="U339" i="3"/>
  <c r="W41" i="3"/>
  <c r="P5" i="3"/>
  <c r="R5" i="3" s="1"/>
  <c r="V83" i="3"/>
  <c r="W83" i="3" s="1"/>
  <c r="L9" i="3"/>
  <c r="U41" i="3"/>
  <c r="V106" i="3"/>
  <c r="W106" i="3" s="1"/>
  <c r="U106" i="3"/>
  <c r="W79" i="3"/>
  <c r="V286" i="3"/>
  <c r="W286" i="3" s="1"/>
  <c r="U286" i="3"/>
  <c r="P47" i="3"/>
  <c r="R47" i="3" s="1"/>
  <c r="P82" i="3"/>
  <c r="R82" i="3" s="1"/>
  <c r="V103" i="3"/>
  <c r="U103" i="3"/>
  <c r="W110" i="3"/>
  <c r="P146" i="3"/>
  <c r="R146" i="3" s="1"/>
  <c r="Q13" i="3"/>
  <c r="P22" i="3"/>
  <c r="R22" i="3" s="1"/>
  <c r="Q25" i="3"/>
  <c r="P25" i="3"/>
  <c r="R25" i="3" s="1"/>
  <c r="K69" i="3"/>
  <c r="Y69" i="3" s="1"/>
  <c r="W85" i="3"/>
  <c r="L124" i="3"/>
  <c r="W140" i="3"/>
  <c r="U149" i="3"/>
  <c r="V189" i="3"/>
  <c r="U255" i="3"/>
  <c r="V255" i="3"/>
  <c r="L255" i="3"/>
  <c r="U277" i="3"/>
  <c r="W78" i="3"/>
  <c r="Q121" i="3"/>
  <c r="P121" i="3"/>
  <c r="R121" i="3" s="1"/>
  <c r="V147" i="3"/>
  <c r="K183" i="3"/>
  <c r="U211" i="3"/>
  <c r="L211" i="3"/>
  <c r="V70" i="3"/>
  <c r="W70" i="3" s="1"/>
  <c r="P210" i="3"/>
  <c r="R210" i="3" s="1"/>
  <c r="V251" i="3"/>
  <c r="W251" i="3" s="1"/>
  <c r="U273" i="3"/>
  <c r="U282" i="3"/>
  <c r="V282" i="3"/>
  <c r="U295" i="3"/>
  <c r="U304" i="3"/>
  <c r="G15" i="4"/>
  <c r="L40" i="3"/>
  <c r="U25" i="3"/>
  <c r="U40" i="3"/>
  <c r="P61" i="3"/>
  <c r="R61" i="3" s="1"/>
  <c r="Q45" i="3"/>
  <c r="P45" i="3"/>
  <c r="R45" i="3" s="1"/>
  <c r="W61" i="3"/>
  <c r="K72" i="3"/>
  <c r="M72" i="3" s="1"/>
  <c r="L108" i="3"/>
  <c r="U129" i="3"/>
  <c r="L129" i="3"/>
  <c r="W213" i="3"/>
  <c r="V300" i="3"/>
  <c r="V326" i="3"/>
  <c r="U326" i="3"/>
  <c r="W14" i="3"/>
  <c r="W174" i="3"/>
  <c r="Y230" i="3"/>
  <c r="P174" i="3"/>
  <c r="R174" i="3" s="1"/>
  <c r="P83" i="3"/>
  <c r="R83" i="3" s="1"/>
  <c r="P100" i="3"/>
  <c r="R100" i="3" s="1"/>
  <c r="G12" i="4"/>
  <c r="S181" i="3"/>
  <c r="L7" i="3"/>
  <c r="K12" i="3"/>
  <c r="M12" i="3" s="1"/>
  <c r="L14" i="3"/>
  <c r="L30" i="3"/>
  <c r="P50" i="3"/>
  <c r="R50" i="3" s="1"/>
  <c r="L71" i="3"/>
  <c r="K92" i="3"/>
  <c r="M92" i="3" s="1"/>
  <c r="K103" i="3"/>
  <c r="L142" i="3"/>
  <c r="L174" i="3"/>
  <c r="K177" i="3"/>
  <c r="V316" i="3"/>
  <c r="W69" i="3"/>
  <c r="L279" i="3"/>
  <c r="P92" i="3"/>
  <c r="R92" i="3" s="1"/>
  <c r="W223" i="3"/>
  <c r="V12" i="3"/>
  <c r="W12" i="3" s="1"/>
  <c r="V71" i="3"/>
  <c r="W71" i="3" s="1"/>
  <c r="P74" i="3"/>
  <c r="R74" i="3" s="1"/>
  <c r="Q92" i="3"/>
  <c r="K110" i="3"/>
  <c r="Y110" i="3" s="1"/>
  <c r="L133" i="3"/>
  <c r="P214" i="3"/>
  <c r="R214" i="3" s="1"/>
  <c r="U218" i="3"/>
  <c r="U272" i="3"/>
  <c r="U294" i="3"/>
  <c r="U317" i="3"/>
  <c r="P151" i="3"/>
  <c r="R151" i="3" s="1"/>
  <c r="L24" i="3"/>
  <c r="L46" i="3"/>
  <c r="P79" i="3"/>
  <c r="R79" i="3" s="1"/>
  <c r="W84" i="3"/>
  <c r="P114" i="3"/>
  <c r="R114" i="3" s="1"/>
  <c r="P118" i="3"/>
  <c r="R118" i="3" s="1"/>
  <c r="K175" i="3"/>
  <c r="Y175" i="3" s="1"/>
  <c r="P224" i="3"/>
  <c r="R224" i="3" s="1"/>
  <c r="P257" i="3"/>
  <c r="R257" i="3" s="1"/>
  <c r="G19" i="4"/>
  <c r="V279" i="3"/>
  <c r="V332" i="3"/>
  <c r="M103" i="3"/>
  <c r="M19" i="3"/>
  <c r="M91" i="3"/>
  <c r="Q42" i="3"/>
  <c r="U22" i="3"/>
  <c r="P19" i="3"/>
  <c r="R19" i="3" s="1"/>
  <c r="G3" i="4"/>
  <c r="S36" i="3"/>
  <c r="T45" i="3"/>
  <c r="X59" i="3"/>
  <c r="T67" i="3"/>
  <c r="T72" i="3"/>
  <c r="X98" i="3"/>
  <c r="V163" i="3"/>
  <c r="W163" i="3" s="1"/>
  <c r="K163" i="3"/>
  <c r="U163" i="3"/>
  <c r="L163" i="3"/>
  <c r="T163" i="3"/>
  <c r="M191" i="3"/>
  <c r="T256" i="3"/>
  <c r="S53" i="3"/>
  <c r="P88" i="3"/>
  <c r="R88" i="3" s="1"/>
  <c r="Q88" i="3"/>
  <c r="S92" i="3"/>
  <c r="X194" i="3"/>
  <c r="V8" i="3"/>
  <c r="W8" i="3" s="1"/>
  <c r="U8" i="3"/>
  <c r="T8" i="3"/>
  <c r="K29" i="3"/>
  <c r="V29" i="3"/>
  <c r="W29" i="3" s="1"/>
  <c r="T29" i="3"/>
  <c r="U29" i="3"/>
  <c r="X45" i="3"/>
  <c r="T128" i="3"/>
  <c r="U128" i="3"/>
  <c r="K8" i="3"/>
  <c r="X67" i="3"/>
  <c r="X69" i="3"/>
  <c r="L77" i="3"/>
  <c r="V77" i="3"/>
  <c r="W77" i="3" s="1"/>
  <c r="U77" i="3"/>
  <c r="T77" i="3"/>
  <c r="S88" i="3"/>
  <c r="T130" i="3"/>
  <c r="L156" i="3"/>
  <c r="U156" i="3"/>
  <c r="V156" i="3"/>
  <c r="W156" i="3" s="1"/>
  <c r="T156" i="3"/>
  <c r="X177" i="3"/>
  <c r="S205" i="3"/>
  <c r="T11" i="3"/>
  <c r="V18" i="3"/>
  <c r="T18" i="3"/>
  <c r="U18" i="3"/>
  <c r="L18" i="3"/>
  <c r="P73" i="3"/>
  <c r="R73" i="3" s="1"/>
  <c r="K77" i="3"/>
  <c r="T88" i="3"/>
  <c r="T108" i="3"/>
  <c r="S125" i="3"/>
  <c r="L128" i="3"/>
  <c r="K156" i="3"/>
  <c r="S158" i="3"/>
  <c r="S173" i="3"/>
  <c r="Q205" i="3"/>
  <c r="S215" i="3"/>
  <c r="W275" i="3"/>
  <c r="E117" i="3"/>
  <c r="E122" i="3"/>
  <c r="E121" i="3"/>
  <c r="E119" i="3"/>
  <c r="E118" i="3"/>
  <c r="E115" i="3"/>
  <c r="E114" i="3"/>
  <c r="E123" i="3"/>
  <c r="E116" i="3"/>
  <c r="E113" i="3"/>
  <c r="E124" i="3"/>
  <c r="E112" i="3"/>
  <c r="M41" i="3"/>
  <c r="T49" i="3"/>
  <c r="X56" i="3"/>
  <c r="S58" i="3"/>
  <c r="Q60" i="3"/>
  <c r="S60" i="3"/>
  <c r="P60" i="3"/>
  <c r="S64" i="3"/>
  <c r="T106" i="3"/>
  <c r="V120" i="3"/>
  <c r="U120" i="3"/>
  <c r="T120" i="3"/>
  <c r="L120" i="3"/>
  <c r="S189" i="3"/>
  <c r="Q189" i="3"/>
  <c r="U3" i="3"/>
  <c r="V3" i="3"/>
  <c r="W3" i="3" s="1"/>
  <c r="T3" i="3"/>
  <c r="K3" i="3"/>
  <c r="L3" i="3"/>
  <c r="Q20" i="3"/>
  <c r="T43" i="3"/>
  <c r="V43" i="3"/>
  <c r="W43" i="3" s="1"/>
  <c r="U43" i="3"/>
  <c r="S66" i="3"/>
  <c r="S73" i="3"/>
  <c r="X86" i="3"/>
  <c r="E111" i="3"/>
  <c r="L117" i="3"/>
  <c r="V117" i="3"/>
  <c r="U117" i="3"/>
  <c r="T117" i="3"/>
  <c r="T186" i="3"/>
  <c r="S244" i="3"/>
  <c r="Q244" i="3"/>
  <c r="L22" i="3"/>
  <c r="V22" i="3"/>
  <c r="W22" i="3" s="1"/>
  <c r="K22" i="3"/>
  <c r="S14" i="3"/>
  <c r="P4" i="3"/>
  <c r="R4" i="3" s="1"/>
  <c r="S4" i="3"/>
  <c r="U16" i="3"/>
  <c r="K16" i="3"/>
  <c r="L16" i="3"/>
  <c r="S42" i="3"/>
  <c r="X78" i="3"/>
  <c r="X17" i="3"/>
  <c r="T69" i="3"/>
  <c r="M75" i="3"/>
  <c r="L8" i="3"/>
  <c r="S22" i="3"/>
  <c r="Q22" i="3"/>
  <c r="Q201" i="3"/>
  <c r="S201" i="3"/>
  <c r="K162" i="3"/>
  <c r="U162" i="3"/>
  <c r="T162" i="3"/>
  <c r="V162" i="3"/>
  <c r="Q7" i="3"/>
  <c r="S7" i="3"/>
  <c r="S32" i="3"/>
  <c r="S164" i="3"/>
  <c r="S255" i="3"/>
  <c r="S295" i="3"/>
  <c r="Q295" i="3"/>
  <c r="S309" i="3"/>
  <c r="Q309" i="3"/>
  <c r="K24" i="3"/>
  <c r="P24" i="3"/>
  <c r="R24" i="3" s="1"/>
  <c r="W24" i="3"/>
  <c r="W103" i="3"/>
  <c r="S130" i="3"/>
  <c r="T160" i="3"/>
  <c r="Q175" i="3"/>
  <c r="P175" i="3"/>
  <c r="R175" i="3" s="1"/>
  <c r="T75" i="3"/>
  <c r="X14" i="3"/>
  <c r="X27" i="3"/>
  <c r="S44" i="3"/>
  <c r="Q103" i="3"/>
  <c r="S103" i="3"/>
  <c r="P103" i="3"/>
  <c r="R103" i="3" s="1"/>
  <c r="U10" i="3"/>
  <c r="K10" i="3"/>
  <c r="V10" i="3"/>
  <c r="W10" i="3" s="1"/>
  <c r="T10" i="3"/>
  <c r="T16" i="3"/>
  <c r="L26" i="3"/>
  <c r="K26" i="3"/>
  <c r="M43" i="3"/>
  <c r="T66" i="3"/>
  <c r="S97" i="3"/>
  <c r="S128" i="3"/>
  <c r="W142" i="3"/>
  <c r="P142" i="3"/>
  <c r="R142" i="3" s="1"/>
  <c r="K142" i="3"/>
  <c r="L10" i="3"/>
  <c r="M28" i="3"/>
  <c r="T52" i="3"/>
  <c r="X154" i="3"/>
  <c r="V21" i="3"/>
  <c r="W21" i="3" s="1"/>
  <c r="T21" i="3"/>
  <c r="U21" i="3"/>
  <c r="S93" i="3"/>
  <c r="P12" i="3"/>
  <c r="R12" i="3" s="1"/>
  <c r="S12" i="3"/>
  <c r="K21" i="3"/>
  <c r="T26" i="3"/>
  <c r="W40" i="3"/>
  <c r="K40" i="3"/>
  <c r="U61" i="3"/>
  <c r="S85" i="3"/>
  <c r="T93" i="3"/>
  <c r="T104" i="3"/>
  <c r="S107" i="3"/>
  <c r="X126" i="3"/>
  <c r="K132" i="3"/>
  <c r="V132" i="3"/>
  <c r="W132" i="3" s="1"/>
  <c r="U132" i="3"/>
  <c r="T132" i="3"/>
  <c r="L162" i="3"/>
  <c r="S184" i="3"/>
  <c r="S187" i="3"/>
  <c r="T201" i="3"/>
  <c r="S217" i="3"/>
  <c r="X225" i="3"/>
  <c r="S5" i="3"/>
  <c r="Q12" i="3"/>
  <c r="L21" i="3"/>
  <c r="S23" i="3"/>
  <c r="U26" i="3"/>
  <c r="P32" i="3"/>
  <c r="R32" i="3" s="1"/>
  <c r="X46" i="3"/>
  <c r="Y53" i="3"/>
  <c r="G6" i="4"/>
  <c r="Q107" i="3"/>
  <c r="T121" i="3"/>
  <c r="L132" i="3"/>
  <c r="S147" i="3"/>
  <c r="T164" i="3"/>
  <c r="S169" i="3"/>
  <c r="Q187" i="3"/>
  <c r="K194" i="3"/>
  <c r="T194" i="3"/>
  <c r="U194" i="3"/>
  <c r="M229" i="3"/>
  <c r="T36" i="3"/>
  <c r="Q160" i="3"/>
  <c r="S160" i="3"/>
  <c r="P160" i="3"/>
  <c r="R160" i="3" s="1"/>
  <c r="S11" i="3"/>
  <c r="P11" i="3"/>
  <c r="R11" i="3" s="1"/>
  <c r="L29" i="3"/>
  <c r="S51" i="3"/>
  <c r="Q51" i="3"/>
  <c r="P51" i="3"/>
  <c r="T6" i="3"/>
  <c r="M97" i="3"/>
  <c r="S77" i="3"/>
  <c r="L171" i="3"/>
  <c r="U171" i="3"/>
  <c r="V171" i="3"/>
  <c r="W171" i="3" s="1"/>
  <c r="K171" i="3"/>
  <c r="X183" i="3"/>
  <c r="V16" i="3"/>
  <c r="W16" i="3" s="1"/>
  <c r="Q83" i="3"/>
  <c r="S83" i="3"/>
  <c r="X203" i="3"/>
  <c r="U32" i="3"/>
  <c r="K32" i="3"/>
  <c r="V32" i="3"/>
  <c r="W32" i="3" s="1"/>
  <c r="T61" i="3"/>
  <c r="K61" i="3"/>
  <c r="L61" i="3"/>
  <c r="L220" i="3"/>
  <c r="V220" i="3"/>
  <c r="U220" i="3"/>
  <c r="T220" i="3"/>
  <c r="W302" i="3"/>
  <c r="L105" i="3"/>
  <c r="U105" i="3"/>
  <c r="T105" i="3"/>
  <c r="V105" i="3"/>
  <c r="X281" i="3"/>
  <c r="X283" i="3"/>
  <c r="X310" i="3"/>
  <c r="X293" i="3"/>
  <c r="X276" i="3"/>
  <c r="X243" i="3"/>
  <c r="X227" i="3"/>
  <c r="X195" i="3"/>
  <c r="X179" i="3"/>
  <c r="X163" i="3"/>
  <c r="X246" i="3"/>
  <c r="X230" i="3"/>
  <c r="X214" i="3"/>
  <c r="X198" i="3"/>
  <c r="X166" i="3"/>
  <c r="X142" i="3"/>
  <c r="X308" i="3"/>
  <c r="X257" i="3"/>
  <c r="X280" i="3"/>
  <c r="X229" i="3"/>
  <c r="X284" i="3"/>
  <c r="X235" i="3"/>
  <c r="X207" i="3"/>
  <c r="X206" i="3"/>
  <c r="X271" i="3"/>
  <c r="X176" i="3"/>
  <c r="X162" i="3"/>
  <c r="X132" i="3"/>
  <c r="X213" i="3"/>
  <c r="X185" i="3"/>
  <c r="X171" i="3"/>
  <c r="X130" i="3"/>
  <c r="X114" i="3"/>
  <c r="X249" i="3"/>
  <c r="X174" i="3"/>
  <c r="X108" i="3"/>
  <c r="X100" i="3"/>
  <c r="X84" i="3"/>
  <c r="X221" i="3"/>
  <c r="X224" i="3"/>
  <c r="X205" i="3"/>
  <c r="X199" i="3"/>
  <c r="X170" i="3"/>
  <c r="X156" i="3"/>
  <c r="X155" i="3"/>
  <c r="X143" i="3"/>
  <c r="X110" i="3"/>
  <c r="X97" i="3"/>
  <c r="X81" i="3"/>
  <c r="X66" i="3"/>
  <c r="X50" i="3"/>
  <c r="X2" i="3"/>
  <c r="X296" i="3"/>
  <c r="X320" i="3"/>
  <c r="X200" i="3"/>
  <c r="X157" i="3"/>
  <c r="X87" i="3"/>
  <c r="X71" i="3"/>
  <c r="X65" i="3"/>
  <c r="X49" i="3"/>
  <c r="X317" i="3"/>
  <c r="X63" i="3"/>
  <c r="X47" i="3"/>
  <c r="X31" i="3"/>
  <c r="X15" i="3"/>
  <c r="X102" i="3"/>
  <c r="X83" i="3"/>
  <c r="X82" i="3"/>
  <c r="X20" i="3"/>
  <c r="X104" i="3"/>
  <c r="X121" i="3"/>
  <c r="X103" i="3"/>
  <c r="X250" i="3"/>
  <c r="X186" i="3"/>
  <c r="X175" i="3"/>
  <c r="X151" i="3"/>
  <c r="X222" i="3"/>
  <c r="X146" i="3"/>
  <c r="X122" i="3"/>
  <c r="X89" i="3"/>
  <c r="X208" i="3"/>
  <c r="X223" i="3"/>
  <c r="X212" i="3"/>
  <c r="X76" i="3"/>
  <c r="X75" i="3"/>
  <c r="X74" i="3"/>
  <c r="X4" i="3"/>
  <c r="X210" i="3"/>
  <c r="X204" i="3"/>
  <c r="X150" i="3"/>
  <c r="X112" i="3"/>
  <c r="X40" i="3"/>
  <c r="X6" i="3"/>
  <c r="X5" i="3"/>
  <c r="B14" i="1"/>
  <c r="X92" i="3"/>
  <c r="X32" i="3"/>
  <c r="X8" i="3"/>
  <c r="X234" i="3"/>
  <c r="X42" i="3"/>
  <c r="X109" i="3"/>
  <c r="X72" i="3"/>
  <c r="X64" i="3"/>
  <c r="X33" i="3"/>
  <c r="X187" i="3"/>
  <c r="X149" i="3"/>
  <c r="X77" i="3"/>
  <c r="X58" i="3"/>
  <c r="X53" i="3"/>
  <c r="X44" i="3"/>
  <c r="X43" i="3"/>
  <c r="X21" i="3"/>
  <c r="X9" i="3"/>
  <c r="X178" i="3"/>
  <c r="X88" i="3"/>
  <c r="X160" i="3"/>
  <c r="X79" i="3"/>
  <c r="X24" i="3"/>
  <c r="X253" i="3"/>
  <c r="X191" i="3"/>
  <c r="X134" i="3"/>
  <c r="X99" i="3"/>
  <c r="X91" i="3"/>
  <c r="X57" i="3"/>
  <c r="X51" i="3"/>
  <c r="X41" i="3"/>
  <c r="X30" i="3"/>
  <c r="X62" i="3"/>
  <c r="X60" i="3"/>
  <c r="X35" i="3"/>
  <c r="X25" i="3"/>
  <c r="X131" i="3"/>
  <c r="X209" i="3"/>
  <c r="X11" i="3"/>
  <c r="X48" i="3"/>
  <c r="X38" i="3"/>
  <c r="X22" i="3"/>
  <c r="X19" i="3"/>
  <c r="X16" i="3"/>
  <c r="X158" i="3"/>
  <c r="X29" i="3"/>
  <c r="X26" i="3"/>
  <c r="X12" i="3"/>
  <c r="X140" i="3"/>
  <c r="X118" i="3"/>
  <c r="X28" i="3"/>
  <c r="T33" i="3"/>
  <c r="T208" i="3"/>
  <c r="T95" i="3"/>
  <c r="L231" i="3"/>
  <c r="V231" i="3"/>
  <c r="W231" i="3" s="1"/>
  <c r="U231" i="3"/>
  <c r="T231" i="3"/>
  <c r="X37" i="3"/>
  <c r="S30" i="3"/>
  <c r="Q32" i="3"/>
  <c r="X93" i="3"/>
  <c r="T342" i="3"/>
  <c r="S315" i="3"/>
  <c r="S348" i="3"/>
  <c r="S338" i="3"/>
  <c r="T286" i="3"/>
  <c r="T285" i="3"/>
  <c r="S284" i="3"/>
  <c r="S257" i="3"/>
  <c r="S343" i="3"/>
  <c r="T336" i="3"/>
  <c r="T307" i="3"/>
  <c r="S349" i="3"/>
  <c r="T322" i="3"/>
  <c r="S322" i="3"/>
  <c r="T300" i="3"/>
  <c r="T279" i="3"/>
  <c r="S259" i="3"/>
  <c r="T324" i="3"/>
  <c r="S310" i="3"/>
  <c r="S298" i="3"/>
  <c r="S291" i="3"/>
  <c r="S287" i="3"/>
  <c r="T259" i="3"/>
  <c r="S246" i="3"/>
  <c r="T245" i="3"/>
  <c r="S329" i="3"/>
  <c r="T317" i="3"/>
  <c r="T303" i="3"/>
  <c r="S281" i="3"/>
  <c r="T272" i="3"/>
  <c r="T255" i="3"/>
  <c r="S333" i="3"/>
  <c r="T337" i="3"/>
  <c r="S318" i="3"/>
  <c r="T306" i="3"/>
  <c r="T289" i="3"/>
  <c r="T253" i="3"/>
  <c r="T339" i="3"/>
  <c r="S337" i="3"/>
  <c r="T326" i="3"/>
  <c r="T295" i="3"/>
  <c r="S341" i="3"/>
  <c r="S326" i="3"/>
  <c r="S324" i="3"/>
  <c r="S270" i="3"/>
  <c r="T254" i="3"/>
  <c r="S233" i="3"/>
  <c r="S232" i="3"/>
  <c r="T229" i="3"/>
  <c r="T165" i="3"/>
  <c r="T299" i="3"/>
  <c r="T173" i="3"/>
  <c r="S346" i="3"/>
  <c r="S335" i="3"/>
  <c r="T318" i="3"/>
  <c r="S303" i="3"/>
  <c r="S300" i="3"/>
  <c r="S292" i="3"/>
  <c r="T304" i="3"/>
  <c r="S296" i="3"/>
  <c r="T288" i="3"/>
  <c r="T251" i="3"/>
  <c r="T246" i="3"/>
  <c r="T345" i="3"/>
  <c r="S316" i="3"/>
  <c r="T282" i="3"/>
  <c r="T243" i="3"/>
  <c r="S212" i="3"/>
  <c r="S182" i="3"/>
  <c r="T181" i="3"/>
  <c r="T140" i="3"/>
  <c r="S135" i="3"/>
  <c r="S345" i="3"/>
  <c r="S282" i="3"/>
  <c r="T264" i="3"/>
  <c r="S243" i="3"/>
  <c r="T213" i="3"/>
  <c r="S331" i="3"/>
  <c r="S249" i="3"/>
  <c r="T273" i="3"/>
  <c r="S267" i="3"/>
  <c r="T205" i="3"/>
  <c r="T204" i="3"/>
  <c r="S302" i="3"/>
  <c r="S294" i="3"/>
  <c r="S269" i="3"/>
  <c r="T237" i="3"/>
  <c r="T323" i="3"/>
  <c r="S273" i="3"/>
  <c r="S127" i="3"/>
  <c r="T124" i="3"/>
  <c r="T335" i="3"/>
  <c r="T291" i="3"/>
  <c r="T271" i="3"/>
  <c r="T269" i="3"/>
  <c r="T263" i="3"/>
  <c r="S344" i="3"/>
  <c r="T301" i="3"/>
  <c r="S230" i="3"/>
  <c r="T227" i="3"/>
  <c r="S199" i="3"/>
  <c r="T350" i="3"/>
  <c r="S268" i="3"/>
  <c r="S245" i="3"/>
  <c r="S222" i="3"/>
  <c r="S166" i="3"/>
  <c r="T146" i="3"/>
  <c r="T134" i="3"/>
  <c r="S104" i="3"/>
  <c r="T94" i="3"/>
  <c r="T78" i="3"/>
  <c r="S332" i="3"/>
  <c r="T332" i="3"/>
  <c r="T297" i="3"/>
  <c r="T221" i="3"/>
  <c r="S213" i="3"/>
  <c r="S200" i="3"/>
  <c r="S196" i="3"/>
  <c r="S185" i="3"/>
  <c r="S101" i="3"/>
  <c r="T319" i="3"/>
  <c r="S226" i="3"/>
  <c r="S221" i="3"/>
  <c r="S216" i="3"/>
  <c r="T189" i="3"/>
  <c r="T170" i="3"/>
  <c r="S162" i="3"/>
  <c r="S131" i="3"/>
  <c r="S126" i="3"/>
  <c r="T111" i="3"/>
  <c r="S319" i="3"/>
  <c r="T305" i="3"/>
  <c r="T274" i="3"/>
  <c r="T241" i="3"/>
  <c r="S224" i="3"/>
  <c r="T210" i="3"/>
  <c r="T150" i="3"/>
  <c r="S145" i="3"/>
  <c r="S136" i="3"/>
  <c r="T127" i="3"/>
  <c r="S120" i="3"/>
  <c r="S112" i="3"/>
  <c r="T102" i="3"/>
  <c r="S305" i="3"/>
  <c r="S274" i="3"/>
  <c r="S214" i="3"/>
  <c r="S210" i="3"/>
  <c r="S179" i="3"/>
  <c r="S37" i="3"/>
  <c r="S21" i="3"/>
  <c r="T281" i="3"/>
  <c r="T238" i="3"/>
  <c r="S206" i="3"/>
  <c r="T187" i="3"/>
  <c r="S168" i="3"/>
  <c r="T152" i="3"/>
  <c r="T147" i="3"/>
  <c r="T92" i="3"/>
  <c r="S71" i="3"/>
  <c r="S68" i="3"/>
  <c r="T57" i="3"/>
  <c r="S52" i="3"/>
  <c r="S178" i="3"/>
  <c r="T174" i="3"/>
  <c r="S110" i="3"/>
  <c r="T276" i="3"/>
  <c r="S227" i="3"/>
  <c r="S195" i="3"/>
  <c r="S50" i="3"/>
  <c r="S28" i="3"/>
  <c r="S18" i="3"/>
  <c r="S191" i="3"/>
  <c r="T86" i="3"/>
  <c r="T81" i="3"/>
  <c r="T70" i="3"/>
  <c r="S29" i="3"/>
  <c r="S19" i="3"/>
  <c r="T247" i="3"/>
  <c r="S242" i="3"/>
  <c r="T222" i="3"/>
  <c r="S146" i="3"/>
  <c r="T51" i="3"/>
  <c r="S3" i="3"/>
  <c r="S156" i="3"/>
  <c r="S76" i="3"/>
  <c r="T71" i="3"/>
  <c r="T41" i="3"/>
  <c r="T161" i="3"/>
  <c r="S117" i="3"/>
  <c r="T109" i="3"/>
  <c r="S87" i="3"/>
  <c r="S203" i="3"/>
  <c r="S190" i="3"/>
  <c r="S183" i="3"/>
  <c r="T54" i="3"/>
  <c r="T219" i="3"/>
  <c r="S256" i="3"/>
  <c r="T212" i="3"/>
  <c r="T197" i="3"/>
  <c r="T195" i="3"/>
  <c r="T177" i="3"/>
  <c r="S153" i="3"/>
  <c r="S148" i="3"/>
  <c r="S95" i="3"/>
  <c r="S69" i="3"/>
  <c r="T28" i="3"/>
  <c r="T17" i="3"/>
  <c r="T268" i="3"/>
  <c r="T236" i="3"/>
  <c r="T188" i="3"/>
  <c r="T138" i="3"/>
  <c r="T79" i="3"/>
  <c r="S34" i="3"/>
  <c r="S188" i="3"/>
  <c r="T157" i="3"/>
  <c r="T144" i="3"/>
  <c r="S79" i="3"/>
  <c r="S24" i="3"/>
  <c r="T74" i="3"/>
  <c r="S47" i="3"/>
  <c r="T35" i="3"/>
  <c r="S15" i="3"/>
  <c r="S109" i="3"/>
  <c r="T315" i="3"/>
  <c r="T178" i="3"/>
  <c r="T148" i="3"/>
  <c r="S144" i="3"/>
  <c r="S118" i="3"/>
  <c r="T290" i="3"/>
  <c r="T209" i="3"/>
  <c r="S176" i="3"/>
  <c r="S94" i="3"/>
  <c r="S74" i="3"/>
  <c r="T68" i="3"/>
  <c r="T60" i="3"/>
  <c r="S35" i="3"/>
  <c r="T25" i="3"/>
  <c r="T55" i="3"/>
  <c r="T7" i="3"/>
  <c r="T133" i="3"/>
  <c r="T115" i="3"/>
  <c r="T103" i="3"/>
  <c r="T211" i="3"/>
  <c r="S133" i="3"/>
  <c r="S115" i="3"/>
  <c r="T53" i="3"/>
  <c r="T48" i="3"/>
  <c r="T44" i="3"/>
  <c r="S283" i="3"/>
  <c r="T244" i="3"/>
  <c r="T199" i="3"/>
  <c r="T192" i="3"/>
  <c r="T167" i="3"/>
  <c r="T137" i="3"/>
  <c r="T329" i="3"/>
  <c r="S198" i="3"/>
  <c r="T116" i="3"/>
  <c r="T37" i="3"/>
  <c r="T34" i="3"/>
  <c r="S13" i="3"/>
  <c r="M57" i="3"/>
  <c r="K65" i="3"/>
  <c r="L65" i="3"/>
  <c r="T65" i="3"/>
  <c r="V65" i="3"/>
  <c r="W65" i="3" s="1"/>
  <c r="U65" i="3"/>
  <c r="U85" i="3"/>
  <c r="L85" i="3"/>
  <c r="T85" i="3"/>
  <c r="K85" i="3"/>
  <c r="S89" i="3"/>
  <c r="T97" i="3"/>
  <c r="V128" i="3"/>
  <c r="M149" i="3"/>
  <c r="E50" i="3"/>
  <c r="E61" i="3"/>
  <c r="E60" i="3"/>
  <c r="E59" i="3"/>
  <c r="I6" i="4" s="1"/>
  <c r="E58" i="3"/>
  <c r="E57" i="3"/>
  <c r="E56" i="3"/>
  <c r="E53" i="3"/>
  <c r="E54" i="3"/>
  <c r="E55" i="3"/>
  <c r="E52" i="3"/>
  <c r="G16" i="4"/>
  <c r="S263" i="3"/>
  <c r="Q263" i="3"/>
  <c r="E133" i="3"/>
  <c r="E132" i="3"/>
  <c r="E130" i="3"/>
  <c r="E135" i="3"/>
  <c r="E138" i="3"/>
  <c r="E129" i="3"/>
  <c r="E134" i="3"/>
  <c r="E136" i="3"/>
  <c r="E131" i="3"/>
  <c r="E126" i="3"/>
  <c r="E125" i="3"/>
  <c r="E127" i="3"/>
  <c r="S8" i="3"/>
  <c r="X13" i="3"/>
  <c r="S26" i="3"/>
  <c r="L32" i="3"/>
  <c r="U50" i="3"/>
  <c r="K50" i="3"/>
  <c r="T50" i="3"/>
  <c r="V50" i="3"/>
  <c r="W50" i="3" s="1"/>
  <c r="L50" i="3"/>
  <c r="Q63" i="3"/>
  <c r="S63" i="3"/>
  <c r="K87" i="3"/>
  <c r="U87" i="3"/>
  <c r="V87" i="3"/>
  <c r="W87" i="3" s="1"/>
  <c r="T87" i="3"/>
  <c r="L87" i="3"/>
  <c r="S152" i="3"/>
  <c r="Q152" i="3"/>
  <c r="S171" i="3"/>
  <c r="T252" i="3"/>
  <c r="X266" i="3"/>
  <c r="X3" i="3"/>
  <c r="X10" i="3"/>
  <c r="T23" i="3"/>
  <c r="V26" i="3"/>
  <c r="W26" i="3" s="1"/>
  <c r="E51" i="3"/>
  <c r="X61" i="3"/>
  <c r="X70" i="3"/>
  <c r="P72" i="3"/>
  <c r="R72" i="3" s="1"/>
  <c r="S72" i="3"/>
  <c r="Q78" i="3"/>
  <c r="S78" i="3"/>
  <c r="X85" i="3"/>
  <c r="U122" i="3"/>
  <c r="V122" i="3"/>
  <c r="W122" i="3" s="1"/>
  <c r="T122" i="3"/>
  <c r="L135" i="3"/>
  <c r="U135" i="3"/>
  <c r="V135" i="3"/>
  <c r="W135" i="3" s="1"/>
  <c r="T135" i="3"/>
  <c r="X164" i="3"/>
  <c r="M177" i="3"/>
  <c r="Q2" i="3"/>
  <c r="S2" i="3"/>
  <c r="V11" i="3"/>
  <c r="W11" i="3" s="1"/>
  <c r="U11" i="3"/>
  <c r="T12" i="3"/>
  <c r="P30" i="3"/>
  <c r="R30" i="3" s="1"/>
  <c r="L38" i="3"/>
  <c r="V38" i="3"/>
  <c r="W38" i="3" s="1"/>
  <c r="K38" i="3"/>
  <c r="T38" i="3"/>
  <c r="M69" i="3"/>
  <c r="Q72" i="3"/>
  <c r="P78" i="3"/>
  <c r="R78" i="3" s="1"/>
  <c r="T80" i="3"/>
  <c r="L80" i="3"/>
  <c r="V82" i="3"/>
  <c r="W82" i="3" s="1"/>
  <c r="L82" i="3"/>
  <c r="T82" i="3"/>
  <c r="K82" i="3"/>
  <c r="U82" i="3"/>
  <c r="T119" i="3"/>
  <c r="U119" i="3"/>
  <c r="L119" i="3"/>
  <c r="L122" i="3"/>
  <c r="S132" i="3"/>
  <c r="P132" i="3"/>
  <c r="R132" i="3" s="1"/>
  <c r="Q132" i="3"/>
  <c r="S155" i="3"/>
  <c r="P2" i="3"/>
  <c r="V4" i="3"/>
  <c r="W4" i="3" s="1"/>
  <c r="U4" i="3"/>
  <c r="T4" i="3"/>
  <c r="K4" i="3"/>
  <c r="K11" i="3"/>
  <c r="Y28" i="3"/>
  <c r="Q30" i="3"/>
  <c r="T32" i="3"/>
  <c r="S45" i="3"/>
  <c r="K58" i="3"/>
  <c r="T58" i="3"/>
  <c r="V58" i="3"/>
  <c r="W58" i="3" s="1"/>
  <c r="U182" i="3"/>
  <c r="T182" i="3"/>
  <c r="V182" i="3"/>
  <c r="L182" i="3"/>
  <c r="T191" i="3"/>
  <c r="V191" i="3"/>
  <c r="W191" i="3" s="1"/>
  <c r="U191" i="3"/>
  <c r="L191" i="3"/>
  <c r="Q194" i="3"/>
  <c r="P194" i="3"/>
  <c r="R194" i="3" s="1"/>
  <c r="S194" i="3"/>
  <c r="M221" i="3"/>
  <c r="Y42" i="3"/>
  <c r="V56" i="3"/>
  <c r="W56" i="3" s="1"/>
  <c r="K56" i="3"/>
  <c r="T56" i="3"/>
  <c r="U56" i="3"/>
  <c r="S67" i="3"/>
  <c r="S86" i="3"/>
  <c r="Q86" i="3"/>
  <c r="P86" i="3"/>
  <c r="R86" i="3" s="1"/>
  <c r="P93" i="3"/>
  <c r="R93" i="3" s="1"/>
  <c r="T100" i="3"/>
  <c r="V100" i="3"/>
  <c r="W100" i="3" s="1"/>
  <c r="K100" i="3"/>
  <c r="K151" i="3"/>
  <c r="V151" i="3"/>
  <c r="W151" i="3" s="1"/>
  <c r="U151" i="3"/>
  <c r="T151" i="3"/>
  <c r="T207" i="3"/>
  <c r="K207" i="3"/>
  <c r="U207" i="3"/>
  <c r="L207" i="3"/>
  <c r="P243" i="3"/>
  <c r="R243" i="3" s="1"/>
  <c r="W243" i="3"/>
  <c r="U118" i="3"/>
  <c r="L118" i="3"/>
  <c r="T118" i="3"/>
  <c r="U180" i="3"/>
  <c r="L180" i="3"/>
  <c r="T180" i="3"/>
  <c r="V180" i="3"/>
  <c r="V185" i="3"/>
  <c r="W185" i="3" s="1"/>
  <c r="L185" i="3"/>
  <c r="U185" i="3"/>
  <c r="T185" i="3"/>
  <c r="K185" i="3"/>
  <c r="L6" i="3"/>
  <c r="K6" i="3"/>
  <c r="V6" i="3"/>
  <c r="W6" i="3" s="1"/>
  <c r="U6" i="3"/>
  <c r="L31" i="3"/>
  <c r="T31" i="3"/>
  <c r="V31" i="3"/>
  <c r="W31" i="3" s="1"/>
  <c r="U31" i="3"/>
  <c r="K31" i="3"/>
  <c r="Q43" i="3"/>
  <c r="P43" i="3"/>
  <c r="R43" i="3" s="1"/>
  <c r="W63" i="3"/>
  <c r="P65" i="3"/>
  <c r="R65" i="3" s="1"/>
  <c r="K118" i="3"/>
  <c r="G11" i="4"/>
  <c r="K180" i="3"/>
  <c r="K254" i="3"/>
  <c r="S321" i="3"/>
  <c r="Q321" i="3"/>
  <c r="Q40" i="3"/>
  <c r="S40" i="3"/>
  <c r="W99" i="3"/>
  <c r="P150" i="3"/>
  <c r="R150" i="3" s="1"/>
  <c r="Q150" i="3"/>
  <c r="S150" i="3"/>
  <c r="K178" i="3"/>
  <c r="V178" i="3"/>
  <c r="W178" i="3" s="1"/>
  <c r="U178" i="3"/>
  <c r="L178" i="3"/>
  <c r="S202" i="3"/>
  <c r="Q202" i="3"/>
  <c r="G2" i="4"/>
  <c r="T9" i="3"/>
  <c r="P10" i="3"/>
  <c r="R10" i="3" s="1"/>
  <c r="Q10" i="3"/>
  <c r="V52" i="3"/>
  <c r="U52" i="3"/>
  <c r="T62" i="3"/>
  <c r="K62" i="3"/>
  <c r="L62" i="3"/>
  <c r="U62" i="3"/>
  <c r="V62" i="3"/>
  <c r="W62" i="3" s="1"/>
  <c r="S113" i="3"/>
  <c r="P113" i="3"/>
  <c r="R113" i="3" s="1"/>
  <c r="S6" i="3"/>
  <c r="K9" i="3"/>
  <c r="S10" i="3"/>
  <c r="V37" i="3"/>
  <c r="W37" i="3" s="1"/>
  <c r="L37" i="3"/>
  <c r="K37" i="3"/>
  <c r="P40" i="3"/>
  <c r="R40" i="3" s="1"/>
  <c r="S43" i="3"/>
  <c r="L52" i="3"/>
  <c r="S65" i="3"/>
  <c r="Q96" i="3"/>
  <c r="T98" i="3"/>
  <c r="Q113" i="3"/>
  <c r="S123" i="3"/>
  <c r="M140" i="3"/>
  <c r="K170" i="3"/>
  <c r="S180" i="3"/>
  <c r="Q180" i="3"/>
  <c r="P180" i="3"/>
  <c r="R180" i="3" s="1"/>
  <c r="L183" i="3"/>
  <c r="V183" i="3"/>
  <c r="W183" i="3" s="1"/>
  <c r="U183" i="3"/>
  <c r="T200" i="3"/>
  <c r="V200" i="3"/>
  <c r="U200" i="3"/>
  <c r="S57" i="3"/>
  <c r="P57" i="3"/>
  <c r="R57" i="3" s="1"/>
  <c r="Q57" i="3"/>
  <c r="P157" i="3"/>
  <c r="R157" i="3" s="1"/>
  <c r="Q157" i="3"/>
  <c r="S157" i="3"/>
  <c r="W176" i="3"/>
  <c r="Y183" i="3"/>
  <c r="M183" i="3"/>
  <c r="Q236" i="3"/>
  <c r="S236" i="3"/>
  <c r="T13" i="3"/>
  <c r="Y214" i="3"/>
  <c r="M214" i="3"/>
  <c r="U224" i="3"/>
  <c r="K224" i="3"/>
  <c r="T224" i="3"/>
  <c r="V224" i="3"/>
  <c r="W224" i="3" s="1"/>
  <c r="L224" i="3"/>
  <c r="T239" i="3"/>
  <c r="V239" i="3"/>
  <c r="K239" i="3"/>
  <c r="L239" i="3"/>
  <c r="U239" i="3"/>
  <c r="W315" i="3"/>
  <c r="T27" i="3"/>
  <c r="U27" i="3"/>
  <c r="Q31" i="3"/>
  <c r="S31" i="3"/>
  <c r="K76" i="3"/>
  <c r="V76" i="3"/>
  <c r="W76" i="3" s="1"/>
  <c r="U76" i="3"/>
  <c r="T76" i="3"/>
  <c r="P222" i="3"/>
  <c r="R222" i="3" s="1"/>
  <c r="K222" i="3"/>
  <c r="P14" i="3"/>
  <c r="R14" i="3" s="1"/>
  <c r="U20" i="3"/>
  <c r="V20" i="3"/>
  <c r="W20" i="3" s="1"/>
  <c r="T20" i="3"/>
  <c r="L20" i="3"/>
  <c r="K27" i="3"/>
  <c r="P31" i="3"/>
  <c r="R31" i="3" s="1"/>
  <c r="S46" i="3"/>
  <c r="S59" i="3"/>
  <c r="K64" i="3"/>
  <c r="U64" i="3"/>
  <c r="L64" i="3"/>
  <c r="T64" i="3"/>
  <c r="V64" i="3"/>
  <c r="W64" i="3" s="1"/>
  <c r="L76" i="3"/>
  <c r="M86" i="3"/>
  <c r="Y86" i="3"/>
  <c r="L88" i="3"/>
  <c r="V88" i="3"/>
  <c r="W88" i="3" s="1"/>
  <c r="U88" i="3"/>
  <c r="W91" i="3"/>
  <c r="S96" i="3"/>
  <c r="Q106" i="3"/>
  <c r="S106" i="3"/>
  <c r="V118" i="3"/>
  <c r="W118" i="3" s="1"/>
  <c r="Q155" i="3"/>
  <c r="P155" i="3"/>
  <c r="R155" i="3" s="1"/>
  <c r="K5" i="3"/>
  <c r="U5" i="3"/>
  <c r="V5" i="3"/>
  <c r="W5" i="3" s="1"/>
  <c r="T5" i="3"/>
  <c r="K20" i="3"/>
  <c r="L27" i="3"/>
  <c r="W30" i="3"/>
  <c r="U39" i="3"/>
  <c r="K39" i="3"/>
  <c r="V39" i="3"/>
  <c r="T39" i="3"/>
  <c r="V42" i="3"/>
  <c r="W42" i="3" s="1"/>
  <c r="U42" i="3"/>
  <c r="T42" i="3"/>
  <c r="L42" i="3"/>
  <c r="P46" i="3"/>
  <c r="R46" i="3" s="1"/>
  <c r="S54" i="3"/>
  <c r="W57" i="3"/>
  <c r="P59" i="3"/>
  <c r="M78" i="3"/>
  <c r="Y81" i="3"/>
  <c r="S84" i="3"/>
  <c r="K88" i="3"/>
  <c r="V90" i="3"/>
  <c r="U90" i="3"/>
  <c r="L90" i="3"/>
  <c r="T90" i="3"/>
  <c r="K108" i="3"/>
  <c r="P108" i="3"/>
  <c r="R108" i="3" s="1"/>
  <c r="K114" i="3"/>
  <c r="T114" i="3"/>
  <c r="U114" i="3"/>
  <c r="M134" i="3"/>
  <c r="S159" i="3"/>
  <c r="T183" i="3"/>
  <c r="Q258" i="3"/>
  <c r="S258" i="3"/>
  <c r="K45" i="3"/>
  <c r="V45" i="3"/>
  <c r="W45" i="3" s="1"/>
  <c r="S48" i="3"/>
  <c r="S55" i="3"/>
  <c r="T59" i="3"/>
  <c r="U66" i="3"/>
  <c r="K66" i="3"/>
  <c r="T73" i="3"/>
  <c r="L73" i="3"/>
  <c r="U73" i="3"/>
  <c r="U97" i="3"/>
  <c r="L97" i="3"/>
  <c r="T110" i="3"/>
  <c r="U110" i="3"/>
  <c r="T113" i="3"/>
  <c r="V113" i="3"/>
  <c r="W113" i="3" s="1"/>
  <c r="L113" i="3"/>
  <c r="T126" i="3"/>
  <c r="U126" i="3"/>
  <c r="V126" i="3"/>
  <c r="S143" i="3"/>
  <c r="Q143" i="3"/>
  <c r="Y164" i="3"/>
  <c r="S167" i="3"/>
  <c r="W172" i="3"/>
  <c r="S174" i="3"/>
  <c r="V190" i="3"/>
  <c r="L190" i="3"/>
  <c r="U190" i="3"/>
  <c r="T190" i="3"/>
  <c r="L331" i="3"/>
  <c r="V331" i="3"/>
  <c r="U331" i="3"/>
  <c r="T331" i="3"/>
  <c r="K198" i="3"/>
  <c r="T198" i="3"/>
  <c r="M213" i="3"/>
  <c r="Q238" i="3"/>
  <c r="S238" i="3"/>
  <c r="S252" i="3"/>
  <c r="Q252" i="3"/>
  <c r="T2" i="3"/>
  <c r="K2" i="3"/>
  <c r="S9" i="3"/>
  <c r="U19" i="3"/>
  <c r="L19" i="3"/>
  <c r="V19" i="3"/>
  <c r="W19" i="3" s="1"/>
  <c r="S33" i="3"/>
  <c r="V36" i="3"/>
  <c r="P58" i="3"/>
  <c r="R58" i="3" s="1"/>
  <c r="W60" i="3"/>
  <c r="K63" i="3"/>
  <c r="T63" i="3"/>
  <c r="P77" i="3"/>
  <c r="R77" i="3" s="1"/>
  <c r="S82" i="3"/>
  <c r="T96" i="3"/>
  <c r="L96" i="3"/>
  <c r="V97" i="3"/>
  <c r="W97" i="3" s="1"/>
  <c r="V109" i="3"/>
  <c r="W109" i="3" s="1"/>
  <c r="U109" i="3"/>
  <c r="L109" i="3"/>
  <c r="K109" i="3"/>
  <c r="U113" i="3"/>
  <c r="T125" i="3"/>
  <c r="L125" i="3"/>
  <c r="Q128" i="3"/>
  <c r="K130" i="3"/>
  <c r="P130" i="3"/>
  <c r="R130" i="3" s="1"/>
  <c r="S137" i="3"/>
  <c r="G9" i="4"/>
  <c r="S142" i="3"/>
  <c r="Q142" i="3"/>
  <c r="V144" i="3"/>
  <c r="L144" i="3"/>
  <c r="L149" i="3"/>
  <c r="T149" i="3"/>
  <c r="T154" i="3"/>
  <c r="V154" i="3"/>
  <c r="W154" i="3" s="1"/>
  <c r="L154" i="3"/>
  <c r="U154" i="3"/>
  <c r="T168" i="3"/>
  <c r="L168" i="3"/>
  <c r="L198" i="3"/>
  <c r="L236" i="3"/>
  <c r="V236" i="3"/>
  <c r="V249" i="3"/>
  <c r="W249" i="3" s="1"/>
  <c r="U249" i="3"/>
  <c r="T249" i="3"/>
  <c r="L249" i="3"/>
  <c r="P340" i="3"/>
  <c r="R340" i="3" s="1"/>
  <c r="S340" i="3"/>
  <c r="Q340" i="3"/>
  <c r="W149" i="3"/>
  <c r="S70" i="3"/>
  <c r="S91" i="3"/>
  <c r="P91" i="3"/>
  <c r="R91" i="3" s="1"/>
  <c r="V98" i="3"/>
  <c r="W98" i="3" s="1"/>
  <c r="L98" i="3"/>
  <c r="P163" i="3"/>
  <c r="R163" i="3" s="1"/>
  <c r="S163" i="3"/>
  <c r="U193" i="3"/>
  <c r="V193" i="3"/>
  <c r="W193" i="3" s="1"/>
  <c r="L193" i="3"/>
  <c r="T193" i="3"/>
  <c r="V198" i="3"/>
  <c r="W198" i="3" s="1"/>
  <c r="U234" i="3"/>
  <c r="T234" i="3"/>
  <c r="K234" i="3"/>
  <c r="L234" i="3"/>
  <c r="V234" i="3"/>
  <c r="W234" i="3" s="1"/>
  <c r="L242" i="3"/>
  <c r="V242" i="3"/>
  <c r="T242" i="3"/>
  <c r="V250" i="3"/>
  <c r="W250" i="3" s="1"/>
  <c r="U250" i="3"/>
  <c r="K250" i="3"/>
  <c r="L250" i="3"/>
  <c r="T250" i="3"/>
  <c r="L15" i="3"/>
  <c r="T15" i="3"/>
  <c r="Q39" i="3"/>
  <c r="V55" i="3"/>
  <c r="W55" i="3" s="1"/>
  <c r="S56" i="3"/>
  <c r="P62" i="3"/>
  <c r="R62" i="3" s="1"/>
  <c r="L68" i="3"/>
  <c r="P70" i="3"/>
  <c r="P81" i="3"/>
  <c r="R81" i="3" s="1"/>
  <c r="Q91" i="3"/>
  <c r="V96" i="3"/>
  <c r="K98" i="3"/>
  <c r="V125" i="3"/>
  <c r="S134" i="3"/>
  <c r="L136" i="3"/>
  <c r="V136" i="3"/>
  <c r="U136" i="3"/>
  <c r="T136" i="3"/>
  <c r="Q163" i="3"/>
  <c r="T216" i="3"/>
  <c r="U216" i="3"/>
  <c r="L216" i="3"/>
  <c r="V216" i="3"/>
  <c r="Q242" i="3"/>
  <c r="S17" i="3"/>
  <c r="S38" i="3"/>
  <c r="S39" i="3"/>
  <c r="U48" i="3"/>
  <c r="K48" i="3"/>
  <c r="S61" i="3"/>
  <c r="Q70" i="3"/>
  <c r="S75" i="3"/>
  <c r="P75" i="3"/>
  <c r="R75" i="3" s="1"/>
  <c r="Y79" i="3"/>
  <c r="S81" i="3"/>
  <c r="T89" i="3"/>
  <c r="S102" i="3"/>
  <c r="L104" i="3"/>
  <c r="V104" i="3"/>
  <c r="S105" i="3"/>
  <c r="U143" i="3"/>
  <c r="K143" i="3"/>
  <c r="T143" i="3"/>
  <c r="L143" i="3"/>
  <c r="Y155" i="3"/>
  <c r="M158" i="3"/>
  <c r="P165" i="3"/>
  <c r="R165" i="3" s="1"/>
  <c r="K186" i="3"/>
  <c r="V186" i="3"/>
  <c r="W186" i="3" s="1"/>
  <c r="L186" i="3"/>
  <c r="S193" i="3"/>
  <c r="Q193" i="3"/>
  <c r="T232" i="3"/>
  <c r="L232" i="3"/>
  <c r="K232" i="3"/>
  <c r="U232" i="3"/>
  <c r="W273" i="3"/>
  <c r="T298" i="3"/>
  <c r="G14" i="4"/>
  <c r="T225" i="3"/>
  <c r="V225" i="3"/>
  <c r="W225" i="3" s="1"/>
  <c r="U225" i="3"/>
  <c r="W229" i="3"/>
  <c r="U242" i="3"/>
  <c r="W317" i="3"/>
  <c r="W320" i="3"/>
  <c r="K13" i="3"/>
  <c r="V13" i="3"/>
  <c r="W13" i="3" s="1"/>
  <c r="M15" i="3"/>
  <c r="S16" i="3"/>
  <c r="P17" i="3"/>
  <c r="R17" i="3" s="1"/>
  <c r="U23" i="3"/>
  <c r="L47" i="3"/>
  <c r="T47" i="3"/>
  <c r="S62" i="3"/>
  <c r="T84" i="3"/>
  <c r="L84" i="3"/>
  <c r="Q111" i="3"/>
  <c r="S111" i="3"/>
  <c r="L121" i="3"/>
  <c r="V121" i="3"/>
  <c r="W121" i="3" s="1"/>
  <c r="U121" i="3"/>
  <c r="Q141" i="3"/>
  <c r="S141" i="3"/>
  <c r="T158" i="3"/>
  <c r="S177" i="3"/>
  <c r="P177" i="3"/>
  <c r="G13" i="4"/>
  <c r="S197" i="3"/>
  <c r="V2" i="3"/>
  <c r="W2" i="3" s="1"/>
  <c r="L13" i="3"/>
  <c r="P16" i="3"/>
  <c r="R16" i="3" s="1"/>
  <c r="Q17" i="3"/>
  <c r="T19" i="3"/>
  <c r="L23" i="3"/>
  <c r="P26" i="3"/>
  <c r="R26" i="3" s="1"/>
  <c r="S27" i="3"/>
  <c r="U35" i="3"/>
  <c r="L35" i="3"/>
  <c r="V35" i="3"/>
  <c r="W35" i="3" s="1"/>
  <c r="L36" i="3"/>
  <c r="Q38" i="3"/>
  <c r="K47" i="3"/>
  <c r="S49" i="3"/>
  <c r="Q61" i="3"/>
  <c r="M74" i="3"/>
  <c r="K84" i="3"/>
  <c r="L89" i="3"/>
  <c r="S90" i="3"/>
  <c r="U101" i="3"/>
  <c r="L101" i="3"/>
  <c r="T101" i="3"/>
  <c r="Q102" i="3"/>
  <c r="S116" i="3"/>
  <c r="K121" i="3"/>
  <c r="Q129" i="3"/>
  <c r="S129" i="3"/>
  <c r="K131" i="3"/>
  <c r="U131" i="3"/>
  <c r="T131" i="3"/>
  <c r="V131" i="3"/>
  <c r="W131" i="3" s="1"/>
  <c r="M155" i="3"/>
  <c r="S165" i="3"/>
  <c r="S172" i="3"/>
  <c r="Q177" i="3"/>
  <c r="K179" i="3"/>
  <c r="Q184" i="3"/>
  <c r="S186" i="3"/>
  <c r="P186" i="3"/>
  <c r="R186" i="3" s="1"/>
  <c r="Q186" i="3"/>
  <c r="Q208" i="3"/>
  <c r="S208" i="3"/>
  <c r="K225" i="3"/>
  <c r="Q279" i="3"/>
  <c r="S279" i="3"/>
  <c r="V138" i="3"/>
  <c r="W138" i="3" s="1"/>
  <c r="L138" i="3"/>
  <c r="S139" i="3"/>
  <c r="Q139" i="3"/>
  <c r="S161" i="3"/>
  <c r="Q161" i="3"/>
  <c r="L172" i="3"/>
  <c r="T172" i="3"/>
  <c r="Q173" i="3"/>
  <c r="U176" i="3"/>
  <c r="T176" i="3"/>
  <c r="Q192" i="3"/>
  <c r="S192" i="3"/>
  <c r="L202" i="3"/>
  <c r="U202" i="3"/>
  <c r="T202" i="3"/>
  <c r="K202" i="3"/>
  <c r="S209" i="3"/>
  <c r="G220" i="3"/>
  <c r="P220" i="3" s="1"/>
  <c r="R220" i="3" s="1"/>
  <c r="L223" i="3"/>
  <c r="G238" i="3"/>
  <c r="K238" i="3" s="1"/>
  <c r="Q255" i="3"/>
  <c r="S260" i="3"/>
  <c r="Q303" i="3"/>
  <c r="U93" i="3"/>
  <c r="G101" i="3"/>
  <c r="X101" i="3" s="1"/>
  <c r="U102" i="3"/>
  <c r="K102" i="3"/>
  <c r="L103" i="3"/>
  <c r="T107" i="3"/>
  <c r="U108" i="3"/>
  <c r="G111" i="3"/>
  <c r="T112" i="3"/>
  <c r="K112" i="3"/>
  <c r="Q115" i="3"/>
  <c r="T141" i="3"/>
  <c r="U141" i="3"/>
  <c r="T145" i="3"/>
  <c r="G150" i="3"/>
  <c r="K150" i="3" s="1"/>
  <c r="S151" i="3"/>
  <c r="Q151" i="3"/>
  <c r="T155" i="3"/>
  <c r="W157" i="3"/>
  <c r="T159" i="3"/>
  <c r="L159" i="3"/>
  <c r="V159" i="3"/>
  <c r="L167" i="3"/>
  <c r="V167" i="3"/>
  <c r="U172" i="3"/>
  <c r="L175" i="3"/>
  <c r="T179" i="3"/>
  <c r="Q183" i="3"/>
  <c r="G193" i="3"/>
  <c r="P193" i="3" s="1"/>
  <c r="R193" i="3" s="1"/>
  <c r="L197" i="3"/>
  <c r="L201" i="3"/>
  <c r="V202" i="3"/>
  <c r="S211" i="3"/>
  <c r="Q211" i="3"/>
  <c r="V214" i="3"/>
  <c r="W214" i="3" s="1"/>
  <c r="L214" i="3"/>
  <c r="U214" i="3"/>
  <c r="T214" i="3"/>
  <c r="G219" i="3"/>
  <c r="W219" i="3" s="1"/>
  <c r="Q227" i="3"/>
  <c r="L295" i="3"/>
  <c r="U330" i="3"/>
  <c r="T330" i="3"/>
  <c r="V330" i="3"/>
  <c r="L330" i="3"/>
  <c r="S350" i="3"/>
  <c r="S204" i="3"/>
  <c r="P204" i="3"/>
  <c r="W222" i="3"/>
  <c r="U226" i="3"/>
  <c r="V233" i="3"/>
  <c r="L233" i="3"/>
  <c r="T233" i="3"/>
  <c r="V257" i="3"/>
  <c r="W257" i="3" s="1"/>
  <c r="L257" i="3"/>
  <c r="U257" i="3"/>
  <c r="T257" i="3"/>
  <c r="T262" i="3"/>
  <c r="V262" i="3"/>
  <c r="L262" i="3"/>
  <c r="S285" i="3"/>
  <c r="Q285" i="3"/>
  <c r="S293" i="3"/>
  <c r="Q293" i="3"/>
  <c r="T14" i="3"/>
  <c r="K14" i="3"/>
  <c r="S25" i="3"/>
  <c r="T30" i="3"/>
  <c r="K30" i="3"/>
  <c r="S41" i="3"/>
  <c r="T46" i="3"/>
  <c r="K46" i="3"/>
  <c r="G5" i="4"/>
  <c r="V74" i="3"/>
  <c r="W74" i="3" s="1"/>
  <c r="U74" i="3"/>
  <c r="L74" i="3"/>
  <c r="G94" i="3"/>
  <c r="G95" i="3"/>
  <c r="P95" i="3" s="1"/>
  <c r="R95" i="3" s="1"/>
  <c r="S98" i="3"/>
  <c r="Q99" i="3"/>
  <c r="Q100" i="3"/>
  <c r="S119" i="3"/>
  <c r="Q120" i="3"/>
  <c r="Q126" i="3"/>
  <c r="P126" i="3"/>
  <c r="R126" i="3" s="1"/>
  <c r="U130" i="3"/>
  <c r="L130" i="3"/>
  <c r="Q136" i="3"/>
  <c r="G139" i="3"/>
  <c r="L140" i="3"/>
  <c r="G148" i="3"/>
  <c r="G153" i="3"/>
  <c r="W153" i="3" s="1"/>
  <c r="G161" i="3"/>
  <c r="X161" i="3" s="1"/>
  <c r="G165" i="3"/>
  <c r="K165" i="3" s="1"/>
  <c r="G169" i="3"/>
  <c r="X169" i="3" s="1"/>
  <c r="W175" i="3"/>
  <c r="L188" i="3"/>
  <c r="U188" i="3"/>
  <c r="V188" i="3"/>
  <c r="U192" i="3"/>
  <c r="V192" i="3"/>
  <c r="Q204" i="3"/>
  <c r="L213" i="3"/>
  <c r="Q216" i="3"/>
  <c r="P221" i="3"/>
  <c r="Q221" i="3"/>
  <c r="L226" i="3"/>
  <c r="U228" i="3"/>
  <c r="L228" i="3"/>
  <c r="T228" i="3"/>
  <c r="Q241" i="3"/>
  <c r="G246" i="3"/>
  <c r="W246" i="3" s="1"/>
  <c r="Q250" i="3"/>
  <c r="K257" i="3"/>
  <c r="G260" i="3"/>
  <c r="P260" i="3" s="1"/>
  <c r="R260" i="3" s="1"/>
  <c r="S347" i="3"/>
  <c r="K95" i="3"/>
  <c r="W107" i="3"/>
  <c r="V139" i="3"/>
  <c r="W139" i="3" s="1"/>
  <c r="T139" i="3"/>
  <c r="V148" i="3"/>
  <c r="Q162" i="3"/>
  <c r="V169" i="3"/>
  <c r="W169" i="3" s="1"/>
  <c r="T169" i="3"/>
  <c r="S170" i="3"/>
  <c r="P170" i="3"/>
  <c r="R170" i="3" s="1"/>
  <c r="Q170" i="3"/>
  <c r="S207" i="3"/>
  <c r="T218" i="3"/>
  <c r="L218" i="3"/>
  <c r="Q228" i="3"/>
  <c r="S228" i="3"/>
  <c r="Q325" i="3"/>
  <c r="S325" i="3"/>
  <c r="T328" i="3"/>
  <c r="U328" i="3"/>
  <c r="L328" i="3"/>
  <c r="V328" i="3"/>
  <c r="L343" i="3"/>
  <c r="S140" i="3"/>
  <c r="P140" i="3"/>
  <c r="L148" i="3"/>
  <c r="P154" i="3"/>
  <c r="R154" i="3" s="1"/>
  <c r="W179" i="3"/>
  <c r="U195" i="3"/>
  <c r="K195" i="3"/>
  <c r="L195" i="3"/>
  <c r="V195" i="3"/>
  <c r="W195" i="3" s="1"/>
  <c r="T206" i="3"/>
  <c r="U206" i="3"/>
  <c r="U212" i="3"/>
  <c r="L212" i="3"/>
  <c r="K212" i="3"/>
  <c r="P235" i="3"/>
  <c r="R235" i="3" s="1"/>
  <c r="Q235" i="3"/>
  <c r="S235" i="3"/>
  <c r="S253" i="3"/>
  <c r="Q253" i="3"/>
  <c r="P253" i="3"/>
  <c r="R253" i="3" s="1"/>
  <c r="Q257" i="3"/>
  <c r="L260" i="3"/>
  <c r="S262" i="3"/>
  <c r="Q262" i="3"/>
  <c r="G265" i="3"/>
  <c r="X265" i="3" s="1"/>
  <c r="V270" i="3"/>
  <c r="T270" i="3"/>
  <c r="U270" i="3"/>
  <c r="G283" i="3"/>
  <c r="K283" i="3" s="1"/>
  <c r="S317" i="3"/>
  <c r="P317" i="3"/>
  <c r="R317" i="3" s="1"/>
  <c r="L95" i="3"/>
  <c r="W102" i="3"/>
  <c r="G10" i="4"/>
  <c r="P248" i="3"/>
  <c r="R248" i="3" s="1"/>
  <c r="Q348" i="3"/>
  <c r="G340" i="3"/>
  <c r="K340" i="3" s="1"/>
  <c r="G345" i="3"/>
  <c r="X345" i="3" s="1"/>
  <c r="G350" i="3"/>
  <c r="P350" i="3" s="1"/>
  <c r="R350" i="3" s="1"/>
  <c r="G334" i="3"/>
  <c r="P334" i="3" s="1"/>
  <c r="R334" i="3" s="1"/>
  <c r="G318" i="3"/>
  <c r="G302" i="3"/>
  <c r="X302" i="3" s="1"/>
  <c r="G286" i="3"/>
  <c r="K286" i="3" s="1"/>
  <c r="G349" i="3"/>
  <c r="P349" i="3" s="1"/>
  <c r="R349" i="3" s="1"/>
  <c r="G348" i="3"/>
  <c r="P348" i="3" s="1"/>
  <c r="R348" i="3" s="1"/>
  <c r="G337" i="3"/>
  <c r="K337" i="3" s="1"/>
  <c r="G347" i="3"/>
  <c r="P347" i="3" s="1"/>
  <c r="R347" i="3" s="1"/>
  <c r="G322" i="3"/>
  <c r="G314" i="3"/>
  <c r="G306" i="3"/>
  <c r="G298" i="3"/>
  <c r="G290" i="3"/>
  <c r="P290" i="3" s="1"/>
  <c r="R290" i="3" s="1"/>
  <c r="G282" i="3"/>
  <c r="K282" i="3" s="1"/>
  <c r="G269" i="3"/>
  <c r="X269" i="3" s="1"/>
  <c r="Q347" i="3"/>
  <c r="G336" i="3"/>
  <c r="K336" i="3" s="1"/>
  <c r="G335" i="3"/>
  <c r="P335" i="3" s="1"/>
  <c r="R335" i="3" s="1"/>
  <c r="G332" i="3"/>
  <c r="X332" i="3" s="1"/>
  <c r="G331" i="3"/>
  <c r="X331" i="3" s="1"/>
  <c r="G330" i="3"/>
  <c r="P330" i="3" s="1"/>
  <c r="R330" i="3" s="1"/>
  <c r="G329" i="3"/>
  <c r="K329" i="3" s="1"/>
  <c r="G328" i="3"/>
  <c r="P328" i="3" s="1"/>
  <c r="R328" i="3" s="1"/>
  <c r="G327" i="3"/>
  <c r="K327" i="3" s="1"/>
  <c r="Q316" i="3"/>
  <c r="G307" i="3"/>
  <c r="W307" i="3" s="1"/>
  <c r="G289" i="3"/>
  <c r="G274" i="3"/>
  <c r="Q343" i="3"/>
  <c r="G320" i="3"/>
  <c r="K320" i="3" s="1"/>
  <c r="G287" i="3"/>
  <c r="P287" i="3" s="1"/>
  <c r="R287" i="3" s="1"/>
  <c r="G259" i="3"/>
  <c r="X259" i="3" s="1"/>
  <c r="G341" i="3"/>
  <c r="X341" i="3" s="1"/>
  <c r="G296" i="3"/>
  <c r="P296" i="3" s="1"/>
  <c r="R296" i="3" s="1"/>
  <c r="G275" i="3"/>
  <c r="P275" i="3" s="1"/>
  <c r="R275" i="3" s="1"/>
  <c r="L272" i="3"/>
  <c r="Q267" i="3"/>
  <c r="G262" i="3"/>
  <c r="X262" i="3" s="1"/>
  <c r="G254" i="3"/>
  <c r="X254" i="3" s="1"/>
  <c r="G248" i="3"/>
  <c r="X248" i="3" s="1"/>
  <c r="G232" i="3"/>
  <c r="P232" i="3" s="1"/>
  <c r="R232" i="3" s="1"/>
  <c r="G216" i="3"/>
  <c r="G200" i="3"/>
  <c r="G184" i="3"/>
  <c r="G168" i="3"/>
  <c r="L337" i="3"/>
  <c r="L324" i="3"/>
  <c r="L303" i="3"/>
  <c r="G299" i="3"/>
  <c r="K299" i="3" s="1"/>
  <c r="Q287" i="3"/>
  <c r="G278" i="3"/>
  <c r="X278" i="3" s="1"/>
  <c r="G343" i="3"/>
  <c r="P343" i="3" s="1"/>
  <c r="R343" i="3" s="1"/>
  <c r="G339" i="3"/>
  <c r="X339" i="3" s="1"/>
  <c r="G333" i="3"/>
  <c r="X333" i="3" s="1"/>
  <c r="Q337" i="3"/>
  <c r="G346" i="3"/>
  <c r="P346" i="3" s="1"/>
  <c r="R346" i="3" s="1"/>
  <c r="G316" i="3"/>
  <c r="G303" i="3"/>
  <c r="Q298" i="3"/>
  <c r="G295" i="3"/>
  <c r="G288" i="3"/>
  <c r="X288" i="3" s="1"/>
  <c r="L274" i="3"/>
  <c r="L273" i="3"/>
  <c r="G256" i="3"/>
  <c r="P256" i="3" s="1"/>
  <c r="R256" i="3" s="1"/>
  <c r="G147" i="3"/>
  <c r="P147" i="3" s="1"/>
  <c r="R147" i="3" s="1"/>
  <c r="G317" i="3"/>
  <c r="K317" i="3" s="1"/>
  <c r="G310" i="3"/>
  <c r="G304" i="3"/>
  <c r="K304" i="3" s="1"/>
  <c r="Q284" i="3"/>
  <c r="L276" i="3"/>
  <c r="G255" i="3"/>
  <c r="K255" i="3" s="1"/>
  <c r="Q249" i="3"/>
  <c r="G245" i="3"/>
  <c r="G237" i="3"/>
  <c r="G344" i="3"/>
  <c r="L342" i="3"/>
  <c r="Q327" i="3"/>
  <c r="L326" i="3"/>
  <c r="G325" i="3"/>
  <c r="X325" i="3" s="1"/>
  <c r="L319" i="3"/>
  <c r="G311" i="3"/>
  <c r="X311" i="3" s="1"/>
  <c r="L297" i="3"/>
  <c r="G273" i="3"/>
  <c r="G252" i="3"/>
  <c r="W252" i="3" s="1"/>
  <c r="G244" i="3"/>
  <c r="P244" i="3" s="1"/>
  <c r="R244" i="3" s="1"/>
  <c r="G236" i="3"/>
  <c r="P236" i="3" s="1"/>
  <c r="R236" i="3" s="1"/>
  <c r="G228" i="3"/>
  <c r="P228" i="3" s="1"/>
  <c r="R228" i="3" s="1"/>
  <c r="G338" i="3"/>
  <c r="P338" i="3" s="1"/>
  <c r="R338" i="3" s="1"/>
  <c r="Q336" i="3"/>
  <c r="L325" i="3"/>
  <c r="Q349" i="3"/>
  <c r="L322" i="3"/>
  <c r="G312" i="3"/>
  <c r="X312" i="3" s="1"/>
  <c r="G293" i="3"/>
  <c r="K293" i="3" s="1"/>
  <c r="L286" i="3"/>
  <c r="G272" i="3"/>
  <c r="X272" i="3" s="1"/>
  <c r="L254" i="3"/>
  <c r="G253" i="3"/>
  <c r="W253" i="3" s="1"/>
  <c r="Q346" i="3"/>
  <c r="Q331" i="3"/>
  <c r="Q324" i="3"/>
  <c r="L323" i="3"/>
  <c r="G315" i="3"/>
  <c r="G309" i="3"/>
  <c r="K309" i="3" s="1"/>
  <c r="G301" i="3"/>
  <c r="P301" i="3" s="1"/>
  <c r="R301" i="3" s="1"/>
  <c r="Q283" i="3"/>
  <c r="G240" i="3"/>
  <c r="Q332" i="3"/>
  <c r="G324" i="3"/>
  <c r="K324" i="3" s="1"/>
  <c r="L288" i="3"/>
  <c r="G276" i="3"/>
  <c r="Q270" i="3"/>
  <c r="G267" i="3"/>
  <c r="X267" i="3" s="1"/>
  <c r="L345" i="3"/>
  <c r="Q335" i="3"/>
  <c r="G308" i="3"/>
  <c r="K308" i="3" s="1"/>
  <c r="G305" i="3"/>
  <c r="W305" i="3" s="1"/>
  <c r="Q300" i="3"/>
  <c r="Q297" i="3"/>
  <c r="G291" i="3"/>
  <c r="K291" i="3" s="1"/>
  <c r="G247" i="3"/>
  <c r="G242" i="3"/>
  <c r="G205" i="3"/>
  <c r="G190" i="3"/>
  <c r="G176" i="3"/>
  <c r="K176" i="3" s="1"/>
  <c r="G162" i="3"/>
  <c r="P162" i="3" s="1"/>
  <c r="R162" i="3" s="1"/>
  <c r="G152" i="3"/>
  <c r="X152" i="3" s="1"/>
  <c r="G144" i="3"/>
  <c r="X144" i="3" s="1"/>
  <c r="G138" i="3"/>
  <c r="K138" i="3" s="1"/>
  <c r="G122" i="3"/>
  <c r="P122" i="3" s="1"/>
  <c r="R122" i="3" s="1"/>
  <c r="G106" i="3"/>
  <c r="X106" i="3" s="1"/>
  <c r="L346" i="3"/>
  <c r="L306" i="3"/>
  <c r="L300" i="3"/>
  <c r="L292" i="3"/>
  <c r="G264" i="3"/>
  <c r="K264" i="3" s="1"/>
  <c r="L243" i="3"/>
  <c r="G323" i="3"/>
  <c r="G313" i="3"/>
  <c r="G277" i="3"/>
  <c r="G202" i="3"/>
  <c r="P202" i="3" s="1"/>
  <c r="R202" i="3" s="1"/>
  <c r="G188" i="3"/>
  <c r="P188" i="3" s="1"/>
  <c r="R188" i="3" s="1"/>
  <c r="Q166" i="3"/>
  <c r="G159" i="3"/>
  <c r="X159" i="3" s="1"/>
  <c r="G137" i="3"/>
  <c r="W137" i="3" s="1"/>
  <c r="Q338" i="3"/>
  <c r="L332" i="3"/>
  <c r="G270" i="3"/>
  <c r="P270" i="3" s="1"/>
  <c r="R270" i="3" s="1"/>
  <c r="G258" i="3"/>
  <c r="P258" i="3" s="1"/>
  <c r="R258" i="3" s="1"/>
  <c r="L245" i="3"/>
  <c r="L229" i="3"/>
  <c r="G227" i="3"/>
  <c r="G211" i="3"/>
  <c r="K211" i="3" s="1"/>
  <c r="G197" i="3"/>
  <c r="G182" i="3"/>
  <c r="G167" i="3"/>
  <c r="G135" i="3"/>
  <c r="P135" i="3" s="1"/>
  <c r="R135" i="3" s="1"/>
  <c r="G119" i="3"/>
  <c r="P119" i="3" s="1"/>
  <c r="R119" i="3" s="1"/>
  <c r="G342" i="3"/>
  <c r="X342" i="3" s="1"/>
  <c r="Q323" i="3"/>
  <c r="G279" i="3"/>
  <c r="K279" i="3" s="1"/>
  <c r="G271" i="3"/>
  <c r="Q269" i="3"/>
  <c r="L263" i="3"/>
  <c r="Q322" i="3"/>
  <c r="G292" i="3"/>
  <c r="K292" i="3" s="1"/>
  <c r="Q234" i="3"/>
  <c r="G196" i="3"/>
  <c r="X196" i="3" s="1"/>
  <c r="G166" i="3"/>
  <c r="P166" i="3" s="1"/>
  <c r="R166" i="3" s="1"/>
  <c r="L155" i="3"/>
  <c r="G117" i="3"/>
  <c r="G116" i="3"/>
  <c r="G107" i="3"/>
  <c r="X107" i="3" s="1"/>
  <c r="G89" i="3"/>
  <c r="K89" i="3" s="1"/>
  <c r="G73" i="3"/>
  <c r="K73" i="3" s="1"/>
  <c r="G326" i="3"/>
  <c r="L310" i="3"/>
  <c r="G263" i="3"/>
  <c r="P263" i="3" s="1"/>
  <c r="R263" i="3" s="1"/>
  <c r="Q246" i="3"/>
  <c r="G217" i="3"/>
  <c r="X217" i="3" s="1"/>
  <c r="Q212" i="3"/>
  <c r="G208" i="3"/>
  <c r="K208" i="3" s="1"/>
  <c r="G266" i="3"/>
  <c r="Q259" i="3"/>
  <c r="L251" i="3"/>
  <c r="L316" i="3"/>
  <c r="G300" i="3"/>
  <c r="G294" i="3"/>
  <c r="G261" i="3"/>
  <c r="K261" i="3" s="1"/>
  <c r="G233" i="3"/>
  <c r="P233" i="3" s="1"/>
  <c r="R233" i="3" s="1"/>
  <c r="Q230" i="3"/>
  <c r="G218" i="3"/>
  <c r="X218" i="3" s="1"/>
  <c r="L210" i="3"/>
  <c r="G209" i="3"/>
  <c r="P209" i="3" s="1"/>
  <c r="R209" i="3" s="1"/>
  <c r="L308" i="3"/>
  <c r="Q290" i="3"/>
  <c r="G281" i="3"/>
  <c r="P281" i="3" s="1"/>
  <c r="R281" i="3" s="1"/>
  <c r="Q256" i="3"/>
  <c r="G239" i="3"/>
  <c r="X239" i="3" s="1"/>
  <c r="G321" i="3"/>
  <c r="K321" i="3" s="1"/>
  <c r="G319" i="3"/>
  <c r="P319" i="3" s="1"/>
  <c r="R319" i="3" s="1"/>
  <c r="Q311" i="3"/>
  <c r="G297" i="3"/>
  <c r="Q289" i="3"/>
  <c r="G285" i="3"/>
  <c r="P285" i="3" s="1"/>
  <c r="R285" i="3" s="1"/>
  <c r="L282" i="3"/>
  <c r="G241" i="3"/>
  <c r="K241" i="3" s="1"/>
  <c r="G215" i="3"/>
  <c r="P215" i="3" s="1"/>
  <c r="R215" i="3" s="1"/>
  <c r="G201" i="3"/>
  <c r="P201" i="3" s="1"/>
  <c r="R201" i="3" s="1"/>
  <c r="Q197" i="3"/>
  <c r="Q191" i="3"/>
  <c r="G187" i="3"/>
  <c r="P187" i="3" s="1"/>
  <c r="R187" i="3" s="1"/>
  <c r="G180" i="3"/>
  <c r="X180" i="3" s="1"/>
  <c r="L173" i="3"/>
  <c r="G172" i="3"/>
  <c r="P172" i="3" s="1"/>
  <c r="R172" i="3" s="1"/>
  <c r="G145" i="3"/>
  <c r="G105" i="3"/>
  <c r="P105" i="3" s="1"/>
  <c r="R105" i="3" s="1"/>
  <c r="G96" i="3"/>
  <c r="G80" i="3"/>
  <c r="X80" i="3" s="1"/>
  <c r="G55" i="3"/>
  <c r="G39" i="3"/>
  <c r="P39" i="3" s="1"/>
  <c r="R39" i="3" s="1"/>
  <c r="G23" i="3"/>
  <c r="W23" i="3" s="1"/>
  <c r="G7" i="3"/>
  <c r="K7" i="3" s="1"/>
  <c r="Q341" i="3"/>
  <c r="Q277" i="3"/>
  <c r="Q265" i="3"/>
  <c r="Q308" i="3"/>
  <c r="Q291" i="3"/>
  <c r="Q271" i="3"/>
  <c r="G226" i="3"/>
  <c r="P226" i="3" s="1"/>
  <c r="R226" i="3" s="1"/>
  <c r="Q217" i="3"/>
  <c r="Q198" i="3"/>
  <c r="G189" i="3"/>
  <c r="X189" i="3" s="1"/>
  <c r="G181" i="3"/>
  <c r="X181" i="3" s="1"/>
  <c r="G173" i="3"/>
  <c r="L150" i="3"/>
  <c r="G136" i="3"/>
  <c r="X136" i="3" s="1"/>
  <c r="Q112" i="3"/>
  <c r="G104" i="3"/>
  <c r="G54" i="3"/>
  <c r="X54" i="3" s="1"/>
  <c r="Q315" i="3"/>
  <c r="L238" i="3"/>
  <c r="Q231" i="3"/>
  <c r="Q218" i="3"/>
  <c r="L205" i="3"/>
  <c r="G192" i="3"/>
  <c r="K192" i="3" s="1"/>
  <c r="G154" i="3"/>
  <c r="K154" i="3" s="1"/>
  <c r="Q145" i="3"/>
  <c r="G141" i="3"/>
  <c r="K141" i="3" s="1"/>
  <c r="Q133" i="3"/>
  <c r="G128" i="3"/>
  <c r="X128" i="3" s="1"/>
  <c r="G127" i="3"/>
  <c r="X127" i="3" s="1"/>
  <c r="G126" i="3"/>
  <c r="K126" i="3" s="1"/>
  <c r="G125" i="3"/>
  <c r="K125" i="3" s="1"/>
  <c r="G124" i="3"/>
  <c r="W124" i="3" s="1"/>
  <c r="G123" i="3"/>
  <c r="K123" i="3" s="1"/>
  <c r="G120" i="3"/>
  <c r="P120" i="3" s="1"/>
  <c r="R120" i="3" s="1"/>
  <c r="G113" i="3"/>
  <c r="K113" i="3" s="1"/>
  <c r="L111" i="3"/>
  <c r="G68" i="3"/>
  <c r="P68" i="3" s="1"/>
  <c r="R68" i="3" s="1"/>
  <c r="G52" i="3"/>
  <c r="P52" i="3" s="1"/>
  <c r="R52" i="3" s="1"/>
  <c r="G36" i="3"/>
  <c r="K36" i="3" s="1"/>
  <c r="G20" i="3"/>
  <c r="P20" i="3" s="1"/>
  <c r="R20" i="3" s="1"/>
  <c r="G231" i="3"/>
  <c r="P231" i="3" s="1"/>
  <c r="R231" i="3" s="1"/>
  <c r="Q223" i="3"/>
  <c r="K17" i="3"/>
  <c r="G18" i="3"/>
  <c r="T24" i="3"/>
  <c r="Q28" i="3"/>
  <c r="K33" i="3"/>
  <c r="G34" i="3"/>
  <c r="X34" i="3" s="1"/>
  <c r="T40" i="3"/>
  <c r="Q44" i="3"/>
  <c r="K49" i="3"/>
  <c r="U51" i="3"/>
  <c r="L51" i="3"/>
  <c r="L53" i="3"/>
  <c r="V53" i="3"/>
  <c r="W53" i="3" s="1"/>
  <c r="L54" i="3"/>
  <c r="U67" i="3"/>
  <c r="L67" i="3"/>
  <c r="U69" i="3"/>
  <c r="L69" i="3"/>
  <c r="K71" i="3"/>
  <c r="L72" i="3"/>
  <c r="V72" i="3"/>
  <c r="W72" i="3" s="1"/>
  <c r="P76" i="3"/>
  <c r="R76" i="3" s="1"/>
  <c r="S80" i="3"/>
  <c r="V81" i="3"/>
  <c r="W81" i="3" s="1"/>
  <c r="G90" i="3"/>
  <c r="T91" i="3"/>
  <c r="K93" i="3"/>
  <c r="L94" i="3"/>
  <c r="P97" i="3"/>
  <c r="R97" i="3" s="1"/>
  <c r="S99" i="3"/>
  <c r="S100" i="3"/>
  <c r="K106" i="3"/>
  <c r="L107" i="3"/>
  <c r="P109" i="3"/>
  <c r="R109" i="3" s="1"/>
  <c r="V112" i="3"/>
  <c r="W112" i="3" s="1"/>
  <c r="G115" i="3"/>
  <c r="L116" i="3"/>
  <c r="V123" i="3"/>
  <c r="T123" i="3"/>
  <c r="G129" i="3"/>
  <c r="X129" i="3" s="1"/>
  <c r="Q130" i="3"/>
  <c r="G133" i="3"/>
  <c r="L139" i="3"/>
  <c r="Q140" i="3"/>
  <c r="V145" i="3"/>
  <c r="L153" i="3"/>
  <c r="S154" i="3"/>
  <c r="K157" i="3"/>
  <c r="P158" i="3"/>
  <c r="L161" i="3"/>
  <c r="U164" i="3"/>
  <c r="L164" i="3"/>
  <c r="V164" i="3"/>
  <c r="W164" i="3" s="1"/>
  <c r="L165" i="3"/>
  <c r="L169" i="3"/>
  <c r="Q181" i="3"/>
  <c r="Q188" i="3"/>
  <c r="K206" i="3"/>
  <c r="Q207" i="3"/>
  <c r="V209" i="3"/>
  <c r="W209" i="3" s="1"/>
  <c r="K209" i="3"/>
  <c r="L209" i="3"/>
  <c r="U209" i="3"/>
  <c r="L215" i="3"/>
  <c r="V215" i="3"/>
  <c r="U215" i="3"/>
  <c r="T215" i="3"/>
  <c r="T226" i="3"/>
  <c r="Q233" i="3"/>
  <c r="W241" i="3"/>
  <c r="U244" i="3"/>
  <c r="L244" i="3"/>
  <c r="V244" i="3"/>
  <c r="L246" i="3"/>
  <c r="G251" i="3"/>
  <c r="X251" i="3" s="1"/>
  <c r="P255" i="3"/>
  <c r="R255" i="3" s="1"/>
  <c r="U262" i="3"/>
  <c r="G268" i="3"/>
  <c r="L270" i="3"/>
  <c r="T283" i="3"/>
  <c r="V283" i="3"/>
  <c r="U283" i="3"/>
  <c r="L283" i="3"/>
  <c r="Q317" i="3"/>
  <c r="Q226" i="3"/>
  <c r="S239" i="3"/>
  <c r="T309" i="3"/>
  <c r="V309" i="3"/>
  <c r="W309" i="3" s="1"/>
  <c r="L309" i="3"/>
  <c r="L321" i="3"/>
  <c r="U321" i="3"/>
  <c r="T321" i="3"/>
  <c r="V321" i="3"/>
  <c r="K83" i="3"/>
  <c r="K99" i="3"/>
  <c r="S108" i="3"/>
  <c r="T129" i="3"/>
  <c r="T142" i="3"/>
  <c r="P171" i="3"/>
  <c r="R171" i="3" s="1"/>
  <c r="Q171" i="3"/>
  <c r="T184" i="3"/>
  <c r="L199" i="3"/>
  <c r="V199" i="3"/>
  <c r="W199" i="3" s="1"/>
  <c r="K199" i="3"/>
  <c r="S225" i="3"/>
  <c r="P225" i="3"/>
  <c r="R225" i="3" s="1"/>
  <c r="Q225" i="3"/>
  <c r="U227" i="3"/>
  <c r="U230" i="3"/>
  <c r="V230" i="3"/>
  <c r="W230" i="3" s="1"/>
  <c r="L230" i="3"/>
  <c r="T230" i="3"/>
  <c r="S247" i="3"/>
  <c r="Q247" i="3"/>
  <c r="Q264" i="3"/>
  <c r="S264" i="3"/>
  <c r="S276" i="3"/>
  <c r="Q276" i="3"/>
  <c r="V281" i="3"/>
  <c r="L281" i="3"/>
  <c r="T293" i="3"/>
  <c r="U293" i="3"/>
  <c r="V293" i="3"/>
  <c r="Q307" i="3"/>
  <c r="S307" i="3"/>
  <c r="T327" i="3"/>
  <c r="V327" i="3"/>
  <c r="W327" i="3" s="1"/>
  <c r="U327" i="3"/>
  <c r="K343" i="3"/>
  <c r="Q114" i="3"/>
  <c r="S121" i="3"/>
  <c r="S124" i="3"/>
  <c r="L137" i="3"/>
  <c r="U160" i="3"/>
  <c r="K160" i="3"/>
  <c r="Q169" i="3"/>
  <c r="K174" i="3"/>
  <c r="Q176" i="3"/>
  <c r="K203" i="3"/>
  <c r="T203" i="3"/>
  <c r="V203" i="3"/>
  <c r="W203" i="3" s="1"/>
  <c r="P213" i="3"/>
  <c r="Q213" i="3"/>
  <c r="Q220" i="3"/>
  <c r="S220" i="3"/>
  <c r="W221" i="3"/>
  <c r="K235" i="3"/>
  <c r="V235" i="3"/>
  <c r="W235" i="3" s="1"/>
  <c r="U235" i="3"/>
  <c r="L235" i="3"/>
  <c r="T235" i="3"/>
  <c r="S254" i="3"/>
  <c r="Q254" i="3"/>
  <c r="P254" i="3"/>
  <c r="R254" i="3" s="1"/>
  <c r="W258" i="3"/>
  <c r="U265" i="3"/>
  <c r="L265" i="3"/>
  <c r="T267" i="3"/>
  <c r="L267" i="3"/>
  <c r="V267" i="3"/>
  <c r="U267" i="3"/>
  <c r="Q273" i="3"/>
  <c r="G20" i="4"/>
  <c r="P308" i="3"/>
  <c r="R308" i="3" s="1"/>
  <c r="S308" i="3"/>
  <c r="V335" i="3"/>
  <c r="W335" i="3" s="1"/>
  <c r="K335" i="3"/>
  <c r="U335" i="3"/>
  <c r="L335" i="3"/>
  <c r="L348" i="3"/>
  <c r="U348" i="3"/>
  <c r="K348" i="3"/>
  <c r="V348" i="3"/>
  <c r="T348" i="3"/>
  <c r="V287" i="3"/>
  <c r="W287" i="3" s="1"/>
  <c r="L287" i="3"/>
  <c r="T287" i="3"/>
  <c r="Q299" i="3"/>
  <c r="S299" i="3"/>
  <c r="U314" i="3"/>
  <c r="V314" i="3"/>
  <c r="T314" i="3"/>
  <c r="L314" i="3"/>
  <c r="T83" i="3"/>
  <c r="T99" i="3"/>
  <c r="S114" i="3"/>
  <c r="S122" i="3"/>
  <c r="U134" i="3"/>
  <c r="L134" i="3"/>
  <c r="S138" i="3"/>
  <c r="L146" i="3"/>
  <c r="U146" i="3"/>
  <c r="K146" i="3"/>
  <c r="Q148" i="3"/>
  <c r="T166" i="3"/>
  <c r="V184" i="3"/>
  <c r="Q196" i="3"/>
  <c r="P203" i="3"/>
  <c r="R203" i="3" s="1"/>
  <c r="L219" i="3"/>
  <c r="P229" i="3"/>
  <c r="R229" i="3" s="1"/>
  <c r="S229" i="3"/>
  <c r="Q229" i="3"/>
  <c r="T265" i="3"/>
  <c r="K287" i="3"/>
  <c r="W337" i="3"/>
  <c r="U340" i="3"/>
  <c r="V340" i="3"/>
  <c r="T340" i="3"/>
  <c r="U284" i="3"/>
  <c r="L284" i="3"/>
  <c r="K284" i="3"/>
  <c r="S328" i="3"/>
  <c r="Q328" i="3"/>
  <c r="V256" i="3"/>
  <c r="L256" i="3"/>
  <c r="U256" i="3"/>
  <c r="U261" i="3"/>
  <c r="T261" i="3"/>
  <c r="L269" i="3"/>
  <c r="V269" i="3"/>
  <c r="S288" i="3"/>
  <c r="Q288" i="3"/>
  <c r="K296" i="3"/>
  <c r="U296" i="3"/>
  <c r="L296" i="3"/>
  <c r="T296" i="3"/>
  <c r="K302" i="3"/>
  <c r="L302" i="3"/>
  <c r="T302" i="3"/>
  <c r="U302" i="3"/>
  <c r="V312" i="3"/>
  <c r="T312" i="3"/>
  <c r="S314" i="3"/>
  <c r="S219" i="3"/>
  <c r="Q219" i="3"/>
  <c r="T223" i="3"/>
  <c r="Q237" i="3"/>
  <c r="S237" i="3"/>
  <c r="Q251" i="3"/>
  <c r="S251" i="3"/>
  <c r="L261" i="3"/>
  <c r="K269" i="3"/>
  <c r="Q272" i="3"/>
  <c r="T275" i="3"/>
  <c r="L275" i="3"/>
  <c r="K275" i="3"/>
  <c r="U275" i="3"/>
  <c r="T284" i="3"/>
  <c r="V290" i="3"/>
  <c r="U290" i="3"/>
  <c r="L290" i="3"/>
  <c r="Q296" i="3"/>
  <c r="U298" i="3"/>
  <c r="L298" i="3"/>
  <c r="V298" i="3"/>
  <c r="S304" i="3"/>
  <c r="P304" i="3"/>
  <c r="R304" i="3" s="1"/>
  <c r="L312" i="3"/>
  <c r="Q314" i="3"/>
  <c r="Q127" i="3"/>
  <c r="T153" i="3"/>
  <c r="U208" i="3"/>
  <c r="L208" i="3"/>
  <c r="Q210" i="3"/>
  <c r="V217" i="3"/>
  <c r="T217" i="3"/>
  <c r="L217" i="3"/>
  <c r="K223" i="3"/>
  <c r="Q240" i="3"/>
  <c r="S240" i="3"/>
  <c r="K263" i="3"/>
  <c r="V263" i="3"/>
  <c r="W263" i="3" s="1"/>
  <c r="V284" i="3"/>
  <c r="W284" i="3" s="1"/>
  <c r="Q286" i="3"/>
  <c r="P286" i="3"/>
  <c r="R286" i="3" s="1"/>
  <c r="S286" i="3"/>
  <c r="Q304" i="3"/>
  <c r="S248" i="3"/>
  <c r="Q248" i="3"/>
  <c r="W254" i="3"/>
  <c r="L258" i="3"/>
  <c r="U258" i="3"/>
  <c r="T258" i="3"/>
  <c r="S272" i="3"/>
  <c r="Q275" i="3"/>
  <c r="S275" i="3"/>
  <c r="S334" i="3"/>
  <c r="Q334" i="3"/>
  <c r="T343" i="3"/>
  <c r="U343" i="3"/>
  <c r="V343" i="3"/>
  <c r="U308" i="3"/>
  <c r="V308" i="3"/>
  <c r="Q313" i="3"/>
  <c r="S313" i="3"/>
  <c r="L320" i="3"/>
  <c r="T320" i="3"/>
  <c r="Q178" i="3"/>
  <c r="U196" i="3"/>
  <c r="L196" i="3"/>
  <c r="K210" i="3"/>
  <c r="U240" i="3"/>
  <c r="T240" i="3"/>
  <c r="L240" i="3"/>
  <c r="S241" i="3"/>
  <c r="P241" i="3"/>
  <c r="R241" i="3" s="1"/>
  <c r="L266" i="3"/>
  <c r="T266" i="3"/>
  <c r="T308" i="3"/>
  <c r="L334" i="3"/>
  <c r="V334" i="3"/>
  <c r="T334" i="3"/>
  <c r="U334" i="3"/>
  <c r="K243" i="3"/>
  <c r="T248" i="3"/>
  <c r="U248" i="3"/>
  <c r="L248" i="3"/>
  <c r="U266" i="3"/>
  <c r="T294" i="3"/>
  <c r="L294" i="3"/>
  <c r="L315" i="3"/>
  <c r="U315" i="3"/>
  <c r="T316" i="3"/>
  <c r="W332" i="3"/>
  <c r="L252" i="3"/>
  <c r="S261" i="3"/>
  <c r="Q261" i="3"/>
  <c r="W266" i="3"/>
  <c r="T277" i="3"/>
  <c r="L277" i="3"/>
  <c r="Q280" i="3"/>
  <c r="P280" i="3"/>
  <c r="R280" i="3" s="1"/>
  <c r="S289" i="3"/>
  <c r="T313" i="3"/>
  <c r="U313" i="3"/>
  <c r="V313" i="3"/>
  <c r="S149" i="3"/>
  <c r="T175" i="3"/>
  <c r="T196" i="3"/>
  <c r="L204" i="3"/>
  <c r="U210" i="3"/>
  <c r="S218" i="3"/>
  <c r="V260" i="3"/>
  <c r="U260" i="3"/>
  <c r="T260" i="3"/>
  <c r="S280" i="3"/>
  <c r="Q292" i="3"/>
  <c r="P292" i="3"/>
  <c r="R292" i="3" s="1"/>
  <c r="S311" i="3"/>
  <c r="S323" i="3"/>
  <c r="S223" i="3"/>
  <c r="Q224" i="3"/>
  <c r="S231" i="3"/>
  <c r="Q232" i="3"/>
  <c r="S234" i="3"/>
  <c r="P234" i="3"/>
  <c r="R234" i="3" s="1"/>
  <c r="L247" i="3"/>
  <c r="V247" i="3"/>
  <c r="U247" i="3"/>
  <c r="V259" i="3"/>
  <c r="U259" i="3"/>
  <c r="L268" i="3"/>
  <c r="K280" i="3"/>
  <c r="T280" i="3"/>
  <c r="L280" i="3"/>
  <c r="U292" i="3"/>
  <c r="T292" i="3"/>
  <c r="L299" i="3"/>
  <c r="V299" i="3"/>
  <c r="U299" i="3"/>
  <c r="V338" i="3"/>
  <c r="L338" i="3"/>
  <c r="T338" i="3"/>
  <c r="U268" i="3"/>
  <c r="V280" i="3"/>
  <c r="W280" i="3" s="1"/>
  <c r="V292" i="3"/>
  <c r="W292" i="3" s="1"/>
  <c r="Q302" i="3"/>
  <c r="P302" i="3"/>
  <c r="R302" i="3" s="1"/>
  <c r="S320" i="3"/>
  <c r="Q320" i="3"/>
  <c r="L349" i="3"/>
  <c r="V349" i="3"/>
  <c r="U349" i="3"/>
  <c r="T349" i="3"/>
  <c r="G18" i="4"/>
  <c r="V278" i="3"/>
  <c r="W278" i="3" s="1"/>
  <c r="L278" i="3"/>
  <c r="U278" i="3"/>
  <c r="T278" i="3"/>
  <c r="Q282" i="3"/>
  <c r="Q294" i="3"/>
  <c r="Q344" i="3"/>
  <c r="V346" i="3"/>
  <c r="U346" i="3"/>
  <c r="T346" i="3"/>
  <c r="G17" i="4"/>
  <c r="L271" i="3"/>
  <c r="Q278" i="3"/>
  <c r="S278" i="3"/>
  <c r="Q306" i="3"/>
  <c r="S327" i="3"/>
  <c r="P327" i="3"/>
  <c r="R327" i="3" s="1"/>
  <c r="Q330" i="3"/>
  <c r="L333" i="3"/>
  <c r="U333" i="3"/>
  <c r="V333" i="3"/>
  <c r="W333" i="3" s="1"/>
  <c r="T333" i="3"/>
  <c r="T311" i="3"/>
  <c r="V311" i="3"/>
  <c r="S312" i="3"/>
  <c r="S250" i="3"/>
  <c r="L253" i="3"/>
  <c r="V289" i="3"/>
  <c r="S336" i="3"/>
  <c r="S339" i="3"/>
  <c r="Q339" i="3"/>
  <c r="S342" i="3"/>
  <c r="Q342" i="3"/>
  <c r="L344" i="3"/>
  <c r="U344" i="3"/>
  <c r="T344" i="3"/>
  <c r="V344" i="3"/>
  <c r="P250" i="3"/>
  <c r="R250" i="3" s="1"/>
  <c r="S265" i="3"/>
  <c r="S266" i="3"/>
  <c r="S271" i="3"/>
  <c r="S277" i="3"/>
  <c r="L289" i="3"/>
  <c r="S290" i="3"/>
  <c r="S297" i="3"/>
  <c r="L304" i="3"/>
  <c r="Q305" i="3"/>
  <c r="S306" i="3"/>
  <c r="U310" i="3"/>
  <c r="T310" i="3"/>
  <c r="L311" i="3"/>
  <c r="Q312" i="3"/>
  <c r="L317" i="3"/>
  <c r="Q326" i="3"/>
  <c r="L329" i="3"/>
  <c r="S330" i="3"/>
  <c r="Q333" i="3"/>
  <c r="V341" i="3"/>
  <c r="U341" i="3"/>
  <c r="T341" i="3"/>
  <c r="L341" i="3"/>
  <c r="Q345" i="3"/>
  <c r="G22" i="4"/>
  <c r="Q329" i="3"/>
  <c r="L301" i="3"/>
  <c r="Q310" i="3"/>
  <c r="K322" i="3"/>
  <c r="L318" i="3"/>
  <c r="V319" i="3"/>
  <c r="L350" i="3"/>
  <c r="U347" i="3"/>
  <c r="T347" i="3"/>
  <c r="L347" i="3"/>
  <c r="K347" i="3"/>
  <c r="L285" i="3"/>
  <c r="G23" i="4"/>
  <c r="S301" i="3"/>
  <c r="G21" i="4"/>
  <c r="Q318" i="3"/>
  <c r="T325" i="3"/>
  <c r="U336" i="3"/>
  <c r="L336" i="3"/>
  <c r="L339" i="3"/>
  <c r="U350" i="3"/>
  <c r="X138" i="3" l="1"/>
  <c r="X282" i="3"/>
  <c r="P218" i="3"/>
  <c r="R218" i="3" s="1"/>
  <c r="M44" i="3"/>
  <c r="X135" i="3"/>
  <c r="X68" i="3"/>
  <c r="X241" i="3"/>
  <c r="X340" i="3"/>
  <c r="P189" i="3"/>
  <c r="R189" i="3" s="1"/>
  <c r="Y72" i="3"/>
  <c r="W73" i="3"/>
  <c r="P176" i="3"/>
  <c r="R176" i="3" s="1"/>
  <c r="W144" i="3"/>
  <c r="Y12" i="3"/>
  <c r="K334" i="3"/>
  <c r="M334" i="3" s="1"/>
  <c r="W325" i="3"/>
  <c r="K159" i="3"/>
  <c r="P339" i="3"/>
  <c r="R339" i="3" s="1"/>
  <c r="P279" i="3"/>
  <c r="R279" i="3" s="1"/>
  <c r="W7" i="3"/>
  <c r="P336" i="3"/>
  <c r="R336" i="3" s="1"/>
  <c r="P272" i="3"/>
  <c r="R272" i="3" s="1"/>
  <c r="W340" i="3"/>
  <c r="W336" i="3"/>
  <c r="K226" i="3"/>
  <c r="M175" i="3"/>
  <c r="W165" i="3"/>
  <c r="X219" i="3"/>
  <c r="X335" i="3"/>
  <c r="W54" i="3"/>
  <c r="R67" i="3"/>
  <c r="Y67" i="3"/>
  <c r="Y35" i="3"/>
  <c r="Y25" i="3"/>
  <c r="M25" i="3"/>
  <c r="X39" i="3"/>
  <c r="W215" i="3"/>
  <c r="X350" i="3"/>
  <c r="P107" i="3"/>
  <c r="R107" i="3" s="1"/>
  <c r="L11" i="4"/>
  <c r="W125" i="3"/>
  <c r="P238" i="3"/>
  <c r="R238" i="3" s="1"/>
  <c r="K119" i="3"/>
  <c r="X123" i="3"/>
  <c r="X137" i="3"/>
  <c r="P7" i="3"/>
  <c r="R7" i="3" s="1"/>
  <c r="P312" i="3"/>
  <c r="R312" i="3" s="1"/>
  <c r="H18" i="4"/>
  <c r="K252" i="3"/>
  <c r="W334" i="3"/>
  <c r="P219" i="3"/>
  <c r="R219" i="3" s="1"/>
  <c r="W269" i="3"/>
  <c r="W145" i="3"/>
  <c r="P129" i="3"/>
  <c r="R129" i="3" s="1"/>
  <c r="Y74" i="3"/>
  <c r="H17" i="4"/>
  <c r="X202" i="3"/>
  <c r="X285" i="3"/>
  <c r="X211" i="3"/>
  <c r="M249" i="3"/>
  <c r="Y41" i="3"/>
  <c r="K256" i="3"/>
  <c r="W256" i="3"/>
  <c r="K265" i="3"/>
  <c r="Y265" i="3" s="1"/>
  <c r="K341" i="3"/>
  <c r="Y78" i="3"/>
  <c r="Y149" i="3"/>
  <c r="K144" i="3"/>
  <c r="W129" i="3"/>
  <c r="K52" i="3"/>
  <c r="X124" i="3"/>
  <c r="X113" i="3"/>
  <c r="X256" i="3"/>
  <c r="X263" i="3"/>
  <c r="P342" i="3"/>
  <c r="R342" i="3" s="1"/>
  <c r="W220" i="3"/>
  <c r="W259" i="3"/>
  <c r="X299" i="3"/>
  <c r="L6" i="4"/>
  <c r="P269" i="3"/>
  <c r="R269" i="3" s="1"/>
  <c r="K311" i="3"/>
  <c r="P144" i="3"/>
  <c r="R144" i="3" s="1"/>
  <c r="H20" i="4"/>
  <c r="W104" i="3"/>
  <c r="W52" i="3"/>
  <c r="K244" i="3"/>
  <c r="K301" i="3"/>
  <c r="K253" i="3"/>
  <c r="P341" i="3"/>
  <c r="R341" i="3" s="1"/>
  <c r="K312" i="3"/>
  <c r="M312" i="3" s="1"/>
  <c r="P239" i="3"/>
  <c r="R239" i="3" s="1"/>
  <c r="K328" i="3"/>
  <c r="Y328" i="3" s="1"/>
  <c r="W141" i="3"/>
  <c r="K262" i="3"/>
  <c r="M262" i="3" s="1"/>
  <c r="K68" i="3"/>
  <c r="Y75" i="3"/>
  <c r="X334" i="3"/>
  <c r="Y92" i="3"/>
  <c r="Y15" i="3"/>
  <c r="P311" i="3"/>
  <c r="R311" i="3" s="1"/>
  <c r="K129" i="3"/>
  <c r="M129" i="3" s="1"/>
  <c r="K218" i="3"/>
  <c r="W218" i="3"/>
  <c r="M110" i="3"/>
  <c r="W136" i="3"/>
  <c r="P159" i="3"/>
  <c r="R159" i="3" s="1"/>
  <c r="X290" i="3"/>
  <c r="K219" i="3"/>
  <c r="Y219" i="3" s="1"/>
  <c r="P123" i="3"/>
  <c r="R123" i="3" s="1"/>
  <c r="W293" i="3"/>
  <c r="W159" i="3"/>
  <c r="X7" i="3"/>
  <c r="Y19" i="3"/>
  <c r="W126" i="3"/>
  <c r="W279" i="3"/>
  <c r="W312" i="3"/>
  <c r="P320" i="3"/>
  <c r="R320" i="3" s="1"/>
  <c r="P299" i="3"/>
  <c r="R299" i="3" s="1"/>
  <c r="P141" i="3"/>
  <c r="R141" i="3" s="1"/>
  <c r="W36" i="3"/>
  <c r="W39" i="3"/>
  <c r="X141" i="3"/>
  <c r="X275" i="3"/>
  <c r="W162" i="3"/>
  <c r="Y134" i="3"/>
  <c r="M263" i="3"/>
  <c r="Y263" i="3"/>
  <c r="M320" i="3"/>
  <c r="H22" i="4"/>
  <c r="R60" i="3"/>
  <c r="Y60" i="3"/>
  <c r="Y71" i="3"/>
  <c r="M71" i="3"/>
  <c r="K190" i="3"/>
  <c r="P190" i="3"/>
  <c r="R190" i="3" s="1"/>
  <c r="X190" i="3"/>
  <c r="K274" i="3"/>
  <c r="P274" i="3"/>
  <c r="R274" i="3" s="1"/>
  <c r="W274" i="3"/>
  <c r="X274" i="3"/>
  <c r="Y334" i="3"/>
  <c r="R158" i="3"/>
  <c r="Y158" i="3"/>
  <c r="P18" i="3"/>
  <c r="I19" i="4"/>
  <c r="I14" i="4"/>
  <c r="I15" i="4"/>
  <c r="K18" i="3"/>
  <c r="I17" i="4"/>
  <c r="X18" i="3"/>
  <c r="I9" i="4"/>
  <c r="K173" i="3"/>
  <c r="X173" i="3"/>
  <c r="W173" i="3"/>
  <c r="P173" i="3"/>
  <c r="R173" i="3" s="1"/>
  <c r="P300" i="3"/>
  <c r="R300" i="3" s="1"/>
  <c r="K300" i="3"/>
  <c r="W300" i="3"/>
  <c r="X300" i="3"/>
  <c r="P313" i="3"/>
  <c r="R313" i="3" s="1"/>
  <c r="X313" i="3"/>
  <c r="K313" i="3"/>
  <c r="X289" i="3"/>
  <c r="P289" i="3"/>
  <c r="R289" i="3" s="1"/>
  <c r="K289" i="3"/>
  <c r="K268" i="3"/>
  <c r="P268" i="3"/>
  <c r="R268" i="3" s="1"/>
  <c r="W268" i="3"/>
  <c r="M157" i="3"/>
  <c r="Y157" i="3"/>
  <c r="Y17" i="3"/>
  <c r="M17" i="3"/>
  <c r="P96" i="3"/>
  <c r="R96" i="3" s="1"/>
  <c r="K96" i="3"/>
  <c r="X96" i="3"/>
  <c r="K323" i="3"/>
  <c r="W323" i="3"/>
  <c r="X323" i="3"/>
  <c r="P303" i="3"/>
  <c r="R303" i="3" s="1"/>
  <c r="K303" i="3"/>
  <c r="W303" i="3"/>
  <c r="X303" i="3"/>
  <c r="X314" i="3"/>
  <c r="K314" i="3"/>
  <c r="P314" i="3"/>
  <c r="R314" i="3" s="1"/>
  <c r="Y159" i="3"/>
  <c r="M159" i="3"/>
  <c r="L16" i="4"/>
  <c r="I16" i="4"/>
  <c r="H16" i="4"/>
  <c r="M252" i="3"/>
  <c r="M321" i="3"/>
  <c r="H13" i="4"/>
  <c r="K128" i="3"/>
  <c r="M322" i="3"/>
  <c r="Y322" i="3"/>
  <c r="M337" i="3"/>
  <c r="Y226" i="3"/>
  <c r="M226" i="3"/>
  <c r="L21" i="4"/>
  <c r="P323" i="3"/>
  <c r="R323" i="3" s="1"/>
  <c r="M37" i="3"/>
  <c r="Y37" i="3"/>
  <c r="M180" i="3"/>
  <c r="Y180" i="3"/>
  <c r="R221" i="3"/>
  <c r="Y221" i="3"/>
  <c r="K139" i="3"/>
  <c r="P139" i="3"/>
  <c r="R139" i="3" s="1"/>
  <c r="X139" i="3"/>
  <c r="Y232" i="3"/>
  <c r="M232" i="3"/>
  <c r="H11" i="4"/>
  <c r="H19" i="4"/>
  <c r="H6" i="4"/>
  <c r="H12" i="4"/>
  <c r="H15" i="4"/>
  <c r="H9" i="4"/>
  <c r="B9" i="1"/>
  <c r="L12" i="4"/>
  <c r="B10" i="1"/>
  <c r="L17" i="4"/>
  <c r="L9" i="4"/>
  <c r="L19" i="4"/>
  <c r="L13" i="4"/>
  <c r="L14" i="4"/>
  <c r="M26" i="3"/>
  <c r="Y26" i="3"/>
  <c r="L22" i="4"/>
  <c r="M280" i="3"/>
  <c r="Y280" i="3"/>
  <c r="M343" i="3"/>
  <c r="Y343" i="3"/>
  <c r="K167" i="3"/>
  <c r="P167" i="3"/>
  <c r="R167" i="3" s="1"/>
  <c r="X167" i="3"/>
  <c r="W128" i="3"/>
  <c r="Y171" i="3"/>
  <c r="M171" i="3"/>
  <c r="X268" i="3"/>
  <c r="M77" i="3"/>
  <c r="Y77" i="3"/>
  <c r="Y210" i="3"/>
  <c r="M210" i="3"/>
  <c r="K294" i="3"/>
  <c r="P294" i="3"/>
  <c r="R294" i="3" s="1"/>
  <c r="X294" i="3"/>
  <c r="H10" i="4"/>
  <c r="L10" i="4"/>
  <c r="I10" i="4"/>
  <c r="Y202" i="3"/>
  <c r="M202" i="3"/>
  <c r="K181" i="3"/>
  <c r="P181" i="3"/>
  <c r="R181" i="3" s="1"/>
  <c r="W181" i="3"/>
  <c r="L2" i="4"/>
  <c r="M36" i="3"/>
  <c r="Y254" i="3"/>
  <c r="M254" i="3"/>
  <c r="Y29" i="3"/>
  <c r="M29" i="3"/>
  <c r="W313" i="3"/>
  <c r="M304" i="3"/>
  <c r="Y304" i="3"/>
  <c r="I23" i="4"/>
  <c r="L23" i="4"/>
  <c r="H23" i="4"/>
  <c r="Y63" i="3"/>
  <c r="M63" i="3"/>
  <c r="L15" i="4"/>
  <c r="K127" i="3"/>
  <c r="P127" i="3"/>
  <c r="R127" i="3" s="1"/>
  <c r="W127" i="3"/>
  <c r="P55" i="3"/>
  <c r="R55" i="3" s="1"/>
  <c r="X55" i="3"/>
  <c r="K55" i="3"/>
  <c r="P116" i="3"/>
  <c r="R116" i="3" s="1"/>
  <c r="X116" i="3"/>
  <c r="K116" i="3"/>
  <c r="W116" i="3"/>
  <c r="P277" i="3"/>
  <c r="R277" i="3" s="1"/>
  <c r="K277" i="3"/>
  <c r="X277" i="3"/>
  <c r="W277" i="3"/>
  <c r="K295" i="3"/>
  <c r="W295" i="3"/>
  <c r="P295" i="3"/>
  <c r="R295" i="3" s="1"/>
  <c r="X295" i="3"/>
  <c r="K184" i="3"/>
  <c r="P184" i="3"/>
  <c r="R184" i="3" s="1"/>
  <c r="X184" i="3"/>
  <c r="P298" i="3"/>
  <c r="R298" i="3" s="1"/>
  <c r="K298" i="3"/>
  <c r="X298" i="3"/>
  <c r="W80" i="3"/>
  <c r="K80" i="3"/>
  <c r="W297" i="3"/>
  <c r="P297" i="3"/>
  <c r="R297" i="3" s="1"/>
  <c r="X297" i="3"/>
  <c r="K297" i="3"/>
  <c r="P117" i="3"/>
  <c r="R117" i="3" s="1"/>
  <c r="K117" i="3"/>
  <c r="X117" i="3"/>
  <c r="P182" i="3"/>
  <c r="R182" i="3" s="1"/>
  <c r="K182" i="3"/>
  <c r="X182" i="3"/>
  <c r="W205" i="3"/>
  <c r="K205" i="3"/>
  <c r="P205" i="3"/>
  <c r="R205" i="3" s="1"/>
  <c r="K240" i="3"/>
  <c r="P240" i="3"/>
  <c r="R240" i="3" s="1"/>
  <c r="W240" i="3"/>
  <c r="K344" i="3"/>
  <c r="X344" i="3"/>
  <c r="P344" i="3"/>
  <c r="R344" i="3" s="1"/>
  <c r="P200" i="3"/>
  <c r="R200" i="3" s="1"/>
  <c r="K200" i="3"/>
  <c r="P306" i="3"/>
  <c r="R306" i="3" s="1"/>
  <c r="K306" i="3"/>
  <c r="W306" i="3"/>
  <c r="X306" i="3"/>
  <c r="X240" i="3"/>
  <c r="M282" i="3"/>
  <c r="K197" i="3"/>
  <c r="W197" i="3"/>
  <c r="P197" i="3"/>
  <c r="R197" i="3" s="1"/>
  <c r="X197" i="3"/>
  <c r="K242" i="3"/>
  <c r="X242" i="3"/>
  <c r="P242" i="3"/>
  <c r="R242" i="3" s="1"/>
  <c r="K237" i="3"/>
  <c r="X237" i="3"/>
  <c r="W237" i="3"/>
  <c r="P237" i="3"/>
  <c r="R237" i="3" s="1"/>
  <c r="P216" i="3"/>
  <c r="R216" i="3" s="1"/>
  <c r="K216" i="3"/>
  <c r="X216" i="3"/>
  <c r="K307" i="3"/>
  <c r="P307" i="3"/>
  <c r="R307" i="3" s="1"/>
  <c r="X307" i="3"/>
  <c r="K111" i="3"/>
  <c r="W111" i="3"/>
  <c r="X111" i="3"/>
  <c r="P111" i="3"/>
  <c r="R111" i="3" s="1"/>
  <c r="Y275" i="3"/>
  <c r="M275" i="3"/>
  <c r="W294" i="3"/>
  <c r="M283" i="3"/>
  <c r="P148" i="3"/>
  <c r="R148" i="3" s="1"/>
  <c r="X148" i="3"/>
  <c r="K148" i="3"/>
  <c r="P80" i="3"/>
  <c r="R80" i="3" s="1"/>
  <c r="R204" i="3"/>
  <c r="Y204" i="3"/>
  <c r="Y143" i="3"/>
  <c r="M143" i="3"/>
  <c r="L5" i="4"/>
  <c r="R213" i="3"/>
  <c r="Y213" i="3"/>
  <c r="Y348" i="3"/>
  <c r="M348" i="3"/>
  <c r="M195" i="3"/>
  <c r="Y195" i="3"/>
  <c r="M179" i="3"/>
  <c r="Y179" i="3"/>
  <c r="Y154" i="3"/>
  <c r="M154" i="3"/>
  <c r="P128" i="3"/>
  <c r="R128" i="3" s="1"/>
  <c r="M301" i="3"/>
  <c r="Y301" i="3"/>
  <c r="Y52" i="3"/>
  <c r="M52" i="3"/>
  <c r="M9" i="3"/>
  <c r="Y9" i="3"/>
  <c r="M256" i="3"/>
  <c r="Y256" i="3"/>
  <c r="K166" i="3"/>
  <c r="Y174" i="3"/>
  <c r="M174" i="3"/>
  <c r="M244" i="3"/>
  <c r="Y244" i="3"/>
  <c r="M208" i="3"/>
  <c r="W329" i="3"/>
  <c r="P329" i="3"/>
  <c r="R329" i="3" s="1"/>
  <c r="M250" i="3"/>
  <c r="Y250" i="3"/>
  <c r="Y114" i="3"/>
  <c r="M114" i="3"/>
  <c r="Y20" i="3"/>
  <c r="M20" i="3"/>
  <c r="W346" i="3"/>
  <c r="M243" i="3"/>
  <c r="Y243" i="3"/>
  <c r="M125" i="3"/>
  <c r="M89" i="3"/>
  <c r="M293" i="3"/>
  <c r="P282" i="3"/>
  <c r="R282" i="3" s="1"/>
  <c r="W282" i="3"/>
  <c r="W233" i="3"/>
  <c r="Y112" i="3"/>
  <c r="M112" i="3"/>
  <c r="K305" i="3"/>
  <c r="W347" i="3"/>
  <c r="K251" i="3"/>
  <c r="W348" i="3"/>
  <c r="P264" i="3"/>
  <c r="R264" i="3" s="1"/>
  <c r="P115" i="3"/>
  <c r="R115" i="3" s="1"/>
  <c r="K115" i="3"/>
  <c r="M126" i="3"/>
  <c r="Y126" i="3"/>
  <c r="K136" i="3"/>
  <c r="P136" i="3"/>
  <c r="R136" i="3" s="1"/>
  <c r="W285" i="3"/>
  <c r="K285" i="3"/>
  <c r="P261" i="3"/>
  <c r="R261" i="3" s="1"/>
  <c r="W261" i="3"/>
  <c r="M176" i="3"/>
  <c r="Y324" i="3"/>
  <c r="M324" i="3"/>
  <c r="K288" i="3"/>
  <c r="W288" i="3"/>
  <c r="P168" i="3"/>
  <c r="R168" i="3" s="1"/>
  <c r="W168" i="3"/>
  <c r="K168" i="3"/>
  <c r="P262" i="3"/>
  <c r="R262" i="3" s="1"/>
  <c r="W148" i="3"/>
  <c r="K153" i="3"/>
  <c r="P153" i="3"/>
  <c r="R153" i="3" s="1"/>
  <c r="K94" i="3"/>
  <c r="W94" i="3"/>
  <c r="P94" i="3"/>
  <c r="R94" i="3" s="1"/>
  <c r="K23" i="3"/>
  <c r="M48" i="3"/>
  <c r="Y48" i="3"/>
  <c r="M234" i="3"/>
  <c r="Y234" i="3"/>
  <c r="Y130" i="3"/>
  <c r="M130" i="3"/>
  <c r="W190" i="3"/>
  <c r="Y64" i="3"/>
  <c r="M64" i="3"/>
  <c r="Y76" i="3"/>
  <c r="M76" i="3"/>
  <c r="M62" i="3"/>
  <c r="Y62" i="3"/>
  <c r="L20" i="4"/>
  <c r="P321" i="3"/>
  <c r="R321" i="3" s="1"/>
  <c r="Y6" i="3"/>
  <c r="M6" i="3"/>
  <c r="M58" i="3"/>
  <c r="Y58" i="3"/>
  <c r="Y57" i="3"/>
  <c r="K231" i="3"/>
  <c r="X120" i="3"/>
  <c r="X338" i="3"/>
  <c r="X172" i="3"/>
  <c r="X193" i="3"/>
  <c r="M194" i="3"/>
  <c r="Y194" i="3"/>
  <c r="Y132" i="3"/>
  <c r="M132" i="3"/>
  <c r="X95" i="3"/>
  <c r="Y163" i="3"/>
  <c r="M163" i="3"/>
  <c r="M185" i="3"/>
  <c r="Y185" i="3"/>
  <c r="M3" i="3"/>
  <c r="Y3" i="3"/>
  <c r="P247" i="3"/>
  <c r="R247" i="3" s="1"/>
  <c r="K247" i="3"/>
  <c r="P316" i="3"/>
  <c r="R316" i="3" s="1"/>
  <c r="W316" i="3"/>
  <c r="K316" i="3"/>
  <c r="P322" i="3"/>
  <c r="R322" i="3" s="1"/>
  <c r="W322" i="3"/>
  <c r="P211" i="3"/>
  <c r="R211" i="3" s="1"/>
  <c r="M27" i="3"/>
  <c r="Y27" i="3"/>
  <c r="Y118" i="3"/>
  <c r="M118" i="3"/>
  <c r="Y119" i="3"/>
  <c r="M119" i="3"/>
  <c r="Y269" i="3"/>
  <c r="M269" i="3"/>
  <c r="M291" i="3"/>
  <c r="H21" i="4"/>
  <c r="Y178" i="3"/>
  <c r="M178" i="3"/>
  <c r="M207" i="3"/>
  <c r="Y207" i="3"/>
  <c r="M56" i="3"/>
  <c r="Y56" i="3"/>
  <c r="Y38" i="3"/>
  <c r="M38" i="3"/>
  <c r="P89" i="3"/>
  <c r="R89" i="3" s="1"/>
  <c r="X192" i="3"/>
  <c r="X247" i="3"/>
  <c r="X231" i="3"/>
  <c r="X321" i="3"/>
  <c r="X327" i="3"/>
  <c r="X329" i="3"/>
  <c r="X188" i="3"/>
  <c r="P283" i="3"/>
  <c r="R283" i="3" s="1"/>
  <c r="Y335" i="3"/>
  <c r="M335" i="3"/>
  <c r="Y129" i="3"/>
  <c r="W244" i="3"/>
  <c r="K266" i="3"/>
  <c r="P266" i="3"/>
  <c r="R266" i="3" s="1"/>
  <c r="K315" i="3"/>
  <c r="P315" i="3"/>
  <c r="R315" i="3" s="1"/>
  <c r="Y255" i="3"/>
  <c r="M255" i="3"/>
  <c r="R140" i="3"/>
  <c r="Y140" i="3"/>
  <c r="W192" i="3"/>
  <c r="M46" i="3"/>
  <c r="Y46" i="3"/>
  <c r="W262" i="3"/>
  <c r="W202" i="3"/>
  <c r="P192" i="3"/>
  <c r="R192" i="3" s="1"/>
  <c r="Y84" i="3"/>
  <c r="M84" i="3"/>
  <c r="M13" i="3"/>
  <c r="Y13" i="3"/>
  <c r="W304" i="3"/>
  <c r="Y109" i="3"/>
  <c r="M109" i="3"/>
  <c r="M198" i="3"/>
  <c r="Y198" i="3"/>
  <c r="I22" i="4"/>
  <c r="W182" i="3"/>
  <c r="X23" i="3"/>
  <c r="K122" i="3"/>
  <c r="W68" i="3"/>
  <c r="Y85" i="3"/>
  <c r="M85" i="3"/>
  <c r="X226" i="3"/>
  <c r="X115" i="3"/>
  <c r="X330" i="3"/>
  <c r="X255" i="3"/>
  <c r="X264" i="3"/>
  <c r="W89" i="3"/>
  <c r="Y10" i="3"/>
  <c r="M10" i="3"/>
  <c r="M16" i="3"/>
  <c r="Y16" i="3"/>
  <c r="W117" i="3"/>
  <c r="W166" i="3"/>
  <c r="W298" i="3"/>
  <c r="K145" i="3"/>
  <c r="P145" i="3"/>
  <c r="R145" i="3" s="1"/>
  <c r="M309" i="3"/>
  <c r="I5" i="4"/>
  <c r="K105" i="3"/>
  <c r="X52" i="3"/>
  <c r="X36" i="3"/>
  <c r="X291" i="3"/>
  <c r="X309" i="3"/>
  <c r="X233" i="3"/>
  <c r="W18" i="3"/>
  <c r="W119" i="3"/>
  <c r="K338" i="3"/>
  <c r="Y160" i="3"/>
  <c r="M160" i="3"/>
  <c r="M93" i="3"/>
  <c r="Y93" i="3"/>
  <c r="Y286" i="3"/>
  <c r="M286" i="3"/>
  <c r="Y59" i="3"/>
  <c r="R59" i="3"/>
  <c r="W239" i="3"/>
  <c r="K220" i="3"/>
  <c r="X305" i="3"/>
  <c r="X328" i="3"/>
  <c r="X258" i="3"/>
  <c r="X315" i="3"/>
  <c r="X346" i="3"/>
  <c r="Y97" i="3"/>
  <c r="G7" i="4"/>
  <c r="Y8" i="3"/>
  <c r="M8" i="3"/>
  <c r="H3" i="4"/>
  <c r="I12" i="4"/>
  <c r="I13" i="4"/>
  <c r="M151" i="3"/>
  <c r="Y151" i="3"/>
  <c r="P23" i="3"/>
  <c r="R23" i="3" s="1"/>
  <c r="Y82" i="3"/>
  <c r="M82" i="3"/>
  <c r="X73" i="3"/>
  <c r="X168" i="3"/>
  <c r="X319" i="3"/>
  <c r="X236" i="3"/>
  <c r="X287" i="3"/>
  <c r="X279" i="3"/>
  <c r="X337" i="3"/>
  <c r="W255" i="3"/>
  <c r="Y39" i="3"/>
  <c r="M39" i="3"/>
  <c r="G8" i="4"/>
  <c r="Y340" i="3"/>
  <c r="M340" i="3"/>
  <c r="M203" i="3"/>
  <c r="Y203" i="3"/>
  <c r="M141" i="3"/>
  <c r="Y141" i="3"/>
  <c r="K189" i="3"/>
  <c r="W189" i="3"/>
  <c r="K245" i="3"/>
  <c r="W245" i="3"/>
  <c r="M170" i="3"/>
  <c r="Y170" i="3"/>
  <c r="Y347" i="3"/>
  <c r="M347" i="3"/>
  <c r="M311" i="3"/>
  <c r="M223" i="3"/>
  <c r="Y223" i="3"/>
  <c r="I18" i="4"/>
  <c r="P251" i="3"/>
  <c r="R251" i="3" s="1"/>
  <c r="Y99" i="3"/>
  <c r="M99" i="3"/>
  <c r="P133" i="3"/>
  <c r="R133" i="3" s="1"/>
  <c r="K133" i="3"/>
  <c r="W133" i="3"/>
  <c r="W187" i="3"/>
  <c r="K187" i="3"/>
  <c r="P217" i="3"/>
  <c r="R217" i="3" s="1"/>
  <c r="K217" i="3"/>
  <c r="M308" i="3"/>
  <c r="Y308" i="3"/>
  <c r="K107" i="3"/>
  <c r="K188" i="3"/>
  <c r="M30" i="3"/>
  <c r="Y30" i="3"/>
  <c r="M225" i="3"/>
  <c r="Y225" i="3"/>
  <c r="W216" i="3"/>
  <c r="W96" i="3"/>
  <c r="W236" i="3"/>
  <c r="M108" i="3"/>
  <c r="Y108" i="3"/>
  <c r="W211" i="3"/>
  <c r="W115" i="3"/>
  <c r="X304" i="3"/>
  <c r="W344" i="3"/>
  <c r="W338" i="3"/>
  <c r="Y146" i="3"/>
  <c r="M146" i="3"/>
  <c r="M83" i="3"/>
  <c r="Y83" i="3"/>
  <c r="P310" i="3"/>
  <c r="R310" i="3" s="1"/>
  <c r="K310" i="3"/>
  <c r="W310" i="3"/>
  <c r="K330" i="3"/>
  <c r="M150" i="3"/>
  <c r="Y150" i="3"/>
  <c r="P208" i="3"/>
  <c r="R208" i="3" s="1"/>
  <c r="Y131" i="3"/>
  <c r="M131" i="3"/>
  <c r="Y186" i="3"/>
  <c r="M186" i="3"/>
  <c r="K236" i="3"/>
  <c r="W331" i="3"/>
  <c r="P106" i="3"/>
  <c r="R106" i="3" s="1"/>
  <c r="Y222" i="3"/>
  <c r="M222" i="3"/>
  <c r="L18" i="4"/>
  <c r="P331" i="3"/>
  <c r="R331" i="3" s="1"/>
  <c r="M253" i="3"/>
  <c r="Y253" i="3"/>
  <c r="W301" i="3"/>
  <c r="W260" i="3"/>
  <c r="W308" i="3"/>
  <c r="Y287" i="3"/>
  <c r="M287" i="3"/>
  <c r="P291" i="3"/>
  <c r="R291" i="3" s="1"/>
  <c r="W281" i="3"/>
  <c r="W321" i="3"/>
  <c r="P90" i="3"/>
  <c r="R90" i="3" s="1"/>
  <c r="K90" i="3"/>
  <c r="M49" i="3"/>
  <c r="Y49" i="3"/>
  <c r="M113" i="3"/>
  <c r="Y113" i="3"/>
  <c r="P271" i="3"/>
  <c r="R271" i="3" s="1"/>
  <c r="K271" i="3"/>
  <c r="M317" i="3"/>
  <c r="Y317" i="3"/>
  <c r="K318" i="3"/>
  <c r="P318" i="3"/>
  <c r="R318" i="3" s="1"/>
  <c r="W318" i="3"/>
  <c r="K270" i="3"/>
  <c r="W328" i="3"/>
  <c r="K258" i="3"/>
  <c r="M47" i="3"/>
  <c r="Y47" i="3"/>
  <c r="W242" i="3"/>
  <c r="M2" i="3"/>
  <c r="Y2" i="3"/>
  <c r="M5" i="3"/>
  <c r="Y5" i="3"/>
  <c r="W200" i="3"/>
  <c r="W101" i="3"/>
  <c r="I3" i="4"/>
  <c r="Y100" i="3"/>
  <c r="M100" i="3"/>
  <c r="X228" i="3"/>
  <c r="X215" i="3"/>
  <c r="X286" i="3"/>
  <c r="X324" i="3"/>
  <c r="Y32" i="3"/>
  <c r="M32" i="3"/>
  <c r="M21" i="3"/>
  <c r="Y21" i="3"/>
  <c r="Y22" i="3"/>
  <c r="M22" i="3"/>
  <c r="K120" i="3"/>
  <c r="M261" i="3"/>
  <c r="Y261" i="3"/>
  <c r="M209" i="3"/>
  <c r="Y209" i="3"/>
  <c r="M106" i="3"/>
  <c r="Y218" i="3"/>
  <c r="M218" i="3"/>
  <c r="Y31" i="3"/>
  <c r="M31" i="3"/>
  <c r="P337" i="3"/>
  <c r="R337" i="3" s="1"/>
  <c r="M341" i="3"/>
  <c r="Y341" i="3"/>
  <c r="K349" i="3"/>
  <c r="W264" i="3"/>
  <c r="W217" i="3"/>
  <c r="I20" i="4"/>
  <c r="I21" i="4"/>
  <c r="X90" i="3"/>
  <c r="R2" i="3"/>
  <c r="M50" i="3"/>
  <c r="Y50" i="3"/>
  <c r="G4" i="4"/>
  <c r="B4" i="1"/>
  <c r="X165" i="3"/>
  <c r="X261" i="3"/>
  <c r="Y229" i="3"/>
  <c r="Y103" i="3"/>
  <c r="Y87" i="3"/>
  <c r="M87" i="3"/>
  <c r="Y329" i="3"/>
  <c r="M329" i="3"/>
  <c r="P227" i="3"/>
  <c r="R227" i="3" s="1"/>
  <c r="W227" i="3"/>
  <c r="I2" i="4"/>
  <c r="H2" i="4"/>
  <c r="W289" i="3"/>
  <c r="K260" i="3"/>
  <c r="Y302" i="3"/>
  <c r="M302" i="3"/>
  <c r="Y257" i="3"/>
  <c r="M257" i="3"/>
  <c r="W188" i="3"/>
  <c r="W330" i="3"/>
  <c r="M98" i="3"/>
  <c r="Y98" i="3"/>
  <c r="M144" i="3"/>
  <c r="Y144" i="3"/>
  <c r="M239" i="3"/>
  <c r="Y239" i="3"/>
  <c r="W180" i="3"/>
  <c r="M4" i="3"/>
  <c r="Y4" i="3"/>
  <c r="P36" i="3"/>
  <c r="R36" i="3" s="1"/>
  <c r="X292" i="3"/>
  <c r="M61" i="3"/>
  <c r="Y61" i="3"/>
  <c r="M40" i="3"/>
  <c r="Y40" i="3"/>
  <c r="M142" i="3"/>
  <c r="Y142" i="3"/>
  <c r="P309" i="3"/>
  <c r="R309" i="3" s="1"/>
  <c r="W247" i="3"/>
  <c r="K227" i="3"/>
  <c r="K273" i="3"/>
  <c r="P273" i="3"/>
  <c r="R273" i="3" s="1"/>
  <c r="P278" i="3"/>
  <c r="R278" i="3" s="1"/>
  <c r="K278" i="3"/>
  <c r="K332" i="3"/>
  <c r="P332" i="3"/>
  <c r="R332" i="3" s="1"/>
  <c r="M212" i="3"/>
  <c r="Y212" i="3"/>
  <c r="P246" i="3"/>
  <c r="R246" i="3" s="1"/>
  <c r="K246" i="3"/>
  <c r="P324" i="3"/>
  <c r="R324" i="3" s="1"/>
  <c r="P305" i="3"/>
  <c r="R305" i="3" s="1"/>
  <c r="K290" i="3"/>
  <c r="M296" i="3"/>
  <c r="Y296" i="3"/>
  <c r="W291" i="3"/>
  <c r="Y235" i="3"/>
  <c r="M235" i="3"/>
  <c r="P125" i="3"/>
  <c r="R125" i="3" s="1"/>
  <c r="K281" i="3"/>
  <c r="W201" i="3"/>
  <c r="K201" i="3"/>
  <c r="M279" i="3"/>
  <c r="Y279" i="3"/>
  <c r="P137" i="3"/>
  <c r="R137" i="3" s="1"/>
  <c r="K137" i="3"/>
  <c r="Y138" i="3"/>
  <c r="M138" i="3"/>
  <c r="P267" i="3"/>
  <c r="R267" i="3" s="1"/>
  <c r="K267" i="3"/>
  <c r="K147" i="3"/>
  <c r="W147" i="3"/>
  <c r="M299" i="3"/>
  <c r="Y299" i="3"/>
  <c r="Y336" i="3"/>
  <c r="M336" i="3"/>
  <c r="W270" i="3"/>
  <c r="M14" i="3"/>
  <c r="Y14" i="3"/>
  <c r="R70" i="3"/>
  <c r="Y70" i="3"/>
  <c r="W226" i="3"/>
  <c r="K331" i="3"/>
  <c r="Y45" i="3"/>
  <c r="M45" i="3"/>
  <c r="W150" i="3"/>
  <c r="I11" i="4"/>
  <c r="W324" i="3"/>
  <c r="W296" i="3"/>
  <c r="B13" i="1"/>
  <c r="W208" i="3"/>
  <c r="X201" i="3"/>
  <c r="X322" i="3"/>
  <c r="X252" i="3"/>
  <c r="X270" i="3"/>
  <c r="X301" i="3"/>
  <c r="X348" i="3"/>
  <c r="Y156" i="3"/>
  <c r="M156" i="3"/>
  <c r="W184" i="3"/>
  <c r="K196" i="3"/>
  <c r="P196" i="3"/>
  <c r="R196" i="3" s="1"/>
  <c r="W196" i="3"/>
  <c r="M264" i="3"/>
  <c r="Y327" i="3"/>
  <c r="M327" i="3"/>
  <c r="Y95" i="3"/>
  <c r="M95" i="3"/>
  <c r="Y102" i="3"/>
  <c r="M102" i="3"/>
  <c r="Y66" i="3"/>
  <c r="M66" i="3"/>
  <c r="M11" i="3"/>
  <c r="Y11" i="3"/>
  <c r="X245" i="3"/>
  <c r="M24" i="3"/>
  <c r="Y24" i="3"/>
  <c r="Y162" i="3"/>
  <c r="M162" i="3"/>
  <c r="P245" i="3"/>
  <c r="R245" i="3" s="1"/>
  <c r="W314" i="3"/>
  <c r="K339" i="3"/>
  <c r="W339" i="3"/>
  <c r="W232" i="3"/>
  <c r="X94" i="3"/>
  <c r="K319" i="3"/>
  <c r="K346" i="3"/>
  <c r="W349" i="3"/>
  <c r="W299" i="3"/>
  <c r="W343" i="3"/>
  <c r="W290" i="3"/>
  <c r="M284" i="3"/>
  <c r="Y284" i="3"/>
  <c r="W283" i="3"/>
  <c r="M123" i="3"/>
  <c r="Y123" i="3"/>
  <c r="K54" i="3"/>
  <c r="P54" i="3"/>
  <c r="R54" i="3" s="1"/>
  <c r="K326" i="3"/>
  <c r="P326" i="3"/>
  <c r="R326" i="3" s="1"/>
  <c r="W326" i="3"/>
  <c r="K272" i="3"/>
  <c r="W272" i="3"/>
  <c r="P259" i="3"/>
  <c r="R259" i="3" s="1"/>
  <c r="K259" i="3"/>
  <c r="K350" i="3"/>
  <c r="W350" i="3"/>
  <c r="P265" i="3"/>
  <c r="R265" i="3" s="1"/>
  <c r="W265" i="3"/>
  <c r="K228" i="3"/>
  <c r="K169" i="3"/>
  <c r="P169" i="3"/>
  <c r="R169" i="3" s="1"/>
  <c r="K233" i="3"/>
  <c r="M238" i="3"/>
  <c r="K172" i="3"/>
  <c r="K193" i="3"/>
  <c r="W319" i="3"/>
  <c r="W341" i="3"/>
  <c r="W311" i="3"/>
  <c r="P288" i="3"/>
  <c r="R288" i="3" s="1"/>
  <c r="P138" i="3"/>
  <c r="R138" i="3" s="1"/>
  <c r="W267" i="3"/>
  <c r="K215" i="3"/>
  <c r="W123" i="3"/>
  <c r="P34" i="3"/>
  <c r="R34" i="3" s="1"/>
  <c r="K34" i="3"/>
  <c r="W34" i="3"/>
  <c r="K124" i="3"/>
  <c r="P124" i="3"/>
  <c r="R124" i="3" s="1"/>
  <c r="K104" i="3"/>
  <c r="P104" i="3"/>
  <c r="R104" i="3" s="1"/>
  <c r="M7" i="3"/>
  <c r="M241" i="3"/>
  <c r="Y241" i="3"/>
  <c r="Y73" i="3"/>
  <c r="M73" i="3"/>
  <c r="K342" i="3"/>
  <c r="W342" i="3"/>
  <c r="K152" i="3"/>
  <c r="W152" i="3"/>
  <c r="K276" i="3"/>
  <c r="P276" i="3"/>
  <c r="R276" i="3" s="1"/>
  <c r="K325" i="3"/>
  <c r="P325" i="3"/>
  <c r="R325" i="3" s="1"/>
  <c r="K345" i="3"/>
  <c r="W345" i="3"/>
  <c r="P345" i="3"/>
  <c r="R345" i="3" s="1"/>
  <c r="M165" i="3"/>
  <c r="Y165" i="3"/>
  <c r="P293" i="3"/>
  <c r="R293" i="3" s="1"/>
  <c r="W228" i="3"/>
  <c r="Y121" i="3"/>
  <c r="M121" i="3"/>
  <c r="R177" i="3"/>
  <c r="Y177" i="3"/>
  <c r="P252" i="3"/>
  <c r="R252" i="3" s="1"/>
  <c r="W90" i="3"/>
  <c r="M224" i="3"/>
  <c r="Y224" i="3"/>
  <c r="H14" i="4"/>
  <c r="L3" i="4"/>
  <c r="P152" i="3"/>
  <c r="R152" i="3" s="1"/>
  <c r="X147" i="3"/>
  <c r="X125" i="3"/>
  <c r="X220" i="3"/>
  <c r="X336" i="3"/>
  <c r="X105" i="3"/>
  <c r="X119" i="3"/>
  <c r="X260" i="3"/>
  <c r="X133" i="3"/>
  <c r="X347" i="3"/>
  <c r="X343" i="3"/>
  <c r="W105" i="3"/>
  <c r="Y43" i="3"/>
  <c r="W120" i="3"/>
  <c r="M211" i="3"/>
  <c r="Y211" i="3"/>
  <c r="K248" i="3"/>
  <c r="W248" i="3"/>
  <c r="Y206" i="3"/>
  <c r="M206" i="3"/>
  <c r="Y192" i="3"/>
  <c r="M192" i="3"/>
  <c r="Y292" i="3"/>
  <c r="M292" i="3"/>
  <c r="K333" i="3"/>
  <c r="P333" i="3"/>
  <c r="R333" i="3" s="1"/>
  <c r="P101" i="3"/>
  <c r="R101" i="3" s="1"/>
  <c r="K101" i="3"/>
  <c r="M199" i="3"/>
  <c r="Y199" i="3"/>
  <c r="Y33" i="3"/>
  <c r="M33" i="3"/>
  <c r="K161" i="3"/>
  <c r="W161" i="3"/>
  <c r="P161" i="3"/>
  <c r="R161" i="3" s="1"/>
  <c r="W167" i="3"/>
  <c r="Y68" i="3"/>
  <c r="M68" i="3"/>
  <c r="Y88" i="3"/>
  <c r="M88" i="3"/>
  <c r="H5" i="4"/>
  <c r="K135" i="3"/>
  <c r="W95" i="3"/>
  <c r="Y65" i="3"/>
  <c r="M65" i="3"/>
  <c r="X232" i="3"/>
  <c r="X244" i="3"/>
  <c r="X145" i="3"/>
  <c r="X273" i="3"/>
  <c r="X153" i="3"/>
  <c r="X318" i="3"/>
  <c r="X238" i="3"/>
  <c r="X316" i="3"/>
  <c r="X326" i="3"/>
  <c r="X349" i="3"/>
  <c r="R51" i="3"/>
  <c r="Y51" i="3"/>
  <c r="Y91" i="3"/>
  <c r="J6" i="4" l="1"/>
  <c r="Y337" i="3"/>
  <c r="J18" i="4"/>
  <c r="Y176" i="3"/>
  <c r="Y312" i="3"/>
  <c r="Y311" i="3"/>
  <c r="M219" i="3"/>
  <c r="Y309" i="3"/>
  <c r="Y293" i="3"/>
  <c r="J20" i="4"/>
  <c r="Y262" i="3"/>
  <c r="Y106" i="3"/>
  <c r="Y89" i="3"/>
  <c r="M265" i="3"/>
  <c r="M328" i="3"/>
  <c r="Y7" i="3"/>
  <c r="Z162" i="3" s="1"/>
  <c r="K13" i="4"/>
  <c r="Y238" i="3"/>
  <c r="Y320" i="3"/>
  <c r="K12" i="4"/>
  <c r="M349" i="3"/>
  <c r="Y349" i="3"/>
  <c r="M270" i="3"/>
  <c r="Y270" i="3"/>
  <c r="M316" i="3"/>
  <c r="Y316" i="3"/>
  <c r="Y168" i="3"/>
  <c r="M168" i="3"/>
  <c r="M136" i="3"/>
  <c r="Y136" i="3"/>
  <c r="J13" i="4"/>
  <c r="M18" i="3"/>
  <c r="Y18" i="3"/>
  <c r="J3" i="4"/>
  <c r="Y190" i="3"/>
  <c r="M190" i="3"/>
  <c r="K16" i="4"/>
  <c r="Y323" i="3"/>
  <c r="M323" i="3"/>
  <c r="Y313" i="3"/>
  <c r="M313" i="3"/>
  <c r="K22" i="4"/>
  <c r="H4" i="4"/>
  <c r="J4" i="4"/>
  <c r="I4" i="4"/>
  <c r="L4" i="4"/>
  <c r="M172" i="3"/>
  <c r="Y172" i="3"/>
  <c r="Y346" i="3"/>
  <c r="M346" i="3"/>
  <c r="Y332" i="3"/>
  <c r="M332" i="3"/>
  <c r="J9" i="4"/>
  <c r="K5" i="4"/>
  <c r="Y205" i="3"/>
  <c r="M205" i="3"/>
  <c r="K20" i="4"/>
  <c r="K14" i="4"/>
  <c r="Y314" i="3"/>
  <c r="M314" i="3"/>
  <c r="Y34" i="3"/>
  <c r="M34" i="3"/>
  <c r="J17" i="4"/>
  <c r="M342" i="3"/>
  <c r="Y342" i="3"/>
  <c r="M233" i="3"/>
  <c r="Y233" i="3"/>
  <c r="Y54" i="3"/>
  <c r="M54" i="3"/>
  <c r="K21" i="4"/>
  <c r="Y120" i="3"/>
  <c r="M120" i="3"/>
  <c r="Y23" i="3"/>
  <c r="M23" i="3"/>
  <c r="M251" i="3"/>
  <c r="Y251" i="3"/>
  <c r="Y125" i="3"/>
  <c r="J11" i="4"/>
  <c r="Y231" i="3"/>
  <c r="M231" i="3"/>
  <c r="Y283" i="3"/>
  <c r="Y216" i="3"/>
  <c r="M216" i="3"/>
  <c r="K11" i="4"/>
  <c r="M188" i="3"/>
  <c r="Y188" i="3"/>
  <c r="J5" i="4"/>
  <c r="M107" i="3"/>
  <c r="Y107" i="3"/>
  <c r="J14" i="4"/>
  <c r="M189" i="3"/>
  <c r="Y189" i="3"/>
  <c r="M220" i="3"/>
  <c r="Y220" i="3"/>
  <c r="Y122" i="3"/>
  <c r="M122" i="3"/>
  <c r="Y266" i="3"/>
  <c r="M266" i="3"/>
  <c r="M94" i="3"/>
  <c r="Y94" i="3"/>
  <c r="Y208" i="3"/>
  <c r="B11" i="1"/>
  <c r="Y318" i="3"/>
  <c r="M318" i="3"/>
  <c r="Y247" i="3"/>
  <c r="M247" i="3"/>
  <c r="J16" i="4"/>
  <c r="M96" i="3"/>
  <c r="Y96" i="3"/>
  <c r="Y135" i="3"/>
  <c r="M135" i="3"/>
  <c r="M326" i="3"/>
  <c r="Y326" i="3"/>
  <c r="Y36" i="3"/>
  <c r="K23" i="4"/>
  <c r="M300" i="3"/>
  <c r="Y300" i="3"/>
  <c r="J2" i="4"/>
  <c r="K10" i="4"/>
  <c r="Y245" i="3"/>
  <c r="M245" i="3"/>
  <c r="Y248" i="3"/>
  <c r="M248" i="3"/>
  <c r="M228" i="3"/>
  <c r="Y228" i="3"/>
  <c r="M339" i="3"/>
  <c r="Y339" i="3"/>
  <c r="Y137" i="3"/>
  <c r="M137" i="3"/>
  <c r="M290" i="3"/>
  <c r="Y290" i="3"/>
  <c r="Y305" i="3"/>
  <c r="M305" i="3"/>
  <c r="Y182" i="3"/>
  <c r="M182" i="3"/>
  <c r="Y184" i="3"/>
  <c r="M184" i="3"/>
  <c r="M181" i="3"/>
  <c r="Y181" i="3"/>
  <c r="K4" i="4"/>
  <c r="Y101" i="3"/>
  <c r="M101" i="3"/>
  <c r="M260" i="3"/>
  <c r="Y260" i="3"/>
  <c r="K15" i="4"/>
  <c r="K17" i="4"/>
  <c r="M306" i="3"/>
  <c r="Y306" i="3"/>
  <c r="M127" i="3"/>
  <c r="Y127" i="3"/>
  <c r="J12" i="4"/>
  <c r="Y321" i="3"/>
  <c r="M173" i="3"/>
  <c r="Y173" i="3"/>
  <c r="M325" i="3"/>
  <c r="Y325" i="3"/>
  <c r="M281" i="3"/>
  <c r="Y281" i="3"/>
  <c r="M187" i="3"/>
  <c r="Y187" i="3"/>
  <c r="M105" i="3"/>
  <c r="Y105" i="3"/>
  <c r="Y242" i="3"/>
  <c r="M242" i="3"/>
  <c r="Y277" i="3"/>
  <c r="M277" i="3"/>
  <c r="M276" i="3"/>
  <c r="Y276" i="3"/>
  <c r="H7" i="4"/>
  <c r="I7" i="4"/>
  <c r="K7" i="4"/>
  <c r="L7" i="4"/>
  <c r="J15" i="4"/>
  <c r="M271" i="3"/>
  <c r="Y271" i="3"/>
  <c r="Y145" i="3"/>
  <c r="M145" i="3"/>
  <c r="Y307" i="3"/>
  <c r="M307" i="3"/>
  <c r="Y55" i="3"/>
  <c r="M55" i="3"/>
  <c r="J19" i="4"/>
  <c r="Y227" i="3"/>
  <c r="M227" i="3"/>
  <c r="L8" i="4"/>
  <c r="K8" i="4"/>
  <c r="I8" i="4"/>
  <c r="H8" i="4"/>
  <c r="J8" i="4"/>
  <c r="K18" i="4"/>
  <c r="M338" i="3"/>
  <c r="Y338" i="3"/>
  <c r="Y315" i="3"/>
  <c r="M315" i="3"/>
  <c r="Y246" i="3"/>
  <c r="M246" i="3"/>
  <c r="M153" i="3"/>
  <c r="Y153" i="3"/>
  <c r="Y285" i="3"/>
  <c r="M285" i="3"/>
  <c r="M117" i="3"/>
  <c r="Y117" i="3"/>
  <c r="Y274" i="3"/>
  <c r="M274" i="3"/>
  <c r="G24" i="4"/>
  <c r="M310" i="3"/>
  <c r="Y310" i="3"/>
  <c r="Y161" i="3"/>
  <c r="M161" i="3"/>
  <c r="Y104" i="3"/>
  <c r="M104" i="3"/>
  <c r="M193" i="3"/>
  <c r="Y193" i="3"/>
  <c r="M272" i="3"/>
  <c r="Y272" i="3"/>
  <c r="M344" i="3"/>
  <c r="Y344" i="3"/>
  <c r="M139" i="3"/>
  <c r="Y139" i="3"/>
  <c r="M124" i="3"/>
  <c r="Y124" i="3"/>
  <c r="M319" i="3"/>
  <c r="Y319" i="3"/>
  <c r="Y147" i="3"/>
  <c r="M147" i="3"/>
  <c r="Y278" i="3"/>
  <c r="M278" i="3"/>
  <c r="M236" i="3"/>
  <c r="Y236" i="3"/>
  <c r="Y133" i="3"/>
  <c r="M133" i="3"/>
  <c r="M288" i="3"/>
  <c r="Y288" i="3"/>
  <c r="Y115" i="3"/>
  <c r="M115" i="3"/>
  <c r="M111" i="3"/>
  <c r="Y111" i="3"/>
  <c r="M116" i="3"/>
  <c r="Y116" i="3"/>
  <c r="R18" i="3"/>
  <c r="B12" i="1" s="1"/>
  <c r="K9" i="4"/>
  <c r="Y152" i="3"/>
  <c r="M152" i="3"/>
  <c r="Y331" i="3"/>
  <c r="M331" i="3"/>
  <c r="Y267" i="3"/>
  <c r="M267" i="3"/>
  <c r="K3" i="4"/>
  <c r="M273" i="3"/>
  <c r="Y273" i="3"/>
  <c r="J23" i="4"/>
  <c r="Y215" i="3"/>
  <c r="M215" i="3"/>
  <c r="M169" i="3"/>
  <c r="Y169" i="3"/>
  <c r="K6" i="4"/>
  <c r="Y258" i="3"/>
  <c r="M258" i="3"/>
  <c r="J22" i="4"/>
  <c r="Y237" i="3"/>
  <c r="M237" i="3"/>
  <c r="Y200" i="3"/>
  <c r="M200" i="3"/>
  <c r="Y295" i="3"/>
  <c r="M295" i="3"/>
  <c r="J21" i="4"/>
  <c r="Y252" i="3"/>
  <c r="M303" i="3"/>
  <c r="Y303" i="3"/>
  <c r="Y268" i="3"/>
  <c r="M268" i="3"/>
  <c r="Y166" i="3"/>
  <c r="M166" i="3"/>
  <c r="M80" i="3"/>
  <c r="Y80" i="3"/>
  <c r="Y167" i="3"/>
  <c r="M167" i="3"/>
  <c r="Y294" i="3"/>
  <c r="M294" i="3"/>
  <c r="J7" i="4"/>
  <c r="Y197" i="3"/>
  <c r="M197" i="3"/>
  <c r="Y240" i="3"/>
  <c r="M240" i="3"/>
  <c r="K2" i="4"/>
  <c r="Y148" i="3"/>
  <c r="M148" i="3"/>
  <c r="Y282" i="3"/>
  <c r="Y298" i="3"/>
  <c r="M298" i="3"/>
  <c r="Y128" i="3"/>
  <c r="M128" i="3"/>
  <c r="Y264" i="3"/>
  <c r="Y350" i="3"/>
  <c r="M350" i="3"/>
  <c r="Y196" i="3"/>
  <c r="M196" i="3"/>
  <c r="M333" i="3"/>
  <c r="Y333" i="3"/>
  <c r="Y345" i="3"/>
  <c r="M345" i="3"/>
  <c r="Y259" i="3"/>
  <c r="M259" i="3"/>
  <c r="K19" i="4"/>
  <c r="M201" i="3"/>
  <c r="Y201" i="3"/>
  <c r="M90" i="3"/>
  <c r="Y90" i="3"/>
  <c r="Y330" i="3"/>
  <c r="M330" i="3"/>
  <c r="Y217" i="3"/>
  <c r="M217" i="3"/>
  <c r="Y291" i="3"/>
  <c r="M297" i="3"/>
  <c r="Y297" i="3"/>
  <c r="J10" i="4"/>
  <c r="M289" i="3"/>
  <c r="Y289" i="3"/>
  <c r="Z130" i="3" l="1"/>
  <c r="Z197" i="3"/>
  <c r="Z226" i="3"/>
  <c r="Z102" i="3"/>
  <c r="Z254" i="3"/>
  <c r="Z50" i="3"/>
  <c r="Z150" i="3"/>
  <c r="Z325" i="3"/>
  <c r="Z205" i="3"/>
  <c r="Z203" i="3"/>
  <c r="Z196" i="3"/>
  <c r="Z180" i="3"/>
  <c r="Z252" i="3"/>
  <c r="Z319" i="3"/>
  <c r="Z174" i="3"/>
  <c r="Z209" i="3"/>
  <c r="Z161" i="3"/>
  <c r="Z308" i="3"/>
  <c r="Z131" i="3"/>
  <c r="Z55" i="3"/>
  <c r="Z52" i="3"/>
  <c r="Z245" i="3"/>
  <c r="Z96" i="3"/>
  <c r="Z318" i="3"/>
  <c r="Z177" i="3"/>
  <c r="Z198" i="3"/>
  <c r="Z311" i="3"/>
  <c r="Z217" i="3"/>
  <c r="Z48" i="3"/>
  <c r="Z171" i="3"/>
  <c r="Z258" i="3"/>
  <c r="Z331" i="3"/>
  <c r="Z256" i="3"/>
  <c r="Z225" i="3"/>
  <c r="Z124" i="3"/>
  <c r="Z335" i="3"/>
  <c r="Z156" i="3"/>
  <c r="Z310" i="3"/>
  <c r="Z244" i="3"/>
  <c r="Z249" i="3"/>
  <c r="Z350" i="3"/>
  <c r="Z232" i="3"/>
  <c r="Z330" i="3"/>
  <c r="Z224" i="3"/>
  <c r="Z207" i="3"/>
  <c r="Z295" i="3"/>
  <c r="Z218" i="3"/>
  <c r="Z293" i="3"/>
  <c r="Z272" i="3"/>
  <c r="Z285" i="3"/>
  <c r="Z47" i="3"/>
  <c r="Z234" i="3"/>
  <c r="Z151" i="3"/>
  <c r="Z251" i="3"/>
  <c r="Z90" i="3"/>
  <c r="Z14" i="3"/>
  <c r="Z312" i="3"/>
  <c r="Z138" i="3"/>
  <c r="Z115" i="3"/>
  <c r="Z191" i="3"/>
  <c r="Z246" i="3"/>
  <c r="Z105" i="3"/>
  <c r="Z305" i="3"/>
  <c r="Z334" i="3"/>
  <c r="Z313" i="3"/>
  <c r="Z299" i="3"/>
  <c r="Z297" i="3"/>
  <c r="Z333" i="3"/>
  <c r="Z17" i="3"/>
  <c r="Z13" i="3"/>
  <c r="Z192" i="3"/>
  <c r="Z269" i="3"/>
  <c r="Z200" i="3"/>
  <c r="Z11" i="3"/>
  <c r="Z67" i="3"/>
  <c r="Z263" i="3"/>
  <c r="Z276" i="3"/>
  <c r="Z127" i="3"/>
  <c r="Z165" i="3"/>
  <c r="Z176" i="3"/>
  <c r="Z36" i="3"/>
  <c r="Z157" i="3"/>
  <c r="Z233" i="3"/>
  <c r="Z314" i="3"/>
  <c r="Z175" i="3"/>
  <c r="Z5" i="3"/>
  <c r="Z214" i="3"/>
  <c r="Z170" i="3"/>
  <c r="Z343" i="3"/>
  <c r="Z238" i="3"/>
  <c r="Z288" i="3"/>
  <c r="Z278" i="3"/>
  <c r="Z41" i="3"/>
  <c r="Z75" i="3"/>
  <c r="Z227" i="3"/>
  <c r="Z160" i="3"/>
  <c r="Z260" i="3"/>
  <c r="Z211" i="3"/>
  <c r="Z57" i="3"/>
  <c r="Z73" i="3"/>
  <c r="Z326" i="3"/>
  <c r="Z247" i="3"/>
  <c r="Z64" i="3"/>
  <c r="Z81" i="3"/>
  <c r="Z168" i="3"/>
  <c r="Z7" i="3"/>
  <c r="Z101" i="3"/>
  <c r="Z31" i="3"/>
  <c r="Z122" i="3"/>
  <c r="Z178" i="3"/>
  <c r="Z231" i="3"/>
  <c r="Z10" i="3"/>
  <c r="Z289" i="3"/>
  <c r="Z298" i="3"/>
  <c r="Z80" i="3"/>
  <c r="Z120" i="3"/>
  <c r="Z34" i="3"/>
  <c r="Z255" i="3"/>
  <c r="Z20" i="3"/>
  <c r="Z173" i="3"/>
  <c r="Z78" i="3"/>
  <c r="Z103" i="3"/>
  <c r="Z182" i="3"/>
  <c r="Z339" i="3"/>
  <c r="Z300" i="3"/>
  <c r="Z221" i="3"/>
  <c r="Z208" i="3"/>
  <c r="Z9" i="3"/>
  <c r="Z327" i="3"/>
  <c r="Z309" i="3"/>
  <c r="Z136" i="3"/>
  <c r="Z296" i="3"/>
  <c r="Z236" i="3"/>
  <c r="Z25" i="3"/>
  <c r="Z106" i="3"/>
  <c r="Z324" i="3"/>
  <c r="Z155" i="3"/>
  <c r="Z79" i="3"/>
  <c r="Z187" i="3"/>
  <c r="Z212" i="3"/>
  <c r="Z37" i="3"/>
  <c r="Z287" i="3"/>
  <c r="Z268" i="3"/>
  <c r="Z219" i="3"/>
  <c r="Z322" i="3"/>
  <c r="Z235" i="3"/>
  <c r="Z344" i="3"/>
  <c r="Z230" i="3"/>
  <c r="Z129" i="3"/>
  <c r="Z315" i="3"/>
  <c r="Z82" i="3"/>
  <c r="Z149" i="3"/>
  <c r="Z88" i="3"/>
  <c r="Z27" i="3"/>
  <c r="Z140" i="3"/>
  <c r="Z12" i="3"/>
  <c r="Z23" i="3"/>
  <c r="Z342" i="3"/>
  <c r="Z346" i="3"/>
  <c r="Z323" i="3"/>
  <c r="Z349" i="3"/>
  <c r="Z18" i="3"/>
  <c r="Z28" i="3"/>
  <c r="Z35" i="3"/>
  <c r="Z204" i="3"/>
  <c r="Z44" i="3"/>
  <c r="Z132" i="3"/>
  <c r="Z125" i="3"/>
  <c r="Z66" i="3"/>
  <c r="Z228" i="3"/>
  <c r="Z194" i="3"/>
  <c r="Z264" i="3"/>
  <c r="Z250" i="3"/>
  <c r="Z169" i="3"/>
  <c r="Z6" i="3"/>
  <c r="Z58" i="3"/>
  <c r="Z320" i="3"/>
  <c r="Z16" i="3"/>
  <c r="Z188" i="3"/>
  <c r="Z137" i="3"/>
  <c r="Z49" i="3"/>
  <c r="Z265" i="3"/>
  <c r="Z113" i="3"/>
  <c r="Z261" i="3"/>
  <c r="Z68" i="3"/>
  <c r="Z148" i="3"/>
  <c r="Z97" i="3"/>
  <c r="Z51" i="3"/>
  <c r="Z94" i="3"/>
  <c r="Z39" i="3"/>
  <c r="Z54" i="3"/>
  <c r="Z40" i="3"/>
  <c r="Z63" i="3"/>
  <c r="Z43" i="3"/>
  <c r="Z91" i="3"/>
  <c r="Z222" i="3"/>
  <c r="Z306" i="3"/>
  <c r="Z279" i="3"/>
  <c r="Z181" i="3"/>
  <c r="Z84" i="3"/>
  <c r="Z8" i="3"/>
  <c r="Z76" i="3"/>
  <c r="Z206" i="3"/>
  <c r="Z38" i="3"/>
  <c r="Z201" i="3"/>
  <c r="Z144" i="3"/>
  <c r="Z294" i="3"/>
  <c r="Z303" i="3"/>
  <c r="Z275" i="3"/>
  <c r="Z215" i="3"/>
  <c r="Z317" i="3"/>
  <c r="Z109" i="3"/>
  <c r="Z110" i="3"/>
  <c r="Z104" i="3"/>
  <c r="Z202" i="3"/>
  <c r="Z92" i="3"/>
  <c r="Z280" i="3"/>
  <c r="Z30" i="3"/>
  <c r="Z337" i="3"/>
  <c r="Z98" i="3"/>
  <c r="Z164" i="3"/>
  <c r="Z87" i="3"/>
  <c r="Z248" i="3"/>
  <c r="Z347" i="3"/>
  <c r="Z266" i="3"/>
  <c r="Z107" i="3"/>
  <c r="Z216" i="3"/>
  <c r="Z185" i="3"/>
  <c r="Z183" i="3"/>
  <c r="Z172" i="3"/>
  <c r="Z316" i="3"/>
  <c r="Z33" i="3"/>
  <c r="Z307" i="3"/>
  <c r="Z186" i="3"/>
  <c r="Z163" i="3"/>
  <c r="Z22" i="3"/>
  <c r="Z184" i="3"/>
  <c r="Z119" i="3"/>
  <c r="Z100" i="3"/>
  <c r="Z270" i="3"/>
  <c r="Z259" i="3"/>
  <c r="Z282" i="3"/>
  <c r="Z3" i="3"/>
  <c r="Z273" i="3"/>
  <c r="Z95" i="3"/>
  <c r="Z114" i="3"/>
  <c r="Z83" i="3"/>
  <c r="Z286" i="3"/>
  <c r="Z262" i="3"/>
  <c r="Z142" i="3"/>
  <c r="Z195" i="3"/>
  <c r="Z89" i="3"/>
  <c r="Z302" i="3"/>
  <c r="Z243" i="3"/>
  <c r="Z239" i="3"/>
  <c r="Z274" i="3"/>
  <c r="Z292" i="3"/>
  <c r="Z108" i="3"/>
  <c r="Z126" i="3"/>
  <c r="Z213" i="3"/>
  <c r="Z329" i="3"/>
  <c r="Z179" i="3"/>
  <c r="Z133" i="3"/>
  <c r="Z56" i="3"/>
  <c r="Z61" i="3"/>
  <c r="Z65" i="3"/>
  <c r="Z301" i="3"/>
  <c r="Z21" i="3"/>
  <c r="Z242" i="3"/>
  <c r="Z26" i="3"/>
  <c r="Z220" i="3"/>
  <c r="Z159" i="3"/>
  <c r="Z341" i="3"/>
  <c r="Z32" i="3"/>
  <c r="Z29" i="3"/>
  <c r="Z345" i="3"/>
  <c r="Z166" i="3"/>
  <c r="Z70" i="3"/>
  <c r="Z152" i="3"/>
  <c r="Z71" i="3"/>
  <c r="I24" i="4"/>
  <c r="L24" i="4"/>
  <c r="H24" i="4"/>
  <c r="B6" i="1" s="1"/>
  <c r="K24" i="4"/>
  <c r="B8" i="1" s="1"/>
  <c r="J24" i="4"/>
  <c r="B7" i="1" s="1"/>
  <c r="Z153" i="3"/>
  <c r="Z257" i="3"/>
  <c r="Z45" i="3"/>
  <c r="Z321" i="3"/>
  <c r="Z328" i="3"/>
  <c r="Z139" i="3"/>
  <c r="Z69" i="3"/>
  <c r="Z193" i="3"/>
  <c r="Z24" i="3"/>
  <c r="Z19" i="3"/>
  <c r="Z4" i="3"/>
  <c r="Z145" i="3"/>
  <c r="Z229" i="3"/>
  <c r="Z241" i="3"/>
  <c r="Z210" i="3"/>
  <c r="Z189" i="3"/>
  <c r="Z332" i="3"/>
  <c r="Z291" i="3"/>
  <c r="Z42" i="3"/>
  <c r="Z123" i="3"/>
  <c r="Z237" i="3"/>
  <c r="Z158" i="3"/>
  <c r="Z116" i="3"/>
  <c r="Z62" i="3"/>
  <c r="Z134" i="3"/>
  <c r="Z86" i="3"/>
  <c r="Z85" i="3"/>
  <c r="Z99" i="3"/>
  <c r="Z46" i="3"/>
  <c r="Z128" i="3"/>
  <c r="Z112" i="3"/>
  <c r="Z199" i="3"/>
  <c r="Z93" i="3"/>
  <c r="Z147" i="3"/>
  <c r="Z143" i="3"/>
  <c r="Z15" i="3"/>
  <c r="Z117" i="3"/>
  <c r="Z141" i="3"/>
  <c r="Z338" i="3"/>
  <c r="Z271" i="3"/>
  <c r="Z284" i="3"/>
  <c r="Z290" i="3"/>
  <c r="Z283" i="3"/>
  <c r="Z118" i="3"/>
  <c r="Z121" i="3"/>
  <c r="Z60" i="3"/>
  <c r="Z59" i="3"/>
  <c r="Z336" i="3"/>
  <c r="Z240" i="3"/>
  <c r="Z167" i="3"/>
  <c r="Z74" i="3"/>
  <c r="Z77" i="3"/>
  <c r="Z267" i="3"/>
  <c r="Z111" i="3"/>
  <c r="Z340" i="3"/>
  <c r="Z53" i="3"/>
  <c r="Z154" i="3"/>
  <c r="Z2" i="3"/>
  <c r="Z223" i="3"/>
  <c r="Z277" i="3"/>
  <c r="Z281" i="3"/>
  <c r="Z348" i="3"/>
  <c r="Z304" i="3"/>
  <c r="Z135" i="3"/>
  <c r="Z253" i="3"/>
  <c r="Z146" i="3"/>
  <c r="Z190" i="3"/>
  <c r="Z72" i="3"/>
</calcChain>
</file>

<file path=xl/sharedStrings.xml><?xml version="1.0" encoding="utf-8"?>
<sst xmlns="http://schemas.openxmlformats.org/spreadsheetml/2006/main" count="2217" uniqueCount="643">
  <si>
    <t>استطاعت مسکن ساکنان محلات تهران — مهر ۱۴۰۵</t>
  </si>
  <si>
    <t>تعداد محلات</t>
  </si>
  <si>
    <t>خانوارهای برآوردی</t>
  </si>
  <si>
    <r>
      <rPr>
        <sz val="11"/>
        <rFont val="Noto Sans"/>
        <family val="2"/>
      </rPr>
      <t xml:space="preserve">درآمد سالانه مبنا خانوار متوسط تهران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میلیون تومان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</si>
  <si>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میانگین وزنی قیمت هر متر </t>
    </r>
    <r>
      <rPr>
        <sz val="11"/>
        <rFont val="Tahoma"/>
        <charset val="1"/>
      </rPr>
      <t>(</t>
    </r>
    <r>
      <rPr>
        <sz val="11"/>
        <rFont val="Noto Sans"/>
        <family val="2"/>
      </rPr>
      <t>میلیون تومان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</si>
  <si>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میانگین وزنی </t>
    </r>
    <r>
      <rPr>
        <sz val="11"/>
        <rFont val="Tahoma"/>
        <charset val="1"/>
      </rPr>
      <t xml:space="preserve">PIR </t>
    </r>
    <r>
      <rPr>
        <sz val="11"/>
        <rFont val="Noto Sans"/>
        <family val="2"/>
      </rPr>
      <t xml:space="preserve">ساکنان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واحد استاندارد</t>
    </r>
    <r>
      <rPr>
        <sz val="11"/>
        <rFont val="Tahoma"/>
        <charset val="1"/>
      </rPr>
      <t>)</t>
    </r>
  </si>
  <si>
    <t>میانگین وزنی سهم اجاره از درآمد ساکنان ٪</t>
  </si>
  <si>
    <r>
      <rPr>
        <sz val="11"/>
        <rFont val="Noto Sans"/>
        <family val="2"/>
      </rPr>
      <t xml:space="preserve">کمترین </t>
    </r>
    <r>
      <rPr>
        <sz val="11"/>
        <rFont val="Tahoma"/>
        <charset val="1"/>
      </rPr>
      <t xml:space="preserve">PIR </t>
    </r>
    <r>
      <rPr>
        <sz val="11"/>
        <rFont val="Noto Sans"/>
        <family val="2"/>
      </rPr>
      <t xml:space="preserve">خانوار متوسط تهران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ارزان‌ترین محله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</si>
  <si>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بیشترین </t>
    </r>
    <r>
      <rPr>
        <sz val="11"/>
        <rFont val="Tahoma"/>
        <charset val="1"/>
      </rPr>
      <t xml:space="preserve">PIR </t>
    </r>
    <r>
      <rPr>
        <sz val="11"/>
        <rFont val="Noto Sans"/>
        <family val="2"/>
      </rPr>
      <t xml:space="preserve">خانوار متوسط تهران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گران‌ترین محله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</si>
  <si>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محلات با سطح خرید </t>
    </r>
    <r>
      <rPr>
        <sz val="11"/>
        <rFont val="Tahoma"/>
        <charset val="1"/>
      </rPr>
      <t>«</t>
    </r>
    <r>
      <rPr>
        <sz val="11"/>
        <rFont val="Noto Sans"/>
        <family val="2"/>
      </rPr>
      <t>شدید</t>
    </r>
    <r>
      <rPr>
        <sz val="11"/>
        <rFont val="Tahoma"/>
        <charset val="1"/>
      </rPr>
      <t xml:space="preserve">» </t>
    </r>
    <r>
      <rPr>
        <sz val="11"/>
        <rFont val="Noto Sans"/>
        <family val="2"/>
      </rPr>
      <t xml:space="preserve">یا بدتر </t>
    </r>
    <r>
      <rPr>
        <sz val="11"/>
        <rFont val="Tahoma"/>
        <charset val="1"/>
      </rPr>
      <t>(</t>
    </r>
    <r>
      <rPr>
        <sz val="11"/>
        <rFont val="Noto Sans"/>
        <family val="2"/>
      </rPr>
      <t>ساکنان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</si>
  <si>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محلات با اجاره </t>
    </r>
    <r>
      <rPr>
        <sz val="11"/>
        <rFont val="Tahoma"/>
        <charset val="1"/>
      </rPr>
      <t>«</t>
    </r>
    <r>
      <rPr>
        <sz val="11"/>
        <rFont val="Noto Sans"/>
        <family val="2"/>
      </rPr>
      <t>فشار شدید</t>
    </r>
    <r>
      <rPr>
        <sz val="11"/>
        <rFont val="Tahoma"/>
        <charset val="1"/>
      </rPr>
      <t xml:space="preserve">» </t>
    </r>
    <r>
      <rPr>
        <sz val="11"/>
        <rFont val="Noto Sans"/>
        <family val="2"/>
      </rPr>
      <t>برای ساکنان</t>
    </r>
  </si>
  <si>
    <t>محلاتی که کمتر از ۲۰٪ خانوارهای تهران توان اجاره واحد استاندارد آن را دارند</t>
  </si>
  <si>
    <r>
      <rPr>
        <sz val="11"/>
        <rFont val="Noto Sans"/>
        <family val="2"/>
      </rPr>
      <t xml:space="preserve">قسط ماهانه وام ۲ میلیاردی </t>
    </r>
    <r>
      <rPr>
        <sz val="11"/>
        <rFont val="Tahoma"/>
        <charset val="1"/>
      </rPr>
      <t>(</t>
    </r>
    <r>
      <rPr>
        <sz val="11"/>
        <rFont val="Noto Sans"/>
        <family val="2"/>
      </rPr>
      <t>میلیون تومان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</si>
  <si>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شیت </t>
    </r>
    <r>
      <rPr>
        <sz val="11"/>
        <rFont val="Tahoma"/>
        <charset val="1"/>
      </rPr>
      <t>«</t>
    </r>
    <r>
      <rPr>
        <sz val="11"/>
        <rFont val="Noto Sans"/>
        <family val="2"/>
      </rPr>
      <t>محلات</t>
    </r>
    <r>
      <rPr>
        <sz val="11"/>
        <rFont val="Tahoma"/>
        <charset val="1"/>
      </rPr>
      <t xml:space="preserve">»: </t>
    </r>
    <r>
      <rPr>
        <sz val="11"/>
        <rFont val="Noto Sans"/>
        <family val="2"/>
      </rPr>
      <t xml:space="preserve">برای هر ۳۴۹ محله قیمت فروش و اجاره، درآمد برآوردی ساکنان، </t>
    </r>
    <r>
      <rPr>
        <sz val="11"/>
        <rFont val="Tahoma"/>
        <charset val="1"/>
      </rPr>
      <t>PIR</t>
    </r>
    <r>
      <rPr>
        <sz val="11"/>
        <rFont val="Noto Sans"/>
        <family val="2"/>
      </rPr>
      <t>، سال‌های انتظار، سهم اجاره از درآمد، سهم خانوارهای تهران قادر به خرید</t>
    </r>
    <r>
      <rPr>
        <sz val="11"/>
        <rFont val="Tahoma"/>
        <charset val="1"/>
      </rPr>
      <t>/</t>
    </r>
    <r>
      <rPr>
        <sz val="11"/>
        <rFont val="Noto Sans"/>
        <family val="2"/>
      </rPr>
      <t>اجاره، اثر وام مسکن، شاخص ترکیبی و درجه کیفیت داده</t>
    </r>
    <r>
      <rPr>
        <sz val="11"/>
        <rFont val="Tahoma"/>
        <charset val="1"/>
      </rPr>
      <t>.</t>
    </r>
  </si>
  <si>
    <r>
      <rPr>
        <sz val="11"/>
        <rFont val="Noto Sans"/>
        <family val="2"/>
      </rPr>
      <t xml:space="preserve">شیت </t>
    </r>
    <r>
      <rPr>
        <sz val="11"/>
        <rFont val="Tahoma"/>
        <charset val="1"/>
      </rPr>
      <t>«</t>
    </r>
    <r>
      <rPr>
        <sz val="11"/>
        <rFont val="Noto Sans"/>
        <family val="2"/>
      </rPr>
      <t>پارامترها</t>
    </r>
    <r>
      <rPr>
        <sz val="11"/>
        <rFont val="Tahoma"/>
        <charset val="1"/>
      </rPr>
      <t xml:space="preserve">»: </t>
    </r>
    <r>
      <rPr>
        <sz val="11"/>
        <rFont val="Noto Sans"/>
        <family val="2"/>
      </rPr>
      <t xml:space="preserve">درآمد، وام، نرخ سود، متراژ و آستانه‌ها قابل تغییرند </t>
    </r>
    <r>
      <rPr>
        <sz val="11"/>
        <rFont val="Tahoma"/>
        <charset val="1"/>
      </rPr>
      <t>(</t>
    </r>
    <r>
      <rPr>
        <sz val="11"/>
        <rFont val="Noto Sans"/>
        <family val="2"/>
      </rPr>
      <t>سلول‌های زرد</t>
    </r>
    <r>
      <rPr>
        <sz val="11"/>
        <rFont val="Tahoma"/>
        <charset val="1"/>
      </rPr>
      <t>).</t>
    </r>
  </si>
  <si>
    <r>
      <rPr>
        <sz val="11"/>
        <rFont val="Noto Sans"/>
        <family val="2"/>
      </rPr>
      <t xml:space="preserve">شیت </t>
    </r>
    <r>
      <rPr>
        <sz val="11"/>
        <rFont val="Tahoma"/>
        <charset val="1"/>
      </rPr>
      <t>«</t>
    </r>
    <r>
      <rPr>
        <sz val="11"/>
        <rFont val="Noto Sans"/>
        <family val="2"/>
      </rPr>
      <t>مناطق</t>
    </r>
    <r>
      <rPr>
        <sz val="11"/>
        <rFont val="Tahoma"/>
        <charset val="1"/>
      </rPr>
      <t xml:space="preserve">»: </t>
    </r>
    <r>
      <rPr>
        <sz val="11"/>
        <rFont val="Noto Sans"/>
        <family val="2"/>
      </rPr>
      <t>جمع‌بندی ۲۲ منطقه و مقایسه گرادیان درآمد مدل با طرح هزینه و درآمد ۱۳۸۷</t>
    </r>
    <r>
      <rPr>
        <sz val="11"/>
        <rFont val="Tahoma"/>
        <charset val="1"/>
      </rPr>
      <t>.</t>
    </r>
  </si>
  <si>
    <r>
      <rPr>
        <sz val="11"/>
        <rFont val="Noto Sans"/>
        <family val="2"/>
      </rPr>
      <t>هشدار</t>
    </r>
    <r>
      <rPr>
        <sz val="11"/>
        <rFont val="Tahoma"/>
        <charset val="1"/>
      </rPr>
      <t xml:space="preserve">: </t>
    </r>
    <r>
      <rPr>
        <sz val="11"/>
        <rFont val="Noto Sans"/>
        <family val="2"/>
      </rPr>
      <t>درآمد محله‌ها برآوردی است و قیمت‌ها درخواستی؛ ارقام برای مقایسه و برنامه‌ریزی مناسب‌اند نه ارزش‌گذاری ملک خاص</t>
    </r>
    <r>
      <rPr>
        <sz val="11"/>
        <rFont val="Tahoma"/>
        <charset val="1"/>
      </rPr>
      <t>.</t>
    </r>
  </si>
  <si>
    <r>
      <rPr>
        <b/>
        <sz val="14"/>
        <rFont val="Noto Sans"/>
        <family val="2"/>
      </rPr>
      <t xml:space="preserve">پارامترها و فرض‌ها </t>
    </r>
    <r>
      <rPr>
        <b/>
        <sz val="14"/>
        <rFont val="Tahoma"/>
        <charset val="1"/>
      </rPr>
      <t>(</t>
    </r>
    <r>
      <rPr>
        <b/>
        <sz val="14"/>
        <rFont val="Noto Sans"/>
        <family val="2"/>
      </rPr>
      <t>سلول‌های زرد قابل تغییرند؛ همه محاسبات خودکار به‌روز می‌شوند</t>
    </r>
    <r>
      <rPr>
        <b/>
        <sz val="14"/>
        <rFont val="Tahoma"/>
        <charset val="1"/>
      </rPr>
      <t>)</t>
    </r>
  </si>
  <si>
    <t>پارامتر</t>
  </si>
  <si>
    <t>مقدار</t>
  </si>
  <si>
    <r>
      <rPr>
        <b/>
        <sz val="11"/>
        <color rgb="FFFFFFFF"/>
        <rFont val="Noto Sans"/>
        <family val="2"/>
      </rPr>
      <t xml:space="preserve">منبع </t>
    </r>
    <r>
      <rPr>
        <b/>
        <sz val="11"/>
        <color rgb="FFFFFFFF"/>
        <rFont val="Tahoma"/>
        <charset val="1"/>
      </rPr>
      <t xml:space="preserve">/ </t>
    </r>
    <r>
      <rPr>
        <b/>
        <sz val="11"/>
        <color rgb="FFFFFFFF"/>
        <rFont val="Noto Sans"/>
        <family val="2"/>
      </rPr>
      <t>توضیح</t>
    </r>
  </si>
  <si>
    <r>
      <rPr>
        <sz val="11"/>
        <rFont val="Noto Sans"/>
        <family val="2"/>
      </rPr>
      <t xml:space="preserve">متوسط درآمد سالانه خانوار شهری استان تهران ۱۴۰۴ </t>
    </r>
    <r>
      <rPr>
        <sz val="11"/>
        <rFont val="Tahoma"/>
        <charset val="1"/>
      </rPr>
      <t>(</t>
    </r>
    <r>
      <rPr>
        <sz val="11"/>
        <rFont val="Noto Sans"/>
        <family val="2"/>
      </rPr>
      <t>تومان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</si>
  <si>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مرکز آمار ایران، طرح هزینه و درآمد ۱۴۰۴ </t>
    </r>
    <r>
      <rPr>
        <sz val="11"/>
        <rFont val="Tahoma"/>
        <charset val="1"/>
      </rPr>
      <t>(</t>
    </r>
    <r>
      <rPr>
        <sz val="11"/>
        <rFont val="Noto Sans"/>
        <family val="2"/>
      </rPr>
      <t>به نقل از اکوایران، ۹ مهر ۱۴۰۵</t>
    </r>
    <r>
      <rPr>
        <sz val="11"/>
        <rFont val="Tahoma"/>
        <charset val="1"/>
      </rPr>
      <t>)</t>
    </r>
  </si>
  <si>
    <t>ضریب به‌روزرسانی درآمد به مهر ۱۴۰۵</t>
  </si>
  <si>
    <r>
      <rPr>
        <sz val="11"/>
        <rFont val="Noto Sans"/>
        <family val="2"/>
      </rPr>
      <t>فرض</t>
    </r>
    <r>
      <rPr>
        <sz val="11"/>
        <rFont val="Tahoma"/>
        <charset val="1"/>
      </rPr>
      <t xml:space="preserve">: </t>
    </r>
    <r>
      <rPr>
        <sz val="11"/>
        <rFont val="Noto Sans"/>
        <family val="2"/>
      </rPr>
      <t>رشد اسمی درآمد خانوار شهری در ۱۴۰۴ برابر ۴۱٫۲٪ بوده؛ برای فاصله میانه ۱۴۰۴ تا مهر ۱۴۰۵ حدود ۳۵٪ فرض شد</t>
    </r>
  </si>
  <si>
    <r>
      <rPr>
        <sz val="11"/>
        <rFont val="Noto Sans"/>
        <family val="2"/>
      </rPr>
      <t xml:space="preserve">درآمد سالانه مبنا خانوار متوسط تهران در مهر ۱۴۰۵ </t>
    </r>
    <r>
      <rPr>
        <sz val="11"/>
        <rFont val="Tahoma"/>
        <charset val="1"/>
      </rPr>
      <t>(</t>
    </r>
    <r>
      <rPr>
        <sz val="11"/>
        <rFont val="Noto Sans"/>
        <family val="2"/>
      </rPr>
      <t>تومان</t>
    </r>
    <r>
      <rPr>
        <sz val="11"/>
        <rFont val="Tahoma"/>
        <charset val="1"/>
      </rPr>
      <t>)</t>
    </r>
  </si>
  <si>
    <t>محاسبه‌ای</t>
  </si>
  <si>
    <r>
      <rPr>
        <sz val="11"/>
        <rFont val="Noto Sans"/>
        <family val="2"/>
      </rPr>
      <t xml:space="preserve">متراژ واحد استاندارد </t>
    </r>
    <r>
      <rPr>
        <sz val="11"/>
        <rFont val="Tahoma"/>
        <charset val="1"/>
      </rPr>
      <t>(</t>
    </r>
    <r>
      <rPr>
        <sz val="11"/>
        <rFont val="Noto Sans"/>
        <family val="2"/>
      </rPr>
      <t>متر مربع</t>
    </r>
    <r>
      <rPr>
        <sz val="11"/>
        <rFont val="Tahoma"/>
        <charset val="1"/>
      </rPr>
      <t>)</t>
    </r>
  </si>
  <si>
    <t>واحد مرجع برای مقایسه محلات</t>
  </si>
  <si>
    <t>نرخ پس‌انداز خانوار از درآمد</t>
  </si>
  <si>
    <t>فرض متعارف در محاسبه سال‌های انتظار خرید</t>
  </si>
  <si>
    <r>
      <rPr>
        <sz val="11"/>
        <rFont val="Noto Sans"/>
        <family val="2"/>
      </rPr>
      <t xml:space="preserve">آستانه بار هزینه مسکن </t>
    </r>
    <r>
      <rPr>
        <sz val="11"/>
        <rFont val="Tahoma"/>
        <charset val="1"/>
      </rPr>
      <t>(</t>
    </r>
    <r>
      <rPr>
        <sz val="11"/>
        <rFont val="Noto Sans"/>
        <family val="2"/>
      </rPr>
      <t>سهم درآمد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</si>
  <si>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معیار رایج بین‌المللی </t>
    </r>
    <r>
      <rPr>
        <sz val="11"/>
        <rFont val="Tahoma"/>
        <charset val="1"/>
      </rPr>
      <t>(</t>
    </r>
    <r>
      <rPr>
        <sz val="11"/>
        <rFont val="Noto Sans"/>
        <family val="2"/>
      </rPr>
      <t>۳۰٪ درآمد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</si>
  <si>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سقف وام خرید مسکن زوجین تهران ۱۴۰۵ </t>
    </r>
    <r>
      <rPr>
        <sz val="11"/>
        <rFont val="Tahoma"/>
        <charset val="1"/>
      </rPr>
      <t>(</t>
    </r>
    <r>
      <rPr>
        <sz val="11"/>
        <rFont val="Noto Sans"/>
        <family val="2"/>
      </rPr>
      <t>تومان</t>
    </r>
    <r>
      <rPr>
        <sz val="11"/>
        <rFont val="Tahoma"/>
        <charset val="1"/>
      </rPr>
      <t>)</t>
    </r>
  </si>
  <si>
    <t>وام از محل اوراق تسه بانک مسکن — جام‌جم آنلاین</t>
  </si>
  <si>
    <t>نرخ سود سالانه وام</t>
  </si>
  <si>
    <t>۲۲٫۵٪ — جام‌جم آنلاین</t>
  </si>
  <si>
    <r>
      <rPr>
        <sz val="11"/>
        <rFont val="Noto Sans"/>
        <family val="2"/>
      </rPr>
      <t xml:space="preserve">مدت بازپرداخت </t>
    </r>
    <r>
      <rPr>
        <sz val="11"/>
        <rFont val="Tahoma"/>
        <charset val="1"/>
      </rPr>
      <t>(</t>
    </r>
    <r>
      <rPr>
        <sz val="11"/>
        <rFont val="Noto Sans"/>
        <family val="2"/>
      </rPr>
      <t>سال</t>
    </r>
    <r>
      <rPr>
        <sz val="11"/>
        <rFont val="Tahoma"/>
        <charset val="1"/>
      </rPr>
      <t>)</t>
    </r>
  </si>
  <si>
    <t>۱۲ سال — جام‌جم آنلاین</t>
  </si>
  <si>
    <r>
      <rPr>
        <sz val="11"/>
        <rFont val="Noto Sans"/>
        <family val="2"/>
      </rPr>
      <t xml:space="preserve">قسط ماهانه وام </t>
    </r>
    <r>
      <rPr>
        <sz val="11"/>
        <rFont val="Tahoma"/>
        <charset val="1"/>
      </rPr>
      <t>(</t>
    </r>
    <r>
      <rPr>
        <sz val="11"/>
        <rFont val="Noto Sans"/>
        <family val="2"/>
      </rPr>
      <t>تومان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</si>
  <si>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محاسبه‌ای </t>
    </r>
    <r>
      <rPr>
        <sz val="11"/>
        <rFont val="Tahoma"/>
        <charset val="1"/>
      </rPr>
      <t>(</t>
    </r>
    <r>
      <rPr>
        <sz val="11"/>
        <rFont val="Noto Sans"/>
        <family val="2"/>
      </rPr>
      <t>منبع</t>
    </r>
    <r>
      <rPr>
        <sz val="11"/>
        <rFont val="Tahoma"/>
        <charset val="1"/>
      </rPr>
      <t xml:space="preserve">: </t>
    </r>
    <r>
      <rPr>
        <sz val="11"/>
        <rFont val="Noto Sans"/>
        <family val="2"/>
      </rPr>
      <t>حدود ۴۰٫۳ میلیون تومان</t>
    </r>
    <r>
      <rPr>
        <sz val="11"/>
        <rFont val="Tahoma"/>
        <charset val="1"/>
      </rPr>
      <t>)</t>
    </r>
  </si>
  <si>
    <t>ضریب جینی خانوارهای شهری استان تهران ۱۴۰۴</t>
  </si>
  <si>
    <r>
      <rPr>
        <sz val="11"/>
        <rFont val="Noto Sans"/>
        <family val="2"/>
      </rPr>
      <t xml:space="preserve">مرکز آمار ایران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به نقل از تجارت‌نیوز</t>
    </r>
    <r>
      <rPr>
        <sz val="11"/>
        <rFont val="Tahoma"/>
        <charset val="1"/>
      </rPr>
      <t>/</t>
    </r>
    <r>
      <rPr>
        <sz val="11"/>
        <rFont val="Noto Sans"/>
        <family val="2"/>
      </rPr>
      <t>باشگاه خبرنگاران، مهر ۱۴۰۵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</si>
  <si>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انحراف معیار لگاریتم درآمد </t>
    </r>
    <r>
      <rPr>
        <sz val="11"/>
        <rFont val="Tahoma"/>
        <charset val="1"/>
      </rPr>
      <t>(</t>
    </r>
    <r>
      <rPr>
        <sz val="11"/>
        <rFont val="Noto Sans"/>
        <family val="2"/>
      </rPr>
      <t>توزیع لگ‌نرمال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</si>
  <si>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>از ضریب جینی</t>
    </r>
    <r>
      <rPr>
        <sz val="11"/>
        <rFont val="Tahoma"/>
        <charset val="1"/>
      </rPr>
      <t>: G = 2Φ(σ/√2) − 1</t>
    </r>
  </si>
  <si>
    <r>
      <rPr>
        <sz val="11"/>
        <rFont val="Noto Sans"/>
        <family val="2"/>
      </rPr>
      <t xml:space="preserve">میانگین لگاریتم درآمد </t>
    </r>
    <r>
      <rPr>
        <sz val="11"/>
        <rFont val="Tahoma"/>
        <charset val="1"/>
      </rPr>
      <t>μ</t>
    </r>
  </si>
  <si>
    <r>
      <rPr>
        <sz val="11"/>
        <rFont val="Noto Sans"/>
        <family val="2"/>
      </rPr>
      <t xml:space="preserve">نرخ تبدیل ودیعه به اجاره ماهانه </t>
    </r>
    <r>
      <rPr>
        <sz val="11"/>
        <rFont val="Tahoma"/>
        <charset val="1"/>
      </rPr>
      <t>(</t>
    </r>
    <r>
      <rPr>
        <sz val="11"/>
        <rFont val="Noto Sans"/>
        <family val="2"/>
      </rPr>
      <t>در داده‌ها اعمال شده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</si>
  <si>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عرف بازار ۲ تا ۳ درصد ماهانه </t>
    </r>
    <r>
      <rPr>
        <sz val="11"/>
        <rFont val="Tahoma"/>
        <charset val="1"/>
      </rPr>
      <t>(</t>
    </r>
    <r>
      <rPr>
        <sz val="11"/>
        <rFont val="Noto Sans"/>
        <family val="2"/>
      </rPr>
      <t>فرارو</t>
    </r>
    <r>
      <rPr>
        <sz val="11"/>
        <rFont val="Tahoma"/>
        <charset val="1"/>
      </rPr>
      <t>)</t>
    </r>
    <r>
      <rPr>
        <sz val="11"/>
        <rFont val="Noto Sans"/>
        <family val="2"/>
      </rPr>
      <t>؛ ۳٪ در پردازش آگهی‌ها اعمال شد</t>
    </r>
  </si>
  <si>
    <r>
      <rPr>
        <sz val="11"/>
        <rFont val="Noto Sans"/>
        <family val="2"/>
      </rPr>
      <t xml:space="preserve">کشش درآمد سرانه نسبت به قیمت مسکن </t>
    </r>
    <r>
      <rPr>
        <sz val="11"/>
        <rFont val="Tahoma"/>
        <charset val="1"/>
      </rPr>
      <t>(</t>
    </r>
    <r>
      <rPr>
        <sz val="11"/>
        <rFont val="Noto Sans"/>
        <family val="2"/>
      </rPr>
      <t>برآوردشده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</si>
  <si>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کالیبره‌شده با نسبت هزینه سرانه مناطق ۱، ۳ و ۱۶ به میانگین شهر </t>
    </r>
    <r>
      <rPr>
        <sz val="11"/>
        <rFont val="Tahoma"/>
        <charset val="1"/>
      </rPr>
      <t>(</t>
    </r>
    <r>
      <rPr>
        <sz val="11"/>
        <rFont val="Noto Sans"/>
        <family val="2"/>
      </rPr>
      <t>طرح هزینه و درآمد ۱۳۸۷</t>
    </r>
    <r>
      <rPr>
        <sz val="11"/>
        <rFont val="Tahoma"/>
        <charset val="1"/>
      </rPr>
      <t>)</t>
    </r>
  </si>
  <si>
    <t>ردیف</t>
  </si>
  <si>
    <t>منطقه</t>
  </si>
  <si>
    <t>محله</t>
  </si>
  <si>
    <r>
      <rPr>
        <b/>
        <sz val="11"/>
        <color rgb="FFFFFFFF"/>
        <rFont val="Noto Sans"/>
        <family val="2"/>
      </rPr>
      <t xml:space="preserve">جمعیت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حدود ۱۳۹۵</t>
    </r>
    <r>
      <rPr>
        <b/>
        <sz val="11"/>
        <color rgb="FFFFFFFF"/>
        <rFont val="Tahoma"/>
        <charset val="1"/>
      </rPr>
      <t>)</t>
    </r>
  </si>
  <si>
    <r>
      <rPr>
        <b/>
        <sz val="11"/>
        <color rgb="FFFFFFFF"/>
        <rFont val="Noto Sans"/>
        <family val="2"/>
      </rPr>
      <t xml:space="preserve">تعداد خانوار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برآورد</t>
    </r>
    <r>
      <rPr>
        <b/>
        <sz val="11"/>
        <color rgb="FFFFFFFF"/>
        <rFont val="Tahoma"/>
        <charset val="1"/>
      </rPr>
      <t>)</t>
    </r>
  </si>
  <si>
    <r>
      <rPr>
        <b/>
        <sz val="11"/>
        <color rgb="FFFFFFFF"/>
        <rFont val="Noto Sans"/>
        <family val="2"/>
      </rPr>
      <t xml:space="preserve">ضریب درآمد نسبی خانوار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 xml:space="preserve">میانگین شهر </t>
    </r>
    <r>
      <rPr>
        <b/>
        <sz val="11"/>
        <color rgb="FFFFFFFF"/>
        <rFont val="Tahoma"/>
        <charset val="1"/>
      </rPr>
      <t xml:space="preserve">= </t>
    </r>
    <r>
      <rPr>
        <b/>
        <sz val="11"/>
        <color rgb="FFFFFFFF"/>
        <rFont val="Noto Sans"/>
        <family val="2"/>
      </rPr>
      <t>۱</t>
    </r>
    <r>
      <rPr>
        <b/>
        <sz val="11"/>
        <color rgb="FFFFFFFF"/>
        <rFont val="Tahoma"/>
        <charset val="1"/>
      </rPr>
      <t>)</t>
    </r>
  </si>
  <si>
    <r>
      <rPr>
        <b/>
        <sz val="11"/>
        <color rgb="FFFFFFFF"/>
        <rFont val="Noto Sans"/>
        <family val="2"/>
      </rPr>
      <t xml:space="preserve">درآمد سالانه برآوردی خانوار ساکن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میلیون تومان</t>
    </r>
    <r>
      <rPr>
        <b/>
        <sz val="11"/>
        <color rgb="FFFFFFFF"/>
        <rFont val="Tahoma"/>
        <charset val="1"/>
      </rPr>
      <t>)</t>
    </r>
  </si>
  <si>
    <r>
      <rPr>
        <b/>
        <sz val="11"/>
        <color rgb="FFFFFFFF"/>
        <rFont val="Noto Sans"/>
        <family val="2"/>
      </rPr>
      <t xml:space="preserve">قیمت میانه هر متر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میلیون تومان</t>
    </r>
    <r>
      <rPr>
        <b/>
        <sz val="11"/>
        <color rgb="FFFFFFFF"/>
        <rFont val="Tahoma"/>
        <charset val="1"/>
      </rPr>
      <t>)</t>
    </r>
  </si>
  <si>
    <r>
      <rPr>
        <b/>
        <sz val="11"/>
        <color rgb="FFFFFFFF"/>
        <rFont val="Noto Sans"/>
        <family val="2"/>
      </rPr>
      <t xml:space="preserve">قیمت واحد استاندارد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میلیون تومان</t>
    </r>
    <r>
      <rPr>
        <b/>
        <sz val="11"/>
        <color rgb="FFFFFFFF"/>
        <rFont val="Tahoma"/>
        <charset val="1"/>
      </rPr>
      <t>)</t>
    </r>
  </si>
  <si>
    <r>
      <rPr>
        <b/>
        <sz val="11"/>
        <color rgb="FFFFFFFF"/>
        <rFont val="Noto Sans"/>
        <family val="2"/>
      </rPr>
      <t xml:space="preserve">متراژ میانه آگهی‌های فروش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متر</t>
    </r>
    <r>
      <rPr>
        <b/>
        <sz val="11"/>
        <color rgb="FFFFFFFF"/>
        <rFont val="Tahoma"/>
        <charset val="1"/>
      </rPr>
      <t>)</t>
    </r>
  </si>
  <si>
    <r>
      <rPr>
        <b/>
        <sz val="11"/>
        <color rgb="FFFFFFFF"/>
        <rFont val="Noto Sans"/>
        <family val="2"/>
      </rPr>
      <t xml:space="preserve">نسبت قیمت به درآمد </t>
    </r>
    <r>
      <rPr>
        <b/>
        <sz val="11"/>
        <color rgb="FFFFFFFF"/>
        <rFont val="Tahoma"/>
        <charset val="1"/>
      </rPr>
      <t xml:space="preserve">(PIR) </t>
    </r>
    <r>
      <rPr>
        <b/>
        <sz val="11"/>
        <color rgb="FFFFFFFF"/>
        <rFont val="Noto Sans"/>
        <family val="2"/>
      </rPr>
      <t>ساکنان</t>
    </r>
  </si>
  <si>
    <r>
      <rPr>
        <b/>
        <sz val="11"/>
        <color rgb="FFFFFFFF"/>
        <rFont val="Tahoma"/>
        <charset val="1"/>
      </rPr>
      <t xml:space="preserve">PIR </t>
    </r>
    <r>
      <rPr>
        <b/>
        <sz val="11"/>
        <color rgb="FFFFFFFF"/>
        <rFont val="Noto Sans"/>
        <family val="2"/>
      </rPr>
      <t>برای خانوار متوسط تهران</t>
    </r>
  </si>
  <si>
    <r>
      <rPr>
        <b/>
        <sz val="11"/>
        <color rgb="FFFFFFFF"/>
        <rFont val="Noto Sans"/>
        <family val="2"/>
      </rPr>
      <t xml:space="preserve">سال‌های لازم پس‌انداز برای خرید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ساکنان</t>
    </r>
    <r>
      <rPr>
        <b/>
        <sz val="11"/>
        <color rgb="FFFFFFFF"/>
        <rFont val="Tahoma"/>
        <charset val="1"/>
      </rPr>
      <t>)</t>
    </r>
  </si>
  <si>
    <r>
      <rPr>
        <b/>
        <sz val="11"/>
        <color rgb="FFFFFFFF"/>
        <rFont val="Noto Sans"/>
        <family val="2"/>
      </rPr>
      <t xml:space="preserve">رهن کامل معادل هر متر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میلیون تومان</t>
    </r>
    <r>
      <rPr>
        <b/>
        <sz val="11"/>
        <color rgb="FFFFFFFF"/>
        <rFont val="Tahoma"/>
        <charset val="1"/>
      </rPr>
      <t>)</t>
    </r>
  </si>
  <si>
    <r>
      <rPr>
        <b/>
        <sz val="11"/>
        <color rgb="FFFFFFFF"/>
        <rFont val="Noto Sans"/>
        <family val="2"/>
      </rPr>
      <t xml:space="preserve">اجاره ماهانه معادل واحد استاندارد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میلیون تومان</t>
    </r>
    <r>
      <rPr>
        <b/>
        <sz val="11"/>
        <color rgb="FFFFFFFF"/>
        <rFont val="Tahoma"/>
        <charset val="1"/>
      </rPr>
      <t>)</t>
    </r>
  </si>
  <si>
    <t>سهم اجاره از درآمد ساکنان ٪</t>
  </si>
  <si>
    <t>سهم اجاره از درآمد خانوار متوسط تهران ٪</t>
  </si>
  <si>
    <t>سطح استطاعت اجاره</t>
  </si>
  <si>
    <r>
      <rPr>
        <b/>
        <sz val="11"/>
        <color rgb="FFFFFFFF"/>
        <rFont val="Noto Sans"/>
        <family val="2"/>
      </rPr>
      <t xml:space="preserve">سهم خانوارهای تهران قادر به اجاره </t>
    </r>
    <r>
      <rPr>
        <b/>
        <sz val="11"/>
        <color rgb="FFFFFFFF"/>
        <rFont val="Tahoma"/>
        <charset val="1"/>
      </rPr>
      <t>(≤</t>
    </r>
    <r>
      <rPr>
        <b/>
        <sz val="11"/>
        <color rgb="FFFFFFFF"/>
        <rFont val="Noto Sans"/>
        <family val="2"/>
      </rPr>
      <t>۳۰٪ درآمد</t>
    </r>
    <r>
      <rPr>
        <b/>
        <sz val="11"/>
        <color rgb="FFFFFFFF"/>
        <rFont val="Tahoma"/>
        <charset val="1"/>
      </rPr>
      <t xml:space="preserve">) </t>
    </r>
    <r>
      <rPr>
        <b/>
        <sz val="11"/>
        <color rgb="FFFFFFFF"/>
        <rFont val="Noto Sans"/>
        <family val="2"/>
      </rPr>
      <t>٪</t>
    </r>
  </si>
  <si>
    <r>
      <rPr>
        <b/>
        <sz val="11"/>
        <color rgb="FFFFFFFF"/>
        <rFont val="Noto Sans"/>
        <family val="2"/>
      </rPr>
      <t xml:space="preserve">سهم خانوارهای تهران با </t>
    </r>
    <r>
      <rPr>
        <b/>
        <sz val="11"/>
        <color rgb="FFFFFFFF"/>
        <rFont val="Tahoma"/>
        <charset val="1"/>
      </rPr>
      <t xml:space="preserve">PIR ≤ </t>
    </r>
    <r>
      <rPr>
        <b/>
        <sz val="11"/>
        <color rgb="FFFFFFFF"/>
        <rFont val="Noto Sans"/>
        <family val="2"/>
      </rPr>
      <t>۵ ٪</t>
    </r>
  </si>
  <si>
    <t>پوشش وام از قیمت ٪</t>
  </si>
  <si>
    <r>
      <rPr>
        <b/>
        <sz val="11"/>
        <color rgb="FFFFFFFF"/>
        <rFont val="Noto Sans"/>
        <family val="2"/>
      </rPr>
      <t xml:space="preserve">پیش‌پرداخت لازم پس از وام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میلیون تومان</t>
    </r>
    <r>
      <rPr>
        <b/>
        <sz val="11"/>
        <color rgb="FFFFFFFF"/>
        <rFont val="Tahoma"/>
        <charset val="1"/>
      </rPr>
      <t>)</t>
    </r>
  </si>
  <si>
    <r>
      <rPr>
        <b/>
        <sz val="11"/>
        <color rgb="FFFFFFFF"/>
        <rFont val="Noto Sans"/>
        <family val="2"/>
      </rPr>
      <t xml:space="preserve">سال‌های پس‌انداز برای پیش‌پرداخت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ساکنان</t>
    </r>
    <r>
      <rPr>
        <b/>
        <sz val="11"/>
        <color rgb="FFFFFFFF"/>
        <rFont val="Tahoma"/>
        <charset val="1"/>
      </rPr>
      <t>)</t>
    </r>
  </si>
  <si>
    <t>نسبت قسط وام به درآمد ماهانه ساکنان ٪</t>
  </si>
  <si>
    <r>
      <rPr>
        <b/>
        <sz val="11"/>
        <color rgb="FFFFFFFF"/>
        <rFont val="Noto Sans"/>
        <family val="2"/>
      </rPr>
      <t xml:space="preserve">شاخص ترکیبی استطاعت مسکن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 xml:space="preserve">۰ تا ۱۰۰؛ بیشتر </t>
    </r>
    <r>
      <rPr>
        <b/>
        <sz val="11"/>
        <color rgb="FFFFFFFF"/>
        <rFont val="Tahoma"/>
        <charset val="1"/>
      </rPr>
      <t xml:space="preserve">= </t>
    </r>
    <r>
      <rPr>
        <b/>
        <sz val="11"/>
        <color rgb="FFFFFFFF"/>
        <rFont val="Noto Sans"/>
        <family val="2"/>
      </rPr>
      <t>قابل‌استطاعت‌تر</t>
    </r>
    <r>
      <rPr>
        <b/>
        <sz val="11"/>
        <color rgb="FFFFFFFF"/>
        <rFont val="Tahoma"/>
        <charset val="1"/>
      </rPr>
      <t>)</t>
    </r>
  </si>
  <si>
    <t>رتبه استطاعت در شهر</t>
  </si>
  <si>
    <t>تعداد آگهی فروش</t>
  </si>
  <si>
    <t>تعداد آگهی اجاره</t>
  </si>
  <si>
    <t>منبع داده اجاره</t>
  </si>
  <si>
    <t>نوع تطبیق</t>
  </si>
  <si>
    <r>
      <rPr>
        <b/>
        <sz val="11"/>
        <color rgb="FFFFFFFF"/>
        <rFont val="Noto Sans"/>
        <family val="2"/>
      </rPr>
      <t>محله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های</t>
    </r>
    <r>
      <rPr>
        <b/>
        <sz val="11"/>
        <color rgb="FFFFFFFF"/>
        <rFont val="Tahoma"/>
        <charset val="1"/>
      </rPr>
      <t xml:space="preserve">) </t>
    </r>
    <r>
      <rPr>
        <b/>
        <sz val="11"/>
        <color rgb="FFFFFFFF"/>
        <rFont val="Noto Sans"/>
        <family val="2"/>
      </rPr>
      <t>دیوار</t>
    </r>
  </si>
  <si>
    <t>درجه کیفیت داده</t>
  </si>
  <si>
    <t>ولنجک</t>
  </si>
  <si>
    <t>آگهی اجاره دیوار</t>
  </si>
  <si>
    <t>دقیق</t>
  </si>
  <si>
    <t>A</t>
  </si>
  <si>
    <t>زعفرانیه</t>
  </si>
  <si>
    <t>محمودیه</t>
  </si>
  <si>
    <t>فرمانیه</t>
  </si>
  <si>
    <t>باغ فردوس</t>
  </si>
  <si>
    <t>B</t>
  </si>
  <si>
    <t>حصار بوعلی</t>
  </si>
  <si>
    <t>نیاوران</t>
  </si>
  <si>
    <r>
      <rPr>
        <sz val="11"/>
        <rFont val="Noto Sans"/>
        <family val="2"/>
      </rPr>
      <t xml:space="preserve">دستی </t>
    </r>
    <r>
      <rPr>
        <sz val="11"/>
        <rFont val="Tahoma"/>
        <charset val="1"/>
      </rPr>
      <t>(</t>
    </r>
    <r>
      <rPr>
        <sz val="11"/>
        <rFont val="Noto Sans"/>
        <family val="2"/>
      </rPr>
      <t>نام مرکب</t>
    </r>
    <r>
      <rPr>
        <sz val="11"/>
        <rFont val="Tahoma"/>
        <charset val="1"/>
      </rPr>
      <t>/</t>
    </r>
    <r>
      <rPr>
        <sz val="11"/>
        <rFont val="Noto Sans"/>
        <family val="2"/>
      </rPr>
      <t>معادل</t>
    </r>
    <r>
      <rPr>
        <sz val="11"/>
        <rFont val="Tahoma"/>
        <charset val="1"/>
      </rPr>
      <t>)</t>
    </r>
  </si>
  <si>
    <t>جماران</t>
  </si>
  <si>
    <r>
      <rPr>
        <sz val="11"/>
        <rFont val="Noto Sans"/>
        <family val="2"/>
      </rPr>
      <t xml:space="preserve">جماران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نیاوران</t>
    </r>
    <r>
      <rPr>
        <sz val="11"/>
        <rFont val="Tahoma"/>
        <charset val="1"/>
      </rPr>
      <t>)</t>
    </r>
  </si>
  <si>
    <t>امامزاده قاسم</t>
  </si>
  <si>
    <r>
      <rPr>
        <sz val="11"/>
        <rFont val="Noto Sans"/>
        <family val="2"/>
      </rPr>
      <t xml:space="preserve">امام زاده قاسم </t>
    </r>
    <r>
      <rPr>
        <sz val="11"/>
        <rFont val="Tahoma"/>
        <charset val="1"/>
      </rPr>
      <t>(</t>
    </r>
    <r>
      <rPr>
        <sz val="11"/>
        <rFont val="Noto Sans"/>
        <family val="2"/>
      </rPr>
      <t>نیاوران</t>
    </r>
    <r>
      <rPr>
        <sz val="11"/>
        <rFont val="Tahoma"/>
        <charset val="1"/>
      </rPr>
      <t>)</t>
    </r>
  </si>
  <si>
    <t>دزاشیب</t>
  </si>
  <si>
    <t>کاشانک</t>
  </si>
  <si>
    <t>قیطریه</t>
  </si>
  <si>
    <t>تجریش</t>
  </si>
  <si>
    <t>اراج</t>
  </si>
  <si>
    <t>برآورد از قیمت فروش</t>
  </si>
  <si>
    <r>
      <rPr>
        <sz val="11"/>
        <rFont val="Noto Sans"/>
        <family val="2"/>
      </rPr>
      <t xml:space="preserve">بدون داده </t>
    </r>
    <r>
      <rPr>
        <sz val="11"/>
        <rFont val="Tahoma"/>
        <charset val="1"/>
      </rPr>
      <t>(</t>
    </r>
    <r>
      <rPr>
        <sz val="11"/>
        <rFont val="Noto Sans"/>
        <family val="2"/>
      </rPr>
      <t>میانگین منطقه</t>
    </r>
    <r>
      <rPr>
        <sz val="11"/>
        <rFont val="Tahoma"/>
        <charset val="1"/>
      </rPr>
      <t>)</t>
    </r>
  </si>
  <si>
    <t>—</t>
  </si>
  <si>
    <t>D</t>
  </si>
  <si>
    <t>کوهسار</t>
  </si>
  <si>
    <t>حکمت</t>
  </si>
  <si>
    <t>چیذر</t>
  </si>
  <si>
    <t>ازگل</t>
  </si>
  <si>
    <t>اوین</t>
  </si>
  <si>
    <t>دربند</t>
  </si>
  <si>
    <r>
      <rPr>
        <sz val="11"/>
        <rFont val="Noto Sans"/>
        <family val="2"/>
      </rPr>
      <t xml:space="preserve">دانشگاه 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گلها</t>
    </r>
  </si>
  <si>
    <t>شهرک گلها</t>
  </si>
  <si>
    <t>درکه</t>
  </si>
  <si>
    <t>شهرک نفت</t>
  </si>
  <si>
    <r>
      <rPr>
        <sz val="11"/>
        <rFont val="Noto Sans"/>
        <family val="2"/>
      </rPr>
      <t xml:space="preserve">مینی‌سیتی </t>
    </r>
    <r>
      <rPr>
        <sz val="11"/>
        <rFont val="Tahoma"/>
        <charset val="1"/>
      </rPr>
      <t>(</t>
    </r>
    <r>
      <rPr>
        <sz val="11"/>
        <rFont val="Noto Sans"/>
        <family val="2"/>
      </rPr>
      <t>شهرک نفت</t>
    </r>
    <r>
      <rPr>
        <sz val="11"/>
        <rFont val="Tahoma"/>
        <charset val="1"/>
      </rPr>
      <t>)</t>
    </r>
  </si>
  <si>
    <t>دارآباد</t>
  </si>
  <si>
    <t>سوهانک</t>
  </si>
  <si>
    <t>شهرک محلاتی</t>
  </si>
  <si>
    <t>گلابدره</t>
  </si>
  <si>
    <t>گلاب دره</t>
  </si>
  <si>
    <t>سعادت آباد</t>
  </si>
  <si>
    <t>سعادت‌آباد</t>
  </si>
  <si>
    <t>ایوانک</t>
  </si>
  <si>
    <t>دریان نو</t>
  </si>
  <si>
    <t>دریا</t>
  </si>
  <si>
    <t>فراز</t>
  </si>
  <si>
    <t>کوی فراز</t>
  </si>
  <si>
    <t>کوی نصر</t>
  </si>
  <si>
    <t>گیشا</t>
  </si>
  <si>
    <t>آسمان</t>
  </si>
  <si>
    <t>مرزداران غربی</t>
  </si>
  <si>
    <t>مرزداران</t>
  </si>
  <si>
    <t>مرزداران شرقی</t>
  </si>
  <si>
    <t>سپهر</t>
  </si>
  <si>
    <t>شهرک قدس</t>
  </si>
  <si>
    <t>تیموری</t>
  </si>
  <si>
    <t>پونک</t>
  </si>
  <si>
    <t>پرواز</t>
  </si>
  <si>
    <t>شهر آرا</t>
  </si>
  <si>
    <t>شهرآرا</t>
  </si>
  <si>
    <t>تهران ویلا</t>
  </si>
  <si>
    <t>تهران‌ویلا</t>
  </si>
  <si>
    <r>
      <rPr>
        <sz val="11"/>
        <rFont val="Noto Sans"/>
        <family val="2"/>
      </rPr>
      <t>برق آلستوم</t>
    </r>
    <r>
      <rPr>
        <sz val="11"/>
        <rFont val="Tahoma"/>
        <charset val="1"/>
      </rPr>
      <t>(</t>
    </r>
    <r>
      <rPr>
        <sz val="11"/>
        <rFont val="Noto Sans"/>
        <family val="2"/>
      </rPr>
      <t>ستارخان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</si>
  <si>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جایگزین </t>
    </r>
    <r>
      <rPr>
        <sz val="11"/>
        <rFont val="Tahoma"/>
        <charset val="1"/>
      </rPr>
      <t>(</t>
    </r>
    <r>
      <rPr>
        <sz val="11"/>
        <rFont val="Noto Sans"/>
        <family val="2"/>
      </rPr>
      <t>محله مجاور</t>
    </r>
    <r>
      <rPr>
        <sz val="11"/>
        <rFont val="Tahoma"/>
        <charset val="1"/>
      </rPr>
      <t>)</t>
    </r>
  </si>
  <si>
    <t>ستارخان</t>
  </si>
  <si>
    <t>صادقیه</t>
  </si>
  <si>
    <t>توحید</t>
  </si>
  <si>
    <t>طرشت</t>
  </si>
  <si>
    <t>فرحزاد</t>
  </si>
  <si>
    <t>C</t>
  </si>
  <si>
    <t>دروس</t>
  </si>
  <si>
    <t>قبا</t>
  </si>
  <si>
    <t>امانیه</t>
  </si>
  <si>
    <t>ونک</t>
  </si>
  <si>
    <t>اختیاریه</t>
  </si>
  <si>
    <t>درب دوم</t>
  </si>
  <si>
    <t>داوودیه</t>
  </si>
  <si>
    <t>کاووسیه</t>
  </si>
  <si>
    <t>قلهک</t>
  </si>
  <si>
    <t>آرارات</t>
  </si>
  <si>
    <r>
      <rPr>
        <sz val="11"/>
        <rFont val="Noto Sans"/>
        <family val="2"/>
      </rPr>
      <t xml:space="preserve">حسن آباد 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زرگنده</t>
    </r>
  </si>
  <si>
    <t>حسن‌آباد، زرگنده</t>
  </si>
  <si>
    <t>سید خندان</t>
  </si>
  <si>
    <r>
      <rPr>
        <sz val="11"/>
        <rFont val="Noto Sans"/>
        <family val="2"/>
      </rPr>
      <t xml:space="preserve">مهران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سیدخندان</t>
    </r>
    <r>
      <rPr>
        <sz val="11"/>
        <rFont val="Tahoma"/>
        <charset val="1"/>
      </rPr>
      <t>)</t>
    </r>
    <r>
      <rPr>
        <sz val="11"/>
        <rFont val="Noto Sans"/>
        <family val="2"/>
      </rPr>
      <t xml:space="preserve">، سید خندان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جلفا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</si>
  <si>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پاسداران 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ضرابخانه</t>
    </r>
  </si>
  <si>
    <t>پاسداران</t>
  </si>
  <si>
    <r>
      <rPr>
        <sz val="11"/>
        <rFont val="Noto Sans"/>
        <family val="2"/>
      </rPr>
      <t xml:space="preserve">حسین آباد 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مبارک آباد</t>
    </r>
  </si>
  <si>
    <t>حسین‌آباد</t>
  </si>
  <si>
    <t>مهران</t>
  </si>
  <si>
    <r>
      <rPr>
        <sz val="11"/>
        <rFont val="Noto Sans"/>
        <family val="2"/>
      </rPr>
      <t xml:space="preserve">مهران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سیدخندان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</si>
  <si>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لویزان  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شیان</t>
    </r>
  </si>
  <si>
    <t>لویزان، بوستان شیان</t>
  </si>
  <si>
    <t>تهرانپارس غربی</t>
  </si>
  <si>
    <t>قنات کوثر</t>
  </si>
  <si>
    <t>قنات‌کوثر</t>
  </si>
  <si>
    <t>نارمک شمالی</t>
  </si>
  <si>
    <t>نارمک</t>
  </si>
  <si>
    <r>
      <rPr>
        <sz val="11"/>
        <rFont val="Noto Sans"/>
        <family val="2"/>
      </rPr>
      <t xml:space="preserve">شمس آباد 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مجیدیه</t>
    </r>
  </si>
  <si>
    <t>شمس‌آباد، مجیدیه</t>
  </si>
  <si>
    <t>حکیمیه</t>
  </si>
  <si>
    <t>گلشن</t>
  </si>
  <si>
    <t>کاظم اباد</t>
  </si>
  <si>
    <t>کالاد</t>
  </si>
  <si>
    <t>علم و صنعت</t>
  </si>
  <si>
    <t>مجید آباد</t>
  </si>
  <si>
    <t>مجیدآباد</t>
  </si>
  <si>
    <t>اوقاف</t>
  </si>
  <si>
    <r>
      <rPr>
        <sz val="11"/>
        <rFont val="Noto Sans"/>
        <family val="2"/>
      </rPr>
      <t>قاسم آباد</t>
    </r>
    <r>
      <rPr>
        <sz val="11"/>
        <rFont val="Tahoma"/>
        <charset val="1"/>
      </rPr>
      <t>-</t>
    </r>
    <r>
      <rPr>
        <sz val="11"/>
        <rFont val="Noto Sans"/>
        <family val="2"/>
      </rPr>
      <t>ده نارمک</t>
    </r>
  </si>
  <si>
    <t>قاسم‌آباد</t>
  </si>
  <si>
    <t>تهرانپارس شرقی</t>
  </si>
  <si>
    <t>جوادیه</t>
  </si>
  <si>
    <t>جوادیه تهرانپارس</t>
  </si>
  <si>
    <t>شمیران نو</t>
  </si>
  <si>
    <t>شمیران‌نو</t>
  </si>
  <si>
    <t>پونک جنوبی</t>
  </si>
  <si>
    <t>پونک شمالی</t>
  </si>
  <si>
    <t>اباذر</t>
  </si>
  <si>
    <t>سازمان برنامه شمالی</t>
  </si>
  <si>
    <t>سازمان برنامه جنوبی</t>
  </si>
  <si>
    <t>اکباتان</t>
  </si>
  <si>
    <t>جنت آباد مرکزی</t>
  </si>
  <si>
    <t>جنت‌آباد مرکزی</t>
  </si>
  <si>
    <t>جنت آباد جنوبی</t>
  </si>
  <si>
    <t>جنت‌آباد جنوبی</t>
  </si>
  <si>
    <t>فردوس</t>
  </si>
  <si>
    <t>شاهین</t>
  </si>
  <si>
    <t>شهرک کوهسار</t>
  </si>
  <si>
    <t>جنت آباد شمالی</t>
  </si>
  <si>
    <t>جنت‌آباد شمالی</t>
  </si>
  <si>
    <t>باغ فیض</t>
  </si>
  <si>
    <t>شهرک پرواز</t>
  </si>
  <si>
    <t>ارم</t>
  </si>
  <si>
    <t>شهران شمالی</t>
  </si>
  <si>
    <t>سازمان آب</t>
  </si>
  <si>
    <t>شهران جنوبی</t>
  </si>
  <si>
    <t>المهدی</t>
  </si>
  <si>
    <t>آپادانا</t>
  </si>
  <si>
    <t>شهرک آپادانا</t>
  </si>
  <si>
    <t>بیمه</t>
  </si>
  <si>
    <t>کوی بیمه</t>
  </si>
  <si>
    <t>بهاران</t>
  </si>
  <si>
    <t>مراد آباد</t>
  </si>
  <si>
    <t>مرادآباد</t>
  </si>
  <si>
    <t>اندیشه</t>
  </si>
  <si>
    <r>
      <rPr>
        <sz val="11"/>
        <rFont val="Noto Sans"/>
        <family val="2"/>
      </rPr>
      <t xml:space="preserve">جوانمردان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اندیشه</t>
    </r>
    <r>
      <rPr>
        <sz val="11"/>
        <rFont val="Tahoma"/>
        <charset val="1"/>
      </rPr>
      <t>)</t>
    </r>
  </si>
  <si>
    <t>شهرزیبا</t>
  </si>
  <si>
    <t>شهر زیبا</t>
  </si>
  <si>
    <t>کن</t>
  </si>
  <si>
    <t>حصارک</t>
  </si>
  <si>
    <t>یوسف اباد</t>
  </si>
  <si>
    <t>یوسف‌آباد</t>
  </si>
  <si>
    <t>نظامی گنجوی</t>
  </si>
  <si>
    <r>
      <rPr>
        <sz val="11"/>
        <rFont val="Noto Sans"/>
        <family val="2"/>
      </rPr>
      <t xml:space="preserve">نظامی گنجوی </t>
    </r>
    <r>
      <rPr>
        <sz val="11"/>
        <rFont val="Tahoma"/>
        <charset val="1"/>
      </rPr>
      <t>(</t>
    </r>
    <r>
      <rPr>
        <sz val="11"/>
        <rFont val="Noto Sans"/>
        <family val="2"/>
      </rPr>
      <t>توانیر</t>
    </r>
    <r>
      <rPr>
        <sz val="11"/>
        <rFont val="Tahoma"/>
        <charset val="1"/>
      </rPr>
      <t>)</t>
    </r>
  </si>
  <si>
    <t>امیرآباد</t>
  </si>
  <si>
    <t>والفجر</t>
  </si>
  <si>
    <t>جهاد</t>
  </si>
  <si>
    <t>سنائی</t>
  </si>
  <si>
    <t>دانشگاه تهران</t>
  </si>
  <si>
    <t>ساعی</t>
  </si>
  <si>
    <t>فاطمی</t>
  </si>
  <si>
    <t>کشاورز</t>
  </si>
  <si>
    <t>بلوار کشاورز</t>
  </si>
  <si>
    <t>بهجت آباد</t>
  </si>
  <si>
    <t>بهجت‌آباد</t>
  </si>
  <si>
    <t>ایرانشهر</t>
  </si>
  <si>
    <t>ولیعصر</t>
  </si>
  <si>
    <t>میدان ولیعصر</t>
  </si>
  <si>
    <t>جمالزاده</t>
  </si>
  <si>
    <t>جمال‌زاده</t>
  </si>
  <si>
    <r>
      <rPr>
        <sz val="11"/>
        <rFont val="Noto Sans"/>
        <family val="2"/>
      </rPr>
      <t>نیلوفر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شهید قندی</t>
    </r>
  </si>
  <si>
    <t>نیلوفر</t>
  </si>
  <si>
    <r>
      <rPr>
        <sz val="11"/>
        <rFont val="Noto Sans"/>
        <family val="2"/>
      </rPr>
      <t xml:space="preserve">عباس آباد 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اندیشه</t>
    </r>
  </si>
  <si>
    <t>عباس‌آباد</t>
  </si>
  <si>
    <r>
      <rPr>
        <sz val="11"/>
        <rFont val="Noto Sans"/>
        <family val="2"/>
      </rPr>
      <t xml:space="preserve">سهروردی 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باغ صبا</t>
    </r>
  </si>
  <si>
    <t>سهروردی</t>
  </si>
  <si>
    <t>بهار</t>
  </si>
  <si>
    <r>
      <rPr>
        <sz val="11"/>
        <rFont val="Noto Sans"/>
        <family val="2"/>
      </rPr>
      <t xml:space="preserve">امجدیه 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خاقانی</t>
    </r>
  </si>
  <si>
    <r>
      <rPr>
        <sz val="11"/>
        <rFont val="Noto Sans"/>
        <family val="2"/>
      </rPr>
      <t xml:space="preserve">امجدیه </t>
    </r>
    <r>
      <rPr>
        <sz val="11"/>
        <rFont val="Tahoma"/>
        <charset val="1"/>
      </rPr>
      <t>(</t>
    </r>
    <r>
      <rPr>
        <sz val="11"/>
        <rFont val="Noto Sans"/>
        <family val="2"/>
      </rPr>
      <t>خاقانی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</si>
  <si>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مجیدیه 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دبستان</t>
    </r>
  </si>
  <si>
    <t>دبستان</t>
  </si>
  <si>
    <t>کاج</t>
  </si>
  <si>
    <t>شاهد</t>
  </si>
  <si>
    <r>
      <rPr>
        <sz val="11"/>
        <rFont val="Noto Sans"/>
        <family val="2"/>
      </rPr>
      <t xml:space="preserve">خواجه نصیر 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حقوقی</t>
    </r>
  </si>
  <si>
    <t>خواجه نصیر طوسی</t>
  </si>
  <si>
    <r>
      <rPr>
        <sz val="11"/>
        <rFont val="Noto Sans"/>
        <family val="2"/>
      </rPr>
      <t xml:space="preserve">قصر 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حشمتیه</t>
    </r>
  </si>
  <si>
    <t>حشمتیه</t>
  </si>
  <si>
    <r>
      <rPr>
        <sz val="11"/>
        <rFont val="Noto Sans"/>
        <family val="2"/>
      </rPr>
      <t xml:space="preserve">دهقان 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گرگان</t>
    </r>
  </si>
  <si>
    <t>دهقان، گرگان</t>
  </si>
  <si>
    <t>ارامنه</t>
  </si>
  <si>
    <t>نظام آباد</t>
  </si>
  <si>
    <t>نظام‌آباد</t>
  </si>
  <si>
    <t>خواجه نظام الملک</t>
  </si>
  <si>
    <t>هفت حوض</t>
  </si>
  <si>
    <t>مدائن</t>
  </si>
  <si>
    <t>فدک</t>
  </si>
  <si>
    <t>دردشت</t>
  </si>
  <si>
    <t>تهرانپارس</t>
  </si>
  <si>
    <t>تهرانپارس غربی، تهرانپارس شرقی</t>
  </si>
  <si>
    <t>مجیدیه</t>
  </si>
  <si>
    <t>کرمان</t>
  </si>
  <si>
    <t>زرکش</t>
  </si>
  <si>
    <t>لشگر غربی</t>
  </si>
  <si>
    <r>
      <rPr>
        <sz val="11"/>
        <rFont val="Noto Sans"/>
        <family val="2"/>
      </rPr>
      <t xml:space="preserve">سبلان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لشگر</t>
    </r>
    <r>
      <rPr>
        <sz val="11"/>
        <rFont val="Tahoma"/>
        <charset val="1"/>
      </rPr>
      <t>)</t>
    </r>
  </si>
  <si>
    <t>لشگرشرقی</t>
  </si>
  <si>
    <t>تسلیحات</t>
  </si>
  <si>
    <t>وحیدیه</t>
  </si>
  <si>
    <t>فرودگاه مهرآباد</t>
  </si>
  <si>
    <t>دستغیب</t>
  </si>
  <si>
    <t>دکتر هوشیار</t>
  </si>
  <si>
    <t>سراسیاب مهراباد</t>
  </si>
  <si>
    <t>امامزاده عبداله</t>
  </si>
  <si>
    <t>محله فتح</t>
  </si>
  <si>
    <t>شمشیری</t>
  </si>
  <si>
    <t>استاد معین</t>
  </si>
  <si>
    <t>مهرآباد جنوبی</t>
  </si>
  <si>
    <t>زنجان جنوبی</t>
  </si>
  <si>
    <t>هاشمی</t>
  </si>
  <si>
    <t>سلسبیل جنوبی</t>
  </si>
  <si>
    <t>سلسبیل شمالی</t>
  </si>
  <si>
    <t>کارون جنوبی</t>
  </si>
  <si>
    <t>کارون شمالی</t>
  </si>
  <si>
    <t>هفت چنار</t>
  </si>
  <si>
    <t>سلیمانی تیموری</t>
  </si>
  <si>
    <t>سلیمانی</t>
  </si>
  <si>
    <r>
      <rPr>
        <sz val="11"/>
        <rFont val="Noto Sans"/>
        <family val="2"/>
      </rPr>
      <t>شبیری</t>
    </r>
    <r>
      <rPr>
        <sz val="11"/>
        <rFont val="Tahoma"/>
        <charset val="1"/>
      </rPr>
      <t>-</t>
    </r>
    <r>
      <rPr>
        <sz val="11"/>
        <rFont val="Noto Sans"/>
        <family val="2"/>
      </rPr>
      <t>جی</t>
    </r>
  </si>
  <si>
    <t>جی</t>
  </si>
  <si>
    <t>بریانک</t>
  </si>
  <si>
    <t>راه آهن</t>
  </si>
  <si>
    <r>
      <rPr>
        <sz val="11"/>
        <rFont val="Noto Sans"/>
        <family val="2"/>
      </rPr>
      <t xml:space="preserve">گلستان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شهرک راه آهن</t>
    </r>
    <r>
      <rPr>
        <sz val="11"/>
        <rFont val="Tahoma"/>
        <charset val="1"/>
      </rPr>
      <t>)</t>
    </r>
  </si>
  <si>
    <t>جمهوری</t>
  </si>
  <si>
    <r>
      <rPr>
        <sz val="11"/>
        <rFont val="Noto Sans"/>
        <family val="2"/>
      </rPr>
      <t xml:space="preserve">انقلاب </t>
    </r>
    <r>
      <rPr>
        <sz val="11"/>
        <rFont val="Tahoma"/>
        <charset val="1"/>
      </rPr>
      <t>-</t>
    </r>
    <r>
      <rPr>
        <sz val="11"/>
        <rFont val="Noto Sans"/>
        <family val="2"/>
      </rPr>
      <t>فلسطین</t>
    </r>
  </si>
  <si>
    <r>
      <rPr>
        <sz val="11"/>
        <rFont val="Noto Sans"/>
        <family val="2"/>
      </rPr>
      <t xml:space="preserve">فلسطین </t>
    </r>
    <r>
      <rPr>
        <sz val="11"/>
        <rFont val="Tahoma"/>
        <charset val="1"/>
      </rPr>
      <t>(</t>
    </r>
    <r>
      <rPr>
        <sz val="11"/>
        <rFont val="Noto Sans"/>
        <family val="2"/>
      </rPr>
      <t>میدان انقلاب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</si>
  <si>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>حشمت الدوله</t>
    </r>
    <r>
      <rPr>
        <sz val="11"/>
        <rFont val="Tahoma"/>
        <charset val="1"/>
      </rPr>
      <t>-</t>
    </r>
    <r>
      <rPr>
        <sz val="11"/>
        <rFont val="Noto Sans"/>
        <family val="2"/>
      </rPr>
      <t>جمالزاده</t>
    </r>
  </si>
  <si>
    <t>منیریه</t>
  </si>
  <si>
    <t>امیریه</t>
  </si>
  <si>
    <t>عباسی</t>
  </si>
  <si>
    <t>آگاهی</t>
  </si>
  <si>
    <t>سلامت</t>
  </si>
  <si>
    <t>انبارنفت</t>
  </si>
  <si>
    <t>هلال احمر</t>
  </si>
  <si>
    <t>شیخ هادی</t>
  </si>
  <si>
    <t>حر</t>
  </si>
  <si>
    <t>اسکندری</t>
  </si>
  <si>
    <r>
      <rPr>
        <sz val="11"/>
        <rFont val="Noto Sans"/>
        <family val="2"/>
      </rPr>
      <t xml:space="preserve">فروزش </t>
    </r>
    <r>
      <rPr>
        <sz val="11"/>
        <rFont val="Tahoma"/>
        <charset val="1"/>
      </rPr>
      <t>-</t>
    </r>
    <r>
      <rPr>
        <sz val="11"/>
        <rFont val="Noto Sans"/>
        <family val="2"/>
      </rPr>
      <t>امیربهادر</t>
    </r>
  </si>
  <si>
    <t>امیر بهادر</t>
  </si>
  <si>
    <t>قلمستان</t>
  </si>
  <si>
    <t>مخصوص</t>
  </si>
  <si>
    <t>بازار</t>
  </si>
  <si>
    <t>ایران</t>
  </si>
  <si>
    <t>دروازه شمیران</t>
  </si>
  <si>
    <t>فردوسی</t>
  </si>
  <si>
    <r>
      <rPr>
        <sz val="11"/>
        <rFont val="Noto Sans"/>
        <family val="2"/>
      </rPr>
      <t>آبشار</t>
    </r>
    <r>
      <rPr>
        <sz val="11"/>
        <rFont val="Tahoma"/>
        <charset val="1"/>
      </rPr>
      <t>-</t>
    </r>
    <r>
      <rPr>
        <sz val="11"/>
        <rFont val="Noto Sans"/>
        <family val="2"/>
      </rPr>
      <t>دردار</t>
    </r>
  </si>
  <si>
    <t>آبشار</t>
  </si>
  <si>
    <t>بهارستان</t>
  </si>
  <si>
    <t>هرندی</t>
  </si>
  <si>
    <t>امامزاده یحیی</t>
  </si>
  <si>
    <t>قیام</t>
  </si>
  <si>
    <r>
      <rPr>
        <sz val="11"/>
        <rFont val="Noto Sans"/>
        <family val="2"/>
      </rPr>
      <t>مختاری</t>
    </r>
    <r>
      <rPr>
        <sz val="11"/>
        <rFont val="Tahoma"/>
        <charset val="1"/>
      </rPr>
      <t>-</t>
    </r>
    <r>
      <rPr>
        <sz val="11"/>
        <rFont val="Noto Sans"/>
        <family val="2"/>
      </rPr>
      <t>تختی</t>
    </r>
  </si>
  <si>
    <t>تختی</t>
  </si>
  <si>
    <t>کوثر</t>
  </si>
  <si>
    <t>سنگلج</t>
  </si>
  <si>
    <r>
      <rPr>
        <sz val="11"/>
        <rFont val="Noto Sans"/>
        <family val="2"/>
      </rPr>
      <t xml:space="preserve">سنگلج </t>
    </r>
    <r>
      <rPr>
        <sz val="11"/>
        <rFont val="Tahoma"/>
        <charset val="1"/>
      </rPr>
      <t>(</t>
    </r>
    <r>
      <rPr>
        <sz val="11"/>
        <rFont val="Noto Sans"/>
        <family val="2"/>
      </rPr>
      <t>شاپور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</si>
  <si>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>ارگ</t>
    </r>
    <r>
      <rPr>
        <sz val="11"/>
        <rFont val="Tahoma"/>
        <charset val="1"/>
      </rPr>
      <t>-</t>
    </r>
    <r>
      <rPr>
        <sz val="11"/>
        <rFont val="Noto Sans"/>
        <family val="2"/>
      </rPr>
      <t>پامنار</t>
    </r>
  </si>
  <si>
    <t>پامنار</t>
  </si>
  <si>
    <t>نیروی هوایی</t>
  </si>
  <si>
    <r>
      <rPr>
        <sz val="11"/>
        <rFont val="Noto Sans"/>
        <family val="2"/>
      </rPr>
      <t xml:space="preserve">نیروی هوایی </t>
    </r>
    <r>
      <rPr>
        <sz val="11"/>
        <rFont val="Tahoma"/>
        <charset val="1"/>
      </rPr>
      <t>(</t>
    </r>
    <r>
      <rPr>
        <sz val="11"/>
        <rFont val="Noto Sans"/>
        <family val="2"/>
      </rPr>
      <t>پیروزی</t>
    </r>
    <r>
      <rPr>
        <sz val="11"/>
        <rFont val="Tahoma"/>
        <charset val="1"/>
      </rPr>
      <t>)</t>
    </r>
  </si>
  <si>
    <t>پیروزی</t>
  </si>
  <si>
    <t>آشتیانی</t>
  </si>
  <si>
    <t>حافظیه</t>
  </si>
  <si>
    <t>قاسم آباد</t>
  </si>
  <si>
    <t>دهقان</t>
  </si>
  <si>
    <t>امامت</t>
  </si>
  <si>
    <t>شورا</t>
  </si>
  <si>
    <t>زینبیه</t>
  </si>
  <si>
    <t>سرخه حصار</t>
  </si>
  <si>
    <t>بوستان سرخه حصار</t>
  </si>
  <si>
    <t>زاهدگیلانی</t>
  </si>
  <si>
    <t>زاهد گیلانی</t>
  </si>
  <si>
    <t>اسدی</t>
  </si>
  <si>
    <t>شهید اسدی</t>
  </si>
  <si>
    <t>صفا</t>
  </si>
  <si>
    <t>پرستار</t>
  </si>
  <si>
    <t>نبی اکرم</t>
  </si>
  <si>
    <t>تاکسیرانی</t>
  </si>
  <si>
    <t>ابوذر</t>
  </si>
  <si>
    <t>صددستگاه</t>
  </si>
  <si>
    <t>صد دستگاه</t>
  </si>
  <si>
    <t>شهدای گمنام</t>
  </si>
  <si>
    <t>حسین آباد دولاب</t>
  </si>
  <si>
    <t>گذر پایین دولاب</t>
  </si>
  <si>
    <t>صاحب الزمان</t>
  </si>
  <si>
    <t>دلگشا</t>
  </si>
  <si>
    <t>عارف</t>
  </si>
  <si>
    <t>قصرفیروزه</t>
  </si>
  <si>
    <t>چهارصددستگاه</t>
  </si>
  <si>
    <t>چهارصد دستگاه</t>
  </si>
  <si>
    <t>شکوفه</t>
  </si>
  <si>
    <t>سرآسیاب دولاب</t>
  </si>
  <si>
    <r>
      <rPr>
        <sz val="11"/>
        <rFont val="Noto Sans"/>
        <family val="2"/>
      </rPr>
      <t xml:space="preserve">آهنگران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سراسیاب دولاب</t>
    </r>
    <r>
      <rPr>
        <sz val="11"/>
        <rFont val="Tahoma"/>
        <charset val="1"/>
      </rPr>
      <t>)</t>
    </r>
  </si>
  <si>
    <t>مینا</t>
  </si>
  <si>
    <t>مینای جنوبی</t>
  </si>
  <si>
    <t>شیوا</t>
  </si>
  <si>
    <t>دولاب</t>
  </si>
  <si>
    <t>افسریه شمالی</t>
  </si>
  <si>
    <t>بروجردی</t>
  </si>
  <si>
    <t>کیان شهر شمالی</t>
  </si>
  <si>
    <t>کیانشهر</t>
  </si>
  <si>
    <t>کیان شهرجنوبی</t>
  </si>
  <si>
    <t>مسعودیه</t>
  </si>
  <si>
    <t>مشیریه</t>
  </si>
  <si>
    <t>افسریه جنوبی</t>
  </si>
  <si>
    <r>
      <rPr>
        <sz val="11"/>
        <rFont val="Noto Sans"/>
        <family val="2"/>
      </rPr>
      <t>اسلام آباد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والفجر</t>
    </r>
  </si>
  <si>
    <t>مطهری</t>
  </si>
  <si>
    <t>مظاهری</t>
  </si>
  <si>
    <t>طیب</t>
  </si>
  <si>
    <r>
      <rPr>
        <sz val="11"/>
        <rFont val="Noto Sans"/>
        <family val="2"/>
      </rPr>
      <t>ولیعصر</t>
    </r>
    <r>
      <rPr>
        <sz val="11"/>
        <rFont val="Tahoma"/>
        <charset val="1"/>
      </rPr>
      <t xml:space="preserve">- </t>
    </r>
    <r>
      <rPr>
        <sz val="11"/>
        <rFont val="Noto Sans"/>
        <family val="2"/>
      </rPr>
      <t>بی سیم</t>
    </r>
  </si>
  <si>
    <t>بیسیم</t>
  </si>
  <si>
    <t>هاشم آباد</t>
  </si>
  <si>
    <t>هاشم‌آباد</t>
  </si>
  <si>
    <t>مینابی</t>
  </si>
  <si>
    <t>رضویه</t>
  </si>
  <si>
    <t>شهرک رضویه</t>
  </si>
  <si>
    <t>اتابک</t>
  </si>
  <si>
    <t>شوش</t>
  </si>
  <si>
    <r>
      <rPr>
        <sz val="11"/>
        <rFont val="Noto Sans"/>
        <family val="2"/>
      </rPr>
      <t xml:space="preserve">شوش، شوش </t>
    </r>
    <r>
      <rPr>
        <sz val="11"/>
        <rFont val="Tahoma"/>
        <charset val="1"/>
      </rPr>
      <t>(</t>
    </r>
    <r>
      <rPr>
        <sz val="11"/>
        <rFont val="Noto Sans"/>
        <family val="2"/>
      </rPr>
      <t>باغ آذری</t>
    </r>
    <r>
      <rPr>
        <sz val="11"/>
        <rFont val="Tahoma"/>
        <charset val="1"/>
      </rPr>
      <t>)</t>
    </r>
  </si>
  <si>
    <t>شهرک ابوذر</t>
  </si>
  <si>
    <t>نازی آباد</t>
  </si>
  <si>
    <t>نازی‌آباد</t>
  </si>
  <si>
    <t>یاخچی آباد</t>
  </si>
  <si>
    <t>یاخجی آباد</t>
  </si>
  <si>
    <t>شهرک بعثت</t>
  </si>
  <si>
    <t>خزانه</t>
  </si>
  <si>
    <t>علی آباد جنوبی</t>
  </si>
  <si>
    <t>علی‌آباد</t>
  </si>
  <si>
    <t>علی آبادشمالی</t>
  </si>
  <si>
    <t>باغ آذری</t>
  </si>
  <si>
    <r>
      <rPr>
        <sz val="11"/>
        <rFont val="Noto Sans"/>
        <family val="2"/>
      </rPr>
      <t xml:space="preserve">شوش </t>
    </r>
    <r>
      <rPr>
        <sz val="11"/>
        <rFont val="Tahoma"/>
        <charset val="1"/>
      </rPr>
      <t>(</t>
    </r>
    <r>
      <rPr>
        <sz val="11"/>
        <rFont val="Noto Sans"/>
        <family val="2"/>
      </rPr>
      <t>باغ آذری</t>
    </r>
    <r>
      <rPr>
        <sz val="11"/>
        <rFont val="Tahoma"/>
        <charset val="1"/>
      </rPr>
      <t>)</t>
    </r>
  </si>
  <si>
    <t>باغ خزانه</t>
  </si>
  <si>
    <t>گلچین</t>
  </si>
  <si>
    <t>بلورسازی</t>
  </si>
  <si>
    <t>سجاد</t>
  </si>
  <si>
    <t>ابوذرشرقی</t>
  </si>
  <si>
    <t>ابوذرغربی</t>
  </si>
  <si>
    <t>آذری</t>
  </si>
  <si>
    <t>جلیلی</t>
  </si>
  <si>
    <t>مقدم</t>
  </si>
  <si>
    <t>یافت آباد</t>
  </si>
  <si>
    <t>یافت‌آباد</t>
  </si>
  <si>
    <t>امام زاده حسن</t>
  </si>
  <si>
    <t>زمزم</t>
  </si>
  <si>
    <t>زهتابی</t>
  </si>
  <si>
    <t>وصفنارد</t>
  </si>
  <si>
    <t>تولید دارو</t>
  </si>
  <si>
    <t>بهداشت</t>
  </si>
  <si>
    <t>خلیج فارس شمالی</t>
  </si>
  <si>
    <t>خلیج فارس</t>
  </si>
  <si>
    <t>خلیج فارس جنوبی</t>
  </si>
  <si>
    <r>
      <rPr>
        <sz val="11"/>
        <rFont val="Noto Sans"/>
        <family val="2"/>
      </rPr>
      <t xml:space="preserve">شهرک فردوس </t>
    </r>
    <r>
      <rPr>
        <sz val="11"/>
        <rFont val="Tahoma"/>
        <charset val="1"/>
      </rPr>
      <t>(</t>
    </r>
    <r>
      <rPr>
        <sz val="11"/>
        <rFont val="Noto Sans"/>
        <family val="2"/>
      </rPr>
      <t>حسینی</t>
    </r>
    <r>
      <rPr>
        <sz val="11"/>
        <rFont val="Tahoma"/>
        <charset val="1"/>
      </rPr>
      <t>)</t>
    </r>
  </si>
  <si>
    <t>هفده شهریور</t>
  </si>
  <si>
    <t>شاد آباد</t>
  </si>
  <si>
    <t>شادآباد</t>
  </si>
  <si>
    <t>شمس آباد</t>
  </si>
  <si>
    <t>نوروزآباد</t>
  </si>
  <si>
    <t>امام خمینی</t>
  </si>
  <si>
    <t>ولی عصر شمالی</t>
  </si>
  <si>
    <t>شهرک ولیعصر جنوبی</t>
  </si>
  <si>
    <t>ولی عصر جنوبی</t>
  </si>
  <si>
    <t>شهید رجایی</t>
  </si>
  <si>
    <t>یافت آباد شمالی</t>
  </si>
  <si>
    <t>سعید آباد</t>
  </si>
  <si>
    <t>سعیدآباد</t>
  </si>
  <si>
    <t>یافت آباد جنوبی</t>
  </si>
  <si>
    <t>خانی آباد جنوبی</t>
  </si>
  <si>
    <t>خانی آباد نو جنوبی</t>
  </si>
  <si>
    <t>شکوفه جنوبی</t>
  </si>
  <si>
    <t>شکوفه شمالی</t>
  </si>
  <si>
    <t>بهمنیار</t>
  </si>
  <si>
    <t>بهمن یار</t>
  </si>
  <si>
    <t>شریعتی جنوبی</t>
  </si>
  <si>
    <t>شهرک شریعتی</t>
  </si>
  <si>
    <t>شریعتی شمالی</t>
  </si>
  <si>
    <r>
      <rPr>
        <sz val="11"/>
        <rFont val="Tahoma"/>
        <charset val="1"/>
      </rPr>
      <t>(</t>
    </r>
    <r>
      <rPr>
        <sz val="11"/>
        <rFont val="Noto Sans"/>
        <family val="2"/>
      </rPr>
      <t xml:space="preserve">اسفندیاری </t>
    </r>
    <r>
      <rPr>
        <sz val="11"/>
        <rFont val="Tahoma"/>
        <charset val="1"/>
      </rPr>
      <t>(</t>
    </r>
    <r>
      <rPr>
        <sz val="11"/>
        <rFont val="Noto Sans"/>
        <family val="2"/>
      </rPr>
      <t>بستان</t>
    </r>
  </si>
  <si>
    <t>اسفندیاری</t>
  </si>
  <si>
    <t>شهید کاظمی</t>
  </si>
  <si>
    <t>اسماعیل آباد</t>
  </si>
  <si>
    <t>بوستان ولایت</t>
  </si>
  <si>
    <t>خانی آباد شمالی</t>
  </si>
  <si>
    <t>خانی‌آباد</t>
  </si>
  <si>
    <t>دولتخواه جنوبی</t>
  </si>
  <si>
    <t>دولتخواه شمالی</t>
  </si>
  <si>
    <t>نعمت آباد</t>
  </si>
  <si>
    <t>نعمت‌آباد</t>
  </si>
  <si>
    <t>دولت آباد</t>
  </si>
  <si>
    <t>شهادت</t>
  </si>
  <si>
    <t>سیزده آبان</t>
  </si>
  <si>
    <t>دیلمان</t>
  </si>
  <si>
    <t>فیروزآبادی</t>
  </si>
  <si>
    <t>ظهیرآباد</t>
  </si>
  <si>
    <t>جوانمرد قصاب</t>
  </si>
  <si>
    <t>اقدسیه</t>
  </si>
  <si>
    <t>حمزه آباد</t>
  </si>
  <si>
    <t>نفرآباد، هاشم آباد</t>
  </si>
  <si>
    <t>منصوریه منگل</t>
  </si>
  <si>
    <t>استخر</t>
  </si>
  <si>
    <t>ولی آباد</t>
  </si>
  <si>
    <t>صفائیه</t>
  </si>
  <si>
    <t>ابن بابویه</t>
  </si>
  <si>
    <t>تقی آباد</t>
  </si>
  <si>
    <t>سرتخت</t>
  </si>
  <si>
    <t>علائین</t>
  </si>
  <si>
    <t>شهرک پاسداران</t>
  </si>
  <si>
    <t>شهرک دریا</t>
  </si>
  <si>
    <t>ویلاشهر</t>
  </si>
  <si>
    <r>
      <rPr>
        <sz val="11"/>
        <rFont val="Noto Sans"/>
        <family val="2"/>
      </rPr>
      <t>شهرک فرهنگیان</t>
    </r>
    <r>
      <rPr>
        <sz val="11"/>
        <rFont val="Tahoma"/>
        <charset val="1"/>
      </rPr>
      <t>-</t>
    </r>
    <r>
      <rPr>
        <sz val="11"/>
        <rFont val="Noto Sans"/>
        <family val="2"/>
      </rPr>
      <t>آزادی</t>
    </r>
  </si>
  <si>
    <t>شهرک فرهنگیان، شهرک آزادی</t>
  </si>
  <si>
    <t>باشگاه نفت</t>
  </si>
  <si>
    <t>شهرک شهرداری</t>
  </si>
  <si>
    <t>چیتگر شمالی</t>
  </si>
  <si>
    <t>شهرک چیتگر</t>
  </si>
  <si>
    <t>تهرانسر غربی</t>
  </si>
  <si>
    <t>تهرانسر شرقی</t>
  </si>
  <si>
    <t>وردآورد</t>
  </si>
  <si>
    <t>شهرک غزالی</t>
  </si>
  <si>
    <t>چیتگر جنوبی</t>
  </si>
  <si>
    <t>شهرک استقلال</t>
  </si>
  <si>
    <t>صدرا</t>
  </si>
  <si>
    <t>شهرک صدرا</t>
  </si>
  <si>
    <t>کوهک</t>
  </si>
  <si>
    <t>دریاچه شهدای خلیج فارس</t>
  </si>
  <si>
    <t>زیبادشت</t>
  </si>
  <si>
    <t>دهکده المپیک</t>
  </si>
  <si>
    <t>گلستان</t>
  </si>
  <si>
    <t>قائم</t>
  </si>
  <si>
    <t>سرو آزاد</t>
  </si>
  <si>
    <t>شریف</t>
  </si>
  <si>
    <t>شهرک دانشگاه شریف، دانشگاه شریف</t>
  </si>
  <si>
    <t>هوانیروز</t>
  </si>
  <si>
    <t>شهید باقری</t>
  </si>
  <si>
    <t>شهرک شهید باقری</t>
  </si>
  <si>
    <r>
      <rPr>
        <b/>
        <sz val="11"/>
        <color rgb="FFFFFFFF"/>
        <rFont val="Noto Sans"/>
        <family val="2"/>
      </rPr>
      <t xml:space="preserve">جمعیت ۱۳۹۵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سرشماری</t>
    </r>
    <r>
      <rPr>
        <b/>
        <sz val="11"/>
        <color rgb="FFFFFFFF"/>
        <rFont val="Tahoma"/>
        <charset val="1"/>
      </rPr>
      <t>)</t>
    </r>
  </si>
  <si>
    <r>
      <rPr>
        <b/>
        <sz val="11"/>
        <color rgb="FFFFFFFF"/>
        <rFont val="Noto Sans"/>
        <family val="2"/>
      </rPr>
      <t xml:space="preserve">خانوار ۱۳۹۵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سرشماری</t>
    </r>
    <r>
      <rPr>
        <b/>
        <sz val="11"/>
        <color rgb="FFFFFFFF"/>
        <rFont val="Tahoma"/>
        <charset val="1"/>
      </rPr>
      <t>)</t>
    </r>
  </si>
  <si>
    <t>بُعد خانوار</t>
  </si>
  <si>
    <r>
      <rPr>
        <b/>
        <sz val="11"/>
        <color rgb="FFFFFFFF"/>
        <rFont val="Noto Sans"/>
        <family val="2"/>
      </rPr>
      <t xml:space="preserve">نسبت درآمد سرانه منطقه به شهر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مدل</t>
    </r>
    <r>
      <rPr>
        <b/>
        <sz val="11"/>
        <color rgb="FFFFFFFF"/>
        <rFont val="Tahoma"/>
        <charset val="1"/>
      </rPr>
      <t>)</t>
    </r>
  </si>
  <si>
    <r>
      <rPr>
        <b/>
        <sz val="11"/>
        <color rgb="FFFFFFFF"/>
        <rFont val="Noto Sans"/>
        <family val="2"/>
      </rPr>
      <t xml:space="preserve">نسبت هزینه سرانه به شهر در ۱۳۸۷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طرح هزینه و درآمد</t>
    </r>
    <r>
      <rPr>
        <b/>
        <sz val="11"/>
        <color rgb="FFFFFFFF"/>
        <rFont val="Tahoma"/>
        <charset val="1"/>
      </rPr>
      <t>)</t>
    </r>
  </si>
  <si>
    <t>خانوارهای برآوردی محلات</t>
  </si>
  <si>
    <r>
      <rPr>
        <b/>
        <sz val="11"/>
        <color rgb="FFFFFFFF"/>
        <rFont val="Noto Sans"/>
        <family val="2"/>
      </rPr>
      <t xml:space="preserve">میانگین وزنی قیمت هر متر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میلیون تومان</t>
    </r>
    <r>
      <rPr>
        <b/>
        <sz val="11"/>
        <color rgb="FFFFFFFF"/>
        <rFont val="Tahoma"/>
        <charset val="1"/>
      </rPr>
      <t>)</t>
    </r>
  </si>
  <si>
    <r>
      <rPr>
        <b/>
        <sz val="11"/>
        <color rgb="FFFFFFFF"/>
        <rFont val="Noto Sans"/>
        <family val="2"/>
      </rPr>
      <t xml:space="preserve">میانگین وزنی درآمد خانوار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میلیون تومان</t>
    </r>
    <r>
      <rPr>
        <b/>
        <sz val="11"/>
        <color rgb="FFFFFFFF"/>
        <rFont val="Tahoma"/>
        <charset val="1"/>
      </rPr>
      <t>)</t>
    </r>
  </si>
  <si>
    <r>
      <rPr>
        <b/>
        <sz val="11"/>
        <color rgb="FFFFFFFF"/>
        <rFont val="Noto Sans"/>
        <family val="2"/>
      </rPr>
      <t xml:space="preserve">میانگین وزنی </t>
    </r>
    <r>
      <rPr>
        <b/>
        <sz val="11"/>
        <color rgb="FFFFFFFF"/>
        <rFont val="Tahoma"/>
        <charset val="1"/>
      </rPr>
      <t xml:space="preserve">PIR </t>
    </r>
    <r>
      <rPr>
        <b/>
        <sz val="11"/>
        <color rgb="FFFFFFFF"/>
        <rFont val="Noto Sans"/>
        <family val="2"/>
      </rPr>
      <t>ساکنان</t>
    </r>
  </si>
  <si>
    <r>
      <rPr>
        <b/>
        <sz val="11"/>
        <color rgb="FFFFFFFF"/>
        <rFont val="Noto Sans"/>
        <family val="2"/>
      </rPr>
      <t xml:space="preserve">میانگین وزنی </t>
    </r>
    <r>
      <rPr>
        <b/>
        <sz val="11"/>
        <color rgb="FFFFFFFF"/>
        <rFont val="Tahoma"/>
        <charset val="1"/>
      </rPr>
      <t xml:space="preserve">PIR </t>
    </r>
    <r>
      <rPr>
        <b/>
        <sz val="11"/>
        <color rgb="FFFFFFFF"/>
        <rFont val="Noto Sans"/>
        <family val="2"/>
      </rPr>
      <t>خانوار متوسط تهران</t>
    </r>
  </si>
  <si>
    <t>کمترین قیمت هر متر محله</t>
  </si>
  <si>
    <t>بیشترین قیمت هر متر محله</t>
  </si>
  <si>
    <r>
      <rPr>
        <b/>
        <sz val="11"/>
        <color rgb="FFFFFFFF"/>
        <rFont val="Noto Sans"/>
        <family val="2"/>
      </rPr>
      <t xml:space="preserve">پوشش داده قیمت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محلات دارای آگهی</t>
    </r>
    <r>
      <rPr>
        <b/>
        <sz val="11"/>
        <color rgb="FFFFFFFF"/>
        <rFont val="Tahoma"/>
        <charset val="1"/>
      </rPr>
      <t>/</t>
    </r>
    <r>
      <rPr>
        <b/>
        <sz val="11"/>
        <color rgb="FFFFFFFF"/>
        <rFont val="Noto Sans"/>
        <family val="2"/>
      </rPr>
      <t>کل</t>
    </r>
    <r>
      <rPr>
        <b/>
        <sz val="11"/>
        <color rgb="FFFFFFFF"/>
        <rFont val="Tahoma"/>
        <charset val="1"/>
      </rPr>
      <t>)</t>
    </r>
  </si>
  <si>
    <r>
      <rPr>
        <sz val="11"/>
        <rFont val="Noto Sans"/>
        <family val="2"/>
      </rPr>
      <t xml:space="preserve">≈ ۲ </t>
    </r>
    <r>
      <rPr>
        <sz val="11"/>
        <rFont val="Tahoma"/>
        <charset val="1"/>
      </rPr>
      <t>(</t>
    </r>
    <r>
      <rPr>
        <sz val="11"/>
        <rFont val="Noto Sans"/>
        <family val="2"/>
      </rPr>
      <t>دو برابر</t>
    </r>
    <r>
      <rPr>
        <sz val="11"/>
        <rFont val="Tahoma"/>
        <charset val="1"/>
      </rPr>
      <t>)</t>
    </r>
  </si>
  <si>
    <r>
      <rPr>
        <sz val="11"/>
        <rFont val="Noto Sans"/>
        <family val="2"/>
      </rPr>
      <t xml:space="preserve">≈ ۰٫۵ </t>
    </r>
    <r>
      <rPr>
        <sz val="11"/>
        <rFont val="Tahoma"/>
        <charset val="1"/>
      </rPr>
      <t>(</t>
    </r>
    <r>
      <rPr>
        <sz val="11"/>
        <rFont val="Noto Sans"/>
        <family val="2"/>
      </rPr>
      <t>نصف</t>
    </r>
    <r>
      <rPr>
        <sz val="11"/>
        <rFont val="Tahoma"/>
        <charset val="1"/>
      </rPr>
      <t>)</t>
    </r>
  </si>
  <si>
    <t>کل شهر</t>
  </si>
  <si>
    <t>کد محله دیوار</t>
  </si>
  <si>
    <t>نام محله دیوار</t>
  </si>
  <si>
    <t>آگهی فروش معتبر</t>
  </si>
  <si>
    <r>
      <rPr>
        <b/>
        <sz val="11"/>
        <color rgb="FFFFFFFF"/>
        <rFont val="Noto Sans"/>
        <family val="2"/>
      </rPr>
      <t xml:space="preserve">قیمت میانه هر متر فروش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میلیون تومان</t>
    </r>
    <r>
      <rPr>
        <b/>
        <sz val="11"/>
        <color rgb="FFFFFFFF"/>
        <rFont val="Tahoma"/>
        <charset val="1"/>
      </rPr>
      <t>)</t>
    </r>
  </si>
  <si>
    <t>آگهی اجاره معتبر</t>
  </si>
  <si>
    <r>
      <rPr>
        <b/>
        <sz val="11"/>
        <color rgb="FFFFFFFF"/>
        <rFont val="Noto Sans"/>
        <family val="2"/>
      </rPr>
      <t xml:space="preserve">رهن کامل معادل میانه هر متر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میلیون تومان</t>
    </r>
    <r>
      <rPr>
        <b/>
        <sz val="11"/>
        <color rgb="FFFFFFFF"/>
        <rFont val="Tahoma"/>
        <charset val="1"/>
      </rPr>
      <t>)</t>
    </r>
  </si>
  <si>
    <r>
      <rPr>
        <b/>
        <sz val="11"/>
        <color rgb="FFFFFFFF"/>
        <rFont val="Noto Sans"/>
        <family val="2"/>
      </rPr>
      <t xml:space="preserve">اجاره ماهانه معادل هر متر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Noto Sans"/>
        <family val="2"/>
      </rPr>
      <t>هزار تومان</t>
    </r>
    <r>
      <rPr>
        <b/>
        <sz val="11"/>
        <color rgb="FFFFFFFF"/>
        <rFont val="Tahoma"/>
        <charset val="1"/>
      </rPr>
      <t>)</t>
    </r>
  </si>
  <si>
    <t>نسبت قیمت به اجاره سالانه</t>
  </si>
  <si>
    <t>متراژ میانه فروش</t>
  </si>
  <si>
    <t>متراژ میانه اجاره</t>
  </si>
  <si>
    <t>الهیه</t>
  </si>
  <si>
    <t>کامرانیه</t>
  </si>
  <si>
    <t>شهرک غرب</t>
  </si>
  <si>
    <t>آجودانیه</t>
  </si>
  <si>
    <t>پردیسان</t>
  </si>
  <si>
    <t>هزارسنگ</t>
  </si>
  <si>
    <t>میرداماد</t>
  </si>
  <si>
    <t>ده‌ونک</t>
  </si>
  <si>
    <t>ظفر</t>
  </si>
  <si>
    <t>درختی</t>
  </si>
  <si>
    <t>جردن</t>
  </si>
  <si>
    <t>هروی</t>
  </si>
  <si>
    <t>شیراز</t>
  </si>
  <si>
    <t>زرگنده</t>
  </si>
  <si>
    <r>
      <rPr>
        <sz val="11"/>
        <rFont val="Noto Sans"/>
        <family val="2"/>
      </rPr>
      <t xml:space="preserve">سید خندان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جلفا</t>
    </r>
    <r>
      <rPr>
        <sz val="11"/>
        <rFont val="Tahoma"/>
        <charset val="1"/>
      </rPr>
      <t>)</t>
    </r>
  </si>
  <si>
    <t>آرژانتین</t>
  </si>
  <si>
    <t>شهرک امید</t>
  </si>
  <si>
    <t>قزل قلعه</t>
  </si>
  <si>
    <t>بوستان شیان</t>
  </si>
  <si>
    <t>بنی‌هاشم</t>
  </si>
  <si>
    <t>دریان‌نو</t>
  </si>
  <si>
    <t>گاندی</t>
  </si>
  <si>
    <t>شمس‌آباد</t>
  </si>
  <si>
    <t>لویزان</t>
  </si>
  <si>
    <t>نصرت</t>
  </si>
  <si>
    <t>شادمان</t>
  </si>
  <si>
    <t>دانشگاه شریف</t>
  </si>
  <si>
    <t>ائمه اطهار</t>
  </si>
  <si>
    <t>نارمک جنوبی</t>
  </si>
  <si>
    <t>تهران‌نو</t>
  </si>
  <si>
    <t>نجات اللهی</t>
  </si>
  <si>
    <r>
      <rPr>
        <sz val="11"/>
        <rFont val="Noto Sans"/>
        <family val="2"/>
      </rPr>
      <t xml:space="preserve">آبشار تهران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دریاچه</t>
    </r>
    <r>
      <rPr>
        <sz val="11"/>
        <rFont val="Tahoma"/>
        <charset val="1"/>
      </rPr>
      <t>)</t>
    </r>
  </si>
  <si>
    <t>آهنگ</t>
  </si>
  <si>
    <t>شهرک آزادی</t>
  </si>
  <si>
    <t>آذربایجان</t>
  </si>
  <si>
    <t>شهرک فرهنگیان</t>
  </si>
  <si>
    <t>شهرک دانشگاه شریف</t>
  </si>
  <si>
    <t>اتحاد</t>
  </si>
  <si>
    <t>شارق</t>
  </si>
  <si>
    <t>شهرک انصار</t>
  </si>
  <si>
    <t>گرگان</t>
  </si>
  <si>
    <t>شکیبا</t>
  </si>
  <si>
    <t>امام حسین</t>
  </si>
  <si>
    <t>جیحون</t>
  </si>
  <si>
    <t>شهمیرزادی</t>
  </si>
  <si>
    <t>مهرآباد</t>
  </si>
  <si>
    <t>جابری</t>
  </si>
  <si>
    <t>نیکنام</t>
  </si>
  <si>
    <t>حسن‌آباد</t>
  </si>
  <si>
    <t>خرمشهر</t>
  </si>
  <si>
    <t>فلاح</t>
  </si>
  <si>
    <t>خاوران</t>
  </si>
  <si>
    <t>شهرک طالقانی</t>
  </si>
  <si>
    <t>گمرک</t>
  </si>
  <si>
    <t>مسگرآباد</t>
  </si>
  <si>
    <t>شهرک دانشگاه</t>
  </si>
  <si>
    <t>شهرک شریفی</t>
  </si>
  <si>
    <t>عبدل‌آباد</t>
  </si>
  <si>
    <t>خاک سفید</t>
  </si>
  <si>
    <t>مولوی</t>
  </si>
  <si>
    <t>امین حضور</t>
  </si>
  <si>
    <t>سیروس</t>
  </si>
  <si>
    <t>شهرک آسمان</t>
  </si>
  <si>
    <t>شهرک امام خمینی</t>
  </si>
  <si>
    <t>قصر فیروزه ۲</t>
  </si>
  <si>
    <t>روش، کالیبراسیون و اعتبارسنجی</t>
  </si>
  <si>
    <r>
      <rPr>
        <sz val="11"/>
        <rFont val="Noto Sans"/>
        <family val="2"/>
      </rPr>
      <t>۱</t>
    </r>
    <r>
      <rPr>
        <sz val="11"/>
        <rFont val="Tahoma"/>
        <charset val="1"/>
      </rPr>
      <t xml:space="preserve">) </t>
    </r>
    <r>
      <rPr>
        <sz val="11"/>
        <rFont val="Noto Sans"/>
        <family val="2"/>
      </rPr>
      <t>قیمت فروش</t>
    </r>
    <r>
      <rPr>
        <sz val="11"/>
        <rFont val="Tahoma"/>
        <charset val="1"/>
      </rPr>
      <t xml:space="preserve">: </t>
    </r>
    <r>
      <rPr>
        <sz val="11"/>
        <rFont val="Noto Sans"/>
        <family val="2"/>
      </rPr>
      <t xml:space="preserve">میانه قیمت درخواستی هر متر در آگهی‌های فروش آپارتمان دیوار </t>
    </r>
    <r>
      <rPr>
        <sz val="11"/>
        <rFont val="Tahoma"/>
        <charset val="1"/>
      </rPr>
      <t>(</t>
    </r>
    <r>
      <rPr>
        <sz val="11"/>
        <rFont val="Noto Sans"/>
        <family val="2"/>
      </rPr>
      <t>مهر ۱۴۰۵</t>
    </r>
    <r>
      <rPr>
        <sz val="11"/>
        <rFont val="Tahoma"/>
        <charset val="1"/>
      </rPr>
      <t>)</t>
    </r>
    <r>
      <rPr>
        <sz val="11"/>
        <rFont val="Noto Sans"/>
        <family val="2"/>
      </rPr>
      <t>، با حذف آگهی‌های تکراری</t>
    </r>
    <r>
      <rPr>
        <sz val="11"/>
        <rFont val="Tahoma"/>
        <charset val="1"/>
      </rPr>
      <t>/</t>
    </r>
    <r>
      <rPr>
        <sz val="11"/>
        <rFont val="Noto Sans"/>
        <family val="2"/>
      </rPr>
      <t>محله دیگر</t>
    </r>
    <r>
      <rPr>
        <sz val="11"/>
        <rFont val="Tahoma"/>
        <charset val="1"/>
      </rPr>
      <t>/</t>
    </r>
    <r>
      <rPr>
        <sz val="11"/>
        <rFont val="Noto Sans"/>
        <family val="2"/>
      </rPr>
      <t xml:space="preserve">پرت؛ متراژ از عنوان آگهی </t>
    </r>
    <r>
      <rPr>
        <sz val="11"/>
        <rFont val="Tahoma"/>
        <charset val="1"/>
      </rPr>
      <t>(</t>
    </r>
    <r>
      <rPr>
        <sz val="11"/>
        <rFont val="Noto Sans"/>
        <family val="2"/>
      </rPr>
      <t>دقت ۹۷٫۷٪ در مقایسه با ۱۳۰ آگهی کامل</t>
    </r>
    <r>
      <rPr>
        <sz val="11"/>
        <rFont val="Tahoma"/>
        <charset val="1"/>
      </rPr>
      <t xml:space="preserve">). </t>
    </r>
    <r>
      <rPr>
        <sz val="11"/>
        <rFont val="Noto Sans"/>
        <family val="2"/>
      </rPr>
      <t>لگاریتم قیمت محلات کم‌آگهی به میانگین منطقه منقبض شد</t>
    </r>
    <r>
      <rPr>
        <sz val="11"/>
        <rFont val="Tahoma"/>
        <charset val="1"/>
      </rPr>
      <t>.</t>
    </r>
  </si>
  <si>
    <r>
      <rPr>
        <sz val="11"/>
        <rFont val="Noto Sans"/>
        <family val="2"/>
      </rPr>
      <t>۲</t>
    </r>
    <r>
      <rPr>
        <sz val="11"/>
        <rFont val="Tahoma"/>
        <charset val="1"/>
      </rPr>
      <t xml:space="preserve">) </t>
    </r>
    <r>
      <rPr>
        <sz val="11"/>
        <rFont val="Noto Sans"/>
        <family val="2"/>
      </rPr>
      <t>اجاره</t>
    </r>
    <r>
      <rPr>
        <sz val="11"/>
        <rFont val="Tahoma"/>
        <charset val="1"/>
      </rPr>
      <t xml:space="preserve">: </t>
    </r>
    <r>
      <rPr>
        <sz val="11"/>
        <rFont val="Noto Sans"/>
        <family val="2"/>
      </rPr>
      <t xml:space="preserve">۲۶٬۹۰۰ آگهی اجاره دیوار </t>
    </r>
    <r>
      <rPr>
        <sz val="11"/>
        <rFont val="Tahoma"/>
        <charset val="1"/>
      </rPr>
      <t>(</t>
    </r>
    <r>
      <rPr>
        <sz val="11"/>
        <rFont val="Noto Sans"/>
        <family val="2"/>
      </rPr>
      <t>۱۸٬۶۸۲ معتبر</t>
    </r>
    <r>
      <rPr>
        <sz val="11"/>
        <rFont val="Tahoma"/>
        <charset val="1"/>
      </rPr>
      <t>)</t>
    </r>
    <r>
      <rPr>
        <sz val="11"/>
        <rFont val="Noto Sans"/>
        <family val="2"/>
      </rPr>
      <t xml:space="preserve">؛ رهن کامل معادل </t>
    </r>
    <r>
      <rPr>
        <sz val="11"/>
        <rFont val="Tahoma"/>
        <charset val="1"/>
      </rPr>
      <t xml:space="preserve">= </t>
    </r>
    <r>
      <rPr>
        <sz val="11"/>
        <rFont val="Noto Sans"/>
        <family val="2"/>
      </rPr>
      <t xml:space="preserve">ودیعه </t>
    </r>
    <r>
      <rPr>
        <sz val="11"/>
        <rFont val="Tahoma"/>
        <charset val="1"/>
      </rPr>
      <t xml:space="preserve">+ </t>
    </r>
    <r>
      <rPr>
        <sz val="11"/>
        <rFont val="Noto Sans"/>
        <family val="2"/>
      </rPr>
      <t xml:space="preserve">اجاره ماهانه </t>
    </r>
    <r>
      <rPr>
        <sz val="11"/>
        <rFont val="Tahoma"/>
        <charset val="1"/>
      </rPr>
      <t xml:space="preserve">÷ </t>
    </r>
    <r>
      <rPr>
        <sz val="11"/>
        <rFont val="Noto Sans"/>
        <family val="2"/>
      </rPr>
      <t>۰٫۰۳</t>
    </r>
    <r>
      <rPr>
        <sz val="11"/>
        <rFont val="Tahoma"/>
        <charset val="1"/>
      </rPr>
      <t xml:space="preserve">. </t>
    </r>
    <r>
      <rPr>
        <sz val="11"/>
        <rFont val="Noto Sans"/>
        <family val="2"/>
      </rPr>
      <t xml:space="preserve">برای محلات بدون آگهی اجاره، از نسبت میانه قیمت به رهن کامل در شهر </t>
    </r>
    <r>
      <rPr>
        <sz val="11"/>
        <rFont val="Tahoma"/>
        <charset val="1"/>
      </rPr>
      <t xml:space="preserve">(≈ </t>
    </r>
    <r>
      <rPr>
        <sz val="11"/>
        <rFont val="Noto Sans"/>
        <family val="2"/>
      </rPr>
      <t>۱۰٫۲ برابر؛ همبستگی لگاریتمی ۰٫۹۸</t>
    </r>
    <r>
      <rPr>
        <sz val="11"/>
        <rFont val="Tahoma"/>
        <charset val="1"/>
      </rPr>
      <t xml:space="preserve">) </t>
    </r>
    <r>
      <rPr>
        <sz val="11"/>
        <rFont val="Noto Sans"/>
        <family val="2"/>
      </rPr>
      <t>استفاده شد</t>
    </r>
    <r>
      <rPr>
        <sz val="11"/>
        <rFont val="Tahoma"/>
        <charset val="1"/>
      </rPr>
      <t>.</t>
    </r>
  </si>
  <si>
    <r>
      <rPr>
        <sz val="11"/>
        <rFont val="Noto Sans"/>
        <family val="2"/>
      </rPr>
      <t>۳</t>
    </r>
    <r>
      <rPr>
        <sz val="11"/>
        <rFont val="Tahoma"/>
        <charset val="1"/>
      </rPr>
      <t xml:space="preserve">) </t>
    </r>
    <r>
      <rPr>
        <sz val="11"/>
        <rFont val="Noto Sans"/>
        <family val="2"/>
      </rPr>
      <t>درآمد خانوار ساکن</t>
    </r>
    <r>
      <rPr>
        <sz val="11"/>
        <rFont val="Tahoma"/>
        <charset val="1"/>
      </rPr>
      <t xml:space="preserve">: </t>
    </r>
    <r>
      <rPr>
        <sz val="11"/>
        <rFont val="Noto Sans"/>
        <family val="2"/>
      </rPr>
      <t xml:space="preserve">درآمد متوسط خانوار شهری استان تهران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مرکز آمار، ۱۴۰۴</t>
    </r>
    <r>
      <rPr>
        <sz val="11"/>
        <rFont val="Tahoma"/>
        <charset val="1"/>
      </rPr>
      <t xml:space="preserve">) × </t>
    </r>
    <r>
      <rPr>
        <sz val="11"/>
        <rFont val="Noto Sans"/>
        <family val="2"/>
      </rPr>
      <t>ضریب نسبی محله</t>
    </r>
    <r>
      <rPr>
        <sz val="11"/>
        <rFont val="Tahoma"/>
        <charset val="1"/>
      </rPr>
      <t xml:space="preserve">. </t>
    </r>
    <r>
      <rPr>
        <sz val="11"/>
        <rFont val="Noto Sans"/>
        <family val="2"/>
      </rPr>
      <t xml:space="preserve">ضریب نسبی </t>
    </r>
    <r>
      <rPr>
        <sz val="11"/>
        <rFont val="Tahoma"/>
        <charset val="1"/>
      </rPr>
      <t>= (</t>
    </r>
    <r>
      <rPr>
        <sz val="11"/>
        <rFont val="Noto Sans"/>
        <family val="2"/>
      </rPr>
      <t>قیمت هر متر</t>
    </r>
    <r>
      <rPr>
        <sz val="11"/>
        <rFont val="Tahoma"/>
        <charset val="1"/>
      </rPr>
      <t xml:space="preserve">)^e × </t>
    </r>
    <r>
      <rPr>
        <sz val="11"/>
        <rFont val="Noto Sans"/>
        <family val="2"/>
      </rPr>
      <t xml:space="preserve">بُعد خانوار منطقه، نرمال‌شده تا میانگین وزنی خانوارها </t>
    </r>
    <r>
      <rPr>
        <sz val="11"/>
        <rFont val="Tahoma"/>
        <charset val="1"/>
      </rPr>
      <t xml:space="preserve">= </t>
    </r>
    <r>
      <rPr>
        <sz val="11"/>
        <rFont val="Noto Sans"/>
        <family val="2"/>
      </rPr>
      <t>۱</t>
    </r>
    <r>
      <rPr>
        <sz val="11"/>
        <rFont val="Tahoma"/>
        <charset val="1"/>
      </rPr>
      <t xml:space="preserve">. </t>
    </r>
    <r>
      <rPr>
        <sz val="11"/>
        <rFont val="Noto Sans"/>
        <family val="2"/>
      </rPr>
      <t xml:space="preserve">کشش </t>
    </r>
    <r>
      <rPr>
        <sz val="11"/>
        <rFont val="Tahoma"/>
        <charset val="1"/>
      </rPr>
      <t xml:space="preserve">e = 1.035 </t>
    </r>
    <r>
      <rPr>
        <sz val="11"/>
        <rFont val="Noto Sans"/>
        <family val="2"/>
      </rPr>
      <t xml:space="preserve">با برازش بر نسبت هزینه سرانه مناطق ۱ و ۳ </t>
    </r>
    <r>
      <rPr>
        <sz val="11"/>
        <rFont val="Tahoma"/>
        <charset val="1"/>
      </rPr>
      <t xml:space="preserve">(≈ </t>
    </r>
    <r>
      <rPr>
        <sz val="11"/>
        <rFont val="Noto Sans"/>
        <family val="2"/>
      </rPr>
      <t>دو برابر شهر</t>
    </r>
    <r>
      <rPr>
        <sz val="11"/>
        <rFont val="Tahoma"/>
        <charset val="1"/>
      </rPr>
      <t xml:space="preserve">) </t>
    </r>
    <r>
      <rPr>
        <sz val="11"/>
        <rFont val="Noto Sans"/>
        <family val="2"/>
      </rPr>
      <t xml:space="preserve">و ۱۶ </t>
    </r>
    <r>
      <rPr>
        <sz val="11"/>
        <rFont val="Tahoma"/>
        <charset val="1"/>
      </rPr>
      <t xml:space="preserve">(≈ </t>
    </r>
    <r>
      <rPr>
        <sz val="11"/>
        <rFont val="Noto Sans"/>
        <family val="2"/>
      </rPr>
      <t>نصف شهر</t>
    </r>
    <r>
      <rPr>
        <sz val="11"/>
        <rFont val="Tahoma"/>
        <charset val="1"/>
      </rPr>
      <t xml:space="preserve">) </t>
    </r>
    <r>
      <rPr>
        <sz val="11"/>
        <rFont val="Noto Sans"/>
        <family val="2"/>
      </rPr>
      <t>در طرح هزینه و درآمد ۱۳۸۷ کالیبره شد</t>
    </r>
    <r>
      <rPr>
        <sz val="11"/>
        <rFont val="Tahoma"/>
        <charset val="1"/>
      </rPr>
      <t>.</t>
    </r>
  </si>
  <si>
    <r>
      <rPr>
        <sz val="11"/>
        <rFont val="Noto Sans"/>
        <family val="2"/>
      </rPr>
      <t>۴</t>
    </r>
    <r>
      <rPr>
        <sz val="11"/>
        <rFont val="Tahoma"/>
        <charset val="1"/>
      </rPr>
      <t xml:space="preserve">) </t>
    </r>
    <r>
      <rPr>
        <sz val="11"/>
        <rFont val="Noto Sans"/>
        <family val="2"/>
      </rPr>
      <t>نتیجه مهم</t>
    </r>
    <r>
      <rPr>
        <sz val="11"/>
        <rFont val="Tahoma"/>
        <charset val="1"/>
      </rPr>
      <t xml:space="preserve">: </t>
    </r>
    <r>
      <rPr>
        <sz val="11"/>
        <rFont val="Noto Sans"/>
        <family val="2"/>
      </rPr>
      <t xml:space="preserve">چون درآمد ساکنان تقریباً متناسب با قیمت مسکن محله‌شان است </t>
    </r>
    <r>
      <rPr>
        <sz val="11"/>
        <rFont val="Tahoma"/>
        <charset val="1"/>
      </rPr>
      <t xml:space="preserve">(e ≈ </t>
    </r>
    <r>
      <rPr>
        <sz val="11"/>
        <rFont val="Noto Sans"/>
        <family val="2"/>
      </rPr>
      <t>۱</t>
    </r>
    <r>
      <rPr>
        <sz val="11"/>
        <rFont val="Tahoma"/>
        <charset val="1"/>
      </rPr>
      <t>)</t>
    </r>
    <r>
      <rPr>
        <sz val="11"/>
        <rFont val="Noto Sans"/>
        <family val="2"/>
      </rPr>
      <t xml:space="preserve">، </t>
    </r>
    <r>
      <rPr>
        <sz val="11"/>
        <rFont val="Tahoma"/>
        <charset val="1"/>
      </rPr>
      <t xml:space="preserve">PIR </t>
    </r>
    <r>
      <rPr>
        <sz val="11"/>
        <rFont val="Noto Sans"/>
        <family val="2"/>
      </rPr>
      <t xml:space="preserve">ساکنان بین محلات تفاوت کمی دارد؛ تفاوت اصلی در </t>
    </r>
    <r>
      <rPr>
        <sz val="11"/>
        <rFont val="Tahoma"/>
        <charset val="1"/>
      </rPr>
      <t>«</t>
    </r>
    <r>
      <rPr>
        <sz val="11"/>
        <rFont val="Noto Sans"/>
        <family val="2"/>
      </rPr>
      <t>استطاعت برای خانوار متوسط تهران</t>
    </r>
    <r>
      <rPr>
        <sz val="11"/>
        <rFont val="Tahoma"/>
        <charset val="1"/>
      </rPr>
      <t xml:space="preserve">» </t>
    </r>
    <r>
      <rPr>
        <sz val="11"/>
        <rFont val="Noto Sans"/>
        <family val="2"/>
      </rPr>
      <t xml:space="preserve">و </t>
    </r>
    <r>
      <rPr>
        <sz val="11"/>
        <rFont val="Tahoma"/>
        <charset val="1"/>
      </rPr>
      <t>«</t>
    </r>
    <r>
      <rPr>
        <sz val="11"/>
        <rFont val="Noto Sans"/>
        <family val="2"/>
      </rPr>
      <t>سهم خانوارهای تهران که توان خرید</t>
    </r>
    <r>
      <rPr>
        <sz val="11"/>
        <rFont val="Tahoma"/>
        <charset val="1"/>
      </rPr>
      <t>/</t>
    </r>
    <r>
      <rPr>
        <sz val="11"/>
        <rFont val="Noto Sans"/>
        <family val="2"/>
      </rPr>
      <t>اجاره دارند</t>
    </r>
    <r>
      <rPr>
        <sz val="11"/>
        <rFont val="Tahoma"/>
        <charset val="1"/>
      </rPr>
      <t xml:space="preserve">» </t>
    </r>
    <r>
      <rPr>
        <sz val="11"/>
        <rFont val="Noto Sans"/>
        <family val="2"/>
      </rPr>
      <t>دیده می‌شود</t>
    </r>
    <r>
      <rPr>
        <sz val="11"/>
        <rFont val="Tahoma"/>
        <charset val="1"/>
      </rPr>
      <t>.</t>
    </r>
  </si>
  <si>
    <r>
      <rPr>
        <sz val="11"/>
        <rFont val="Noto Sans"/>
        <family val="2"/>
      </rPr>
      <t>۵</t>
    </r>
    <r>
      <rPr>
        <sz val="11"/>
        <rFont val="Tahoma"/>
        <charset val="1"/>
      </rPr>
      <t xml:space="preserve">) </t>
    </r>
    <r>
      <rPr>
        <sz val="11"/>
        <rFont val="Noto Sans"/>
        <family val="2"/>
      </rPr>
      <t>سهم خانوارهای قادر</t>
    </r>
    <r>
      <rPr>
        <sz val="11"/>
        <rFont val="Tahoma"/>
        <charset val="1"/>
      </rPr>
      <t xml:space="preserve">: </t>
    </r>
    <r>
      <rPr>
        <sz val="11"/>
        <rFont val="Noto Sans"/>
        <family val="2"/>
      </rPr>
      <t>توزیع درآمد خانوارهای تهران لگ‌نرمال با ضریب جینی ۰٫۴۰۲۱ فرض شد</t>
    </r>
    <r>
      <rPr>
        <sz val="11"/>
        <rFont val="Tahoma"/>
        <charset val="1"/>
      </rPr>
      <t xml:space="preserve">. </t>
    </r>
    <r>
      <rPr>
        <sz val="11"/>
        <rFont val="Noto Sans"/>
        <family val="2"/>
      </rPr>
      <t xml:space="preserve">سهم خانوارهایی که درآمدشان ≥ </t>
    </r>
    <r>
      <rPr>
        <sz val="11"/>
        <rFont val="Tahoma"/>
        <charset val="1"/>
      </rPr>
      <t>(</t>
    </r>
    <r>
      <rPr>
        <sz val="11"/>
        <rFont val="Noto Sans"/>
        <family val="2"/>
      </rPr>
      <t xml:space="preserve">اجاره سالانه </t>
    </r>
    <r>
      <rPr>
        <sz val="11"/>
        <rFont val="Tahoma"/>
        <charset val="1"/>
      </rPr>
      <t xml:space="preserve">÷ </t>
    </r>
    <r>
      <rPr>
        <sz val="11"/>
        <rFont val="Noto Sans"/>
        <family val="2"/>
      </rPr>
      <t>۳۰٪</t>
    </r>
    <r>
      <rPr>
        <sz val="11"/>
        <rFont val="Tahoma"/>
        <charset val="1"/>
      </rPr>
      <t xml:space="preserve">) </t>
    </r>
    <r>
      <rPr>
        <sz val="11"/>
        <rFont val="Noto Sans"/>
        <family val="2"/>
      </rPr>
      <t xml:space="preserve">یا ≥ </t>
    </r>
    <r>
      <rPr>
        <sz val="11"/>
        <rFont val="Tahoma"/>
        <charset val="1"/>
      </rPr>
      <t>(</t>
    </r>
    <r>
      <rPr>
        <sz val="11"/>
        <rFont val="Noto Sans"/>
        <family val="2"/>
      </rPr>
      <t xml:space="preserve">قیمت واحد </t>
    </r>
    <r>
      <rPr>
        <sz val="11"/>
        <rFont val="Tahoma"/>
        <charset val="1"/>
      </rPr>
      <t xml:space="preserve">÷ </t>
    </r>
    <r>
      <rPr>
        <sz val="11"/>
        <rFont val="Noto Sans"/>
        <family val="2"/>
      </rPr>
      <t>۵</t>
    </r>
    <r>
      <rPr>
        <sz val="11"/>
        <rFont val="Tahoma"/>
        <charset val="1"/>
      </rPr>
      <t xml:space="preserve">) </t>
    </r>
    <r>
      <rPr>
        <sz val="11"/>
        <rFont val="Noto Sans"/>
        <family val="2"/>
      </rPr>
      <t>است محاسبه شد</t>
    </r>
    <r>
      <rPr>
        <sz val="11"/>
        <rFont val="Tahoma"/>
        <charset val="1"/>
      </rPr>
      <t>.</t>
    </r>
  </si>
  <si>
    <r>
      <rPr>
        <sz val="11"/>
        <rFont val="Noto Sans"/>
        <family val="2"/>
      </rPr>
      <t>۶</t>
    </r>
    <r>
      <rPr>
        <sz val="11"/>
        <rFont val="Tahoma"/>
        <charset val="1"/>
      </rPr>
      <t xml:space="preserve">) </t>
    </r>
    <r>
      <rPr>
        <sz val="11"/>
        <rFont val="Noto Sans"/>
        <family val="2"/>
      </rPr>
      <t>سطح استطاعت خرید</t>
    </r>
    <r>
      <rPr>
        <sz val="11"/>
        <rFont val="Tahoma"/>
        <charset val="1"/>
      </rPr>
      <t xml:space="preserve">: </t>
    </r>
    <r>
      <rPr>
        <sz val="11"/>
        <rFont val="Noto Sans"/>
        <family val="2"/>
      </rPr>
      <t xml:space="preserve">معیار دموگرافیا </t>
    </r>
    <r>
      <rPr>
        <sz val="11"/>
        <rFont val="Tahoma"/>
        <charset val="1"/>
      </rPr>
      <t>(PIR ≤</t>
    </r>
    <r>
      <rPr>
        <sz val="11"/>
        <rFont val="Noto Sans"/>
        <family val="2"/>
      </rPr>
      <t xml:space="preserve">۳ قابل استطاعت؛ ۳ تا ۴ نسبتاً غیرقابل؛ ۴ تا ۵ جدی؛ ۵ تا ۹ شدید؛ </t>
    </r>
    <r>
      <rPr>
        <sz val="11"/>
        <rFont val="Tahoma"/>
        <charset val="1"/>
      </rPr>
      <t>&gt;</t>
    </r>
    <r>
      <rPr>
        <sz val="11"/>
        <rFont val="Noto Sans"/>
        <family val="2"/>
      </rPr>
      <t>۹ بسیار شدید</t>
    </r>
    <r>
      <rPr>
        <sz val="11"/>
        <rFont val="Tahoma"/>
        <charset val="1"/>
      </rPr>
      <t xml:space="preserve">). </t>
    </r>
    <r>
      <rPr>
        <sz val="11"/>
        <rFont val="Noto Sans"/>
        <family val="2"/>
      </rPr>
      <t>سطح اجاره</t>
    </r>
    <r>
      <rPr>
        <sz val="11"/>
        <rFont val="Tahoma"/>
        <charset val="1"/>
      </rPr>
      <t>: ≤</t>
    </r>
    <r>
      <rPr>
        <sz val="11"/>
        <rFont val="Noto Sans"/>
        <family val="2"/>
      </rPr>
      <t xml:space="preserve">۳۰٪ درآمد قابل استطاعت؛ ۳۰ تا ۵۰٪ زیر فشار؛ </t>
    </r>
    <r>
      <rPr>
        <sz val="11"/>
        <rFont val="Tahoma"/>
        <charset val="1"/>
      </rPr>
      <t>&gt;</t>
    </r>
    <r>
      <rPr>
        <sz val="11"/>
        <rFont val="Noto Sans"/>
        <family val="2"/>
      </rPr>
      <t>۵۰٪ فشار شدید</t>
    </r>
    <r>
      <rPr>
        <sz val="11"/>
        <rFont val="Tahoma"/>
        <charset val="1"/>
      </rPr>
      <t>.</t>
    </r>
  </si>
  <si>
    <r>
      <rPr>
        <sz val="11"/>
        <rFont val="Noto Sans"/>
        <family val="2"/>
      </rPr>
      <t>۷</t>
    </r>
    <r>
      <rPr>
        <sz val="11"/>
        <rFont val="Tahoma"/>
        <charset val="1"/>
      </rPr>
      <t xml:space="preserve">) </t>
    </r>
    <r>
      <rPr>
        <sz val="11"/>
        <rFont val="Noto Sans"/>
        <family val="2"/>
      </rPr>
      <t xml:space="preserve">شاخص ترکیبی </t>
    </r>
    <r>
      <rPr>
        <sz val="11"/>
        <rFont val="Tahoma"/>
        <charset val="1"/>
      </rPr>
      <t xml:space="preserve">= </t>
    </r>
    <r>
      <rPr>
        <sz val="11"/>
        <rFont val="Noto Sans"/>
        <family val="2"/>
      </rPr>
      <t xml:space="preserve">۵۰ </t>
    </r>
    <r>
      <rPr>
        <sz val="11"/>
        <rFont val="Tahoma"/>
        <charset val="1"/>
      </rPr>
      <t xml:space="preserve">× min(1, 3/PIR) + </t>
    </r>
    <r>
      <rPr>
        <sz val="11"/>
        <rFont val="Noto Sans"/>
        <family val="2"/>
      </rPr>
      <t xml:space="preserve">۵۰ </t>
    </r>
    <r>
      <rPr>
        <sz val="11"/>
        <rFont val="Tahoma"/>
        <charset val="1"/>
      </rPr>
      <t>× min(1, 30</t>
    </r>
    <r>
      <rPr>
        <sz val="11"/>
        <rFont val="Noto Sans"/>
        <family val="2"/>
      </rPr>
      <t>٪</t>
    </r>
    <r>
      <rPr>
        <sz val="11"/>
        <rFont val="Tahoma"/>
        <charset val="1"/>
      </rPr>
      <t>/</t>
    </r>
    <r>
      <rPr>
        <sz val="11"/>
        <rFont val="Noto Sans"/>
        <family val="2"/>
      </rPr>
      <t>سهم اجاره</t>
    </r>
    <r>
      <rPr>
        <sz val="11"/>
        <rFont val="Tahoma"/>
        <charset val="1"/>
      </rPr>
      <t>)</t>
    </r>
    <r>
      <rPr>
        <sz val="11"/>
        <rFont val="Noto Sans"/>
        <family val="2"/>
      </rPr>
      <t>؛ ۱۰۰ یعنی هم خرید و هم اجاره در آستانه استطاعت</t>
    </r>
    <r>
      <rPr>
        <sz val="11"/>
        <rFont val="Tahoma"/>
        <charset val="1"/>
      </rPr>
      <t>.</t>
    </r>
  </si>
  <si>
    <r>
      <rPr>
        <sz val="11"/>
        <rFont val="Noto Sans"/>
        <family val="2"/>
      </rPr>
      <t>۸</t>
    </r>
    <r>
      <rPr>
        <sz val="11"/>
        <rFont val="Tahoma"/>
        <charset val="1"/>
      </rPr>
      <t xml:space="preserve">) </t>
    </r>
    <r>
      <rPr>
        <sz val="11"/>
        <rFont val="Noto Sans"/>
        <family val="2"/>
      </rPr>
      <t>اصلاح داده</t>
    </r>
    <r>
      <rPr>
        <sz val="11"/>
        <rFont val="Tahoma"/>
        <charset val="1"/>
      </rPr>
      <t xml:space="preserve">: </t>
    </r>
    <r>
      <rPr>
        <sz val="11"/>
        <rFont val="Noto Sans"/>
        <family val="2"/>
      </rPr>
      <t xml:space="preserve">در این نسخه تطبیق چند محله هم‌نام اصلاح شد </t>
    </r>
    <r>
      <rPr>
        <sz val="11"/>
        <rFont val="Tahoma"/>
        <charset val="1"/>
      </rPr>
      <t>(</t>
    </r>
    <r>
      <rPr>
        <sz val="11"/>
        <rFont val="Noto Sans"/>
        <family val="2"/>
      </rPr>
      <t>اقدسیه و استخر منطقه ۲۰، شمس‌آباد منطقه ۱۸، اسلام‌آباد</t>
    </r>
    <r>
      <rPr>
        <sz val="11"/>
        <rFont val="Tahoma"/>
        <charset val="1"/>
      </rPr>
      <t>-</t>
    </r>
    <r>
      <rPr>
        <sz val="11"/>
        <rFont val="Noto Sans"/>
        <family val="2"/>
      </rPr>
      <t>والفجر منطقه ۱۵، ابوذر مناطق ۱۴ و ۱۷</t>
    </r>
    <r>
      <rPr>
        <sz val="11"/>
        <rFont val="Tahoma"/>
        <charset val="1"/>
      </rPr>
      <t>).</t>
    </r>
  </si>
  <si>
    <r>
      <rPr>
        <sz val="11"/>
        <rFont val="Noto Sans"/>
        <family val="2"/>
      </rPr>
      <t>محدودیت‌ها</t>
    </r>
    <r>
      <rPr>
        <sz val="11"/>
        <rFont val="Tahoma"/>
        <charset val="1"/>
      </rPr>
      <t xml:space="preserve">: </t>
    </r>
    <r>
      <rPr>
        <sz val="11"/>
        <rFont val="Noto Sans"/>
        <family val="2"/>
      </rPr>
      <t xml:space="preserve">قیمت‌ها درخواستی‌اند نه معامله‌شده؛ درآمد محله برآوردی است </t>
    </r>
    <r>
      <rPr>
        <sz val="11"/>
        <rFont val="Tahoma"/>
        <charset val="1"/>
      </rPr>
      <t>(</t>
    </r>
    <r>
      <rPr>
        <sz val="11"/>
        <rFont val="Noto Sans"/>
        <family val="2"/>
      </rPr>
      <t>آمار رسمی درآمد به تفکیک محله وجود ندارد</t>
    </r>
    <r>
      <rPr>
        <sz val="11"/>
        <rFont val="Tahoma"/>
        <charset val="1"/>
      </rPr>
      <t>)</t>
    </r>
    <r>
      <rPr>
        <sz val="11"/>
        <rFont val="Noto Sans"/>
        <family val="2"/>
      </rPr>
      <t xml:space="preserve">؛ درآمد مرکز آمار شامل درآمدهای غیرپولی </t>
    </r>
    <r>
      <rPr>
        <sz val="11"/>
        <rFont val="Tahoma"/>
        <charset val="1"/>
      </rPr>
      <t>(</t>
    </r>
    <r>
      <rPr>
        <sz val="11"/>
        <rFont val="Noto Sans"/>
        <family val="2"/>
      </rPr>
      <t>مانند اجاره‌بهای فرضی مسکن ملکی</t>
    </r>
    <r>
      <rPr>
        <sz val="11"/>
        <rFont val="Tahoma"/>
        <charset val="1"/>
      </rPr>
      <t xml:space="preserve">) </t>
    </r>
    <r>
      <rPr>
        <sz val="11"/>
        <rFont val="Noto Sans"/>
        <family val="2"/>
      </rPr>
      <t>است؛ منطقه ۲۰ تنها یک محله دارای آگهی دارد</t>
    </r>
    <r>
      <rPr>
        <sz val="11"/>
        <rFont val="Tahoma"/>
        <charset val="1"/>
      </rPr>
      <t>.</t>
    </r>
  </si>
  <si>
    <t>منبع</t>
  </si>
  <si>
    <r>
      <rPr>
        <b/>
        <sz val="11"/>
        <color rgb="FFFFFFFF"/>
        <rFont val="Noto Sans"/>
        <family val="2"/>
      </rPr>
      <t xml:space="preserve">توضیح </t>
    </r>
    <r>
      <rPr>
        <b/>
        <sz val="11"/>
        <color rgb="FFFFFFFF"/>
        <rFont val="Tahoma"/>
        <charset val="1"/>
      </rPr>
      <t xml:space="preserve">/ </t>
    </r>
    <r>
      <rPr>
        <b/>
        <sz val="11"/>
        <color rgb="FFFFFFFF"/>
        <rFont val="Noto Sans"/>
        <family val="2"/>
      </rPr>
      <t>نشانی</t>
    </r>
  </si>
  <si>
    <t>قیمت فروش و اجاره</t>
  </si>
  <si>
    <r>
      <rPr>
        <sz val="11"/>
        <rFont val="Noto Sans"/>
        <family val="2"/>
      </rPr>
      <t xml:space="preserve">دیوار </t>
    </r>
    <r>
      <rPr>
        <sz val="11"/>
        <rFont val="Tahoma"/>
        <charset val="1"/>
      </rPr>
      <t xml:space="preserve">(api.divar.ir) — </t>
    </r>
    <r>
      <rPr>
        <sz val="11"/>
        <rFont val="Noto Sans"/>
        <family val="2"/>
      </rPr>
      <t>آگهی‌های فروش و اجاره آپارتمان شهر تهران، ۳۱۱ محله، مهر ۱۴۰۵</t>
    </r>
  </si>
  <si>
    <t>درآمد خانوار ۱۴۰۴</t>
  </si>
  <si>
    <r>
      <rPr>
        <sz val="11"/>
        <rFont val="Noto Sans"/>
        <family val="2"/>
      </rPr>
      <t xml:space="preserve">مرکز آمار ایران، طرح هزینه و درآمد خانوار ۱۴۰۴؛ تهران ≈ ۷۲۱ میلیون تومان در سال — </t>
    </r>
    <r>
      <rPr>
        <sz val="11"/>
        <rFont val="Tahoma"/>
        <charset val="1"/>
      </rPr>
      <t>https://ecoiran.com/</t>
    </r>
    <r>
      <rPr>
        <sz val="11"/>
        <rFont val="Noto Sans"/>
        <family val="2"/>
      </rPr>
      <t>بخش</t>
    </r>
    <r>
      <rPr>
        <sz val="11"/>
        <rFont val="Tahoma"/>
        <charset val="1"/>
      </rPr>
      <t>-</t>
    </r>
    <r>
      <rPr>
        <sz val="11"/>
        <rFont val="Noto Sans"/>
        <family val="2"/>
      </rPr>
      <t>اقتصاد</t>
    </r>
    <r>
      <rPr>
        <sz val="11"/>
        <rFont val="Tahoma"/>
        <charset val="1"/>
      </rPr>
      <t>-</t>
    </r>
    <r>
      <rPr>
        <sz val="11"/>
        <rFont val="Noto Sans"/>
        <family val="2"/>
      </rPr>
      <t>کلان</t>
    </r>
    <r>
      <rPr>
        <sz val="11"/>
        <rFont val="Tahoma"/>
        <charset val="1"/>
      </rPr>
      <t>-186/154485</t>
    </r>
  </si>
  <si>
    <t>ضریب جینی ۱۴۰۴</t>
  </si>
  <si>
    <r>
      <rPr>
        <sz val="11"/>
        <rFont val="Noto Sans"/>
        <family val="2"/>
      </rPr>
      <t xml:space="preserve">استان تهران </t>
    </r>
    <r>
      <rPr>
        <sz val="11"/>
        <rFont val="Tahoma"/>
        <charset val="1"/>
      </rPr>
      <t>(</t>
    </r>
    <r>
      <rPr>
        <sz val="11"/>
        <rFont val="Noto Sans"/>
        <family val="2"/>
      </rPr>
      <t>شهری</t>
    </r>
    <r>
      <rPr>
        <sz val="11"/>
        <rFont val="Tahoma"/>
        <charset val="1"/>
      </rPr>
      <t xml:space="preserve">) </t>
    </r>
    <r>
      <rPr>
        <sz val="11"/>
        <rFont val="Noto Sans"/>
        <family val="2"/>
      </rPr>
      <t xml:space="preserve">۰٫۴۰۲۱ — </t>
    </r>
    <r>
      <rPr>
        <sz val="11"/>
        <rFont val="Tahoma"/>
        <charset val="1"/>
      </rPr>
      <t>https://tejaratnews.com (</t>
    </r>
    <r>
      <rPr>
        <sz val="11"/>
        <rFont val="Noto Sans"/>
        <family val="2"/>
      </rPr>
      <t>تهران بالاترین ضریب جینی را دارد</t>
    </r>
    <r>
      <rPr>
        <sz val="11"/>
        <rFont val="Tahoma"/>
        <charset val="1"/>
      </rPr>
      <t>)</t>
    </r>
  </si>
  <si>
    <t>وام مسکن ۱۴۰۵</t>
  </si>
  <si>
    <r>
      <rPr>
        <sz val="11"/>
        <rFont val="Noto Sans"/>
        <family val="2"/>
      </rPr>
      <t xml:space="preserve">سقف ۲ میلیارد تومان زوجین تهران، سود ۲۲٫۵٪، ۱۲ ساله — </t>
    </r>
    <r>
      <rPr>
        <sz val="11"/>
        <rFont val="Tahoma"/>
        <charset val="1"/>
      </rPr>
      <t>https://jamejamonline.ir/fa/news/1566537/</t>
    </r>
  </si>
  <si>
    <t>نرخ تبدیل رهن و اجاره</t>
  </si>
  <si>
    <r>
      <rPr>
        <sz val="11"/>
        <rFont val="Noto Sans"/>
        <family val="2"/>
      </rPr>
      <t xml:space="preserve">۲ تا ۳ درصد ماهانه — </t>
    </r>
    <r>
      <rPr>
        <sz val="11"/>
        <rFont val="Tahoma"/>
        <charset val="1"/>
      </rPr>
      <t>https://fararu.com/fa/news/739348/</t>
    </r>
  </si>
  <si>
    <t>گرادیان درآمد مناطق</t>
  </si>
  <si>
    <r>
      <rPr>
        <sz val="11"/>
        <rFont val="Noto Sans"/>
        <family val="2"/>
      </rPr>
      <t xml:space="preserve">طرح هزینه و درآمد ۱۳۸۷ به تفکیک ۲۲ منطقه </t>
    </r>
    <r>
      <rPr>
        <sz val="11"/>
        <rFont val="Tahoma"/>
        <charset val="1"/>
      </rPr>
      <t>(</t>
    </r>
    <r>
      <rPr>
        <sz val="11"/>
        <rFont val="Noto Sans"/>
        <family val="2"/>
      </rPr>
      <t>پیمان، اخبار اقتصاد و دارایی؛ دنیای اقتصاد ۱۸ خرداد ۱۳۸۹</t>
    </r>
    <r>
      <rPr>
        <sz val="11"/>
        <rFont val="Tahoma"/>
        <charset val="1"/>
      </rPr>
      <t>) — https://donya-e-eqtesad.com/</t>
    </r>
    <r>
      <rPr>
        <sz val="11"/>
        <rFont val="Noto Sans"/>
        <family val="2"/>
      </rPr>
      <t>بخش</t>
    </r>
    <r>
      <rPr>
        <sz val="11"/>
        <rFont val="Tahoma"/>
        <charset val="1"/>
      </rPr>
      <t>-</t>
    </r>
    <r>
      <rPr>
        <sz val="11"/>
        <rFont val="Noto Sans"/>
        <family val="2"/>
      </rPr>
      <t>خبر</t>
    </r>
    <r>
      <rPr>
        <sz val="11"/>
        <rFont val="Tahoma"/>
        <charset val="1"/>
      </rPr>
      <t>-64/609526</t>
    </r>
  </si>
  <si>
    <t>جمعیت و خانوار مناطق ۱۳۹۵</t>
  </si>
  <si>
    <r>
      <rPr>
        <sz val="11"/>
        <rFont val="Noto Sans"/>
        <family val="2"/>
      </rPr>
      <t>سالنامه آماری شهر تهران ۱۳۹۶، جدول ۲</t>
    </r>
    <r>
      <rPr>
        <sz val="11"/>
        <rFont val="Tahoma"/>
        <charset val="1"/>
      </rPr>
      <t>-</t>
    </r>
    <r>
      <rPr>
        <sz val="11"/>
        <rFont val="Noto Sans"/>
        <family val="2"/>
      </rPr>
      <t xml:space="preserve">۱ </t>
    </r>
    <r>
      <rPr>
        <sz val="11"/>
        <rFont val="Tahoma"/>
        <charset val="1"/>
      </rPr>
      <t>(</t>
    </r>
    <r>
      <rPr>
        <sz val="11"/>
        <rFont val="Noto Sans"/>
        <family val="2"/>
      </rPr>
      <t>مأخذ</t>
    </r>
    <r>
      <rPr>
        <sz val="11"/>
        <rFont val="Tahoma"/>
        <charset val="1"/>
      </rPr>
      <t xml:space="preserve">: </t>
    </r>
    <r>
      <rPr>
        <sz val="11"/>
        <rFont val="Noto Sans"/>
        <family val="2"/>
      </rPr>
      <t>مرکز آمار</t>
    </r>
    <r>
      <rPr>
        <sz val="11"/>
        <rFont val="Tahoma"/>
        <charset val="1"/>
      </rPr>
      <t xml:space="preserve">) — </t>
    </r>
    <r>
      <rPr>
        <sz val="11"/>
        <rFont val="Noto Sans"/>
        <family val="2"/>
      </rPr>
      <t xml:space="preserve">نسخه بایگانی‌شده </t>
    </r>
    <r>
      <rPr>
        <sz val="11"/>
        <rFont val="Tahoma"/>
        <charset val="1"/>
      </rPr>
      <t>tmicto.tehran.ir</t>
    </r>
  </si>
  <si>
    <t>جمعیت محلات</t>
  </si>
  <si>
    <r>
      <rPr>
        <sz val="11"/>
        <rFont val="Noto Sans"/>
        <family val="2"/>
      </rPr>
      <t xml:space="preserve">۳۴۹ محله، داده‌های باز شهرداری تهران به نقل از </t>
    </r>
    <r>
      <rPr>
        <sz val="11"/>
        <rFont val="Tahoma"/>
        <charset val="1"/>
      </rPr>
      <t>https://d-learn.ir/tehran-neighborhood-data</t>
    </r>
  </si>
  <si>
    <t>معیار طبقه‌بندی</t>
  </si>
  <si>
    <t>Demographia International Housing Affordability (median multiple)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</si>
</sst>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"/>
    <numFmt numFmtId="166" formatCode="0.0%"/>
    <numFmt numFmtId="167" formatCode="0.0000"/>
    <numFmt numFmtId="168" formatCode="0.000"/>
  </numFmts>
  <fonts count="13" x14ac:knownFonts="1">
    <font>
      <sz val="11"/>
      <color theme="1"/>
      <name val="Tahoma"/>
      <family val="2"/>
      <charset val="1"/>
    </font>
    <font>
      <b/>
      <sz val="14"/>
      <name val="Tahoma"/>
      <family val="2"/>
    </font>
    <font>
      <sz val="11"/>
      <name val="Tahoma"/>
      <family val="2"/>
    </font>
    <font>
      <b/>
      <sz val="11"/>
      <name val="Tahoma"/>
      <charset val="1"/>
    </font>
    <font>
      <sz val="11"/>
      <name val="Tahoma"/>
      <charset val="1"/>
    </font>
    <font>
      <b/>
      <sz val="14"/>
      <name val="Tahoma"/>
      <charset val="1"/>
    </font>
    <font>
      <b/>
      <sz val="11"/>
      <color rgb="FFFFFFFF"/>
      <name val="Tahoma"/>
      <family val="2"/>
    </font>
    <font>
      <b/>
      <sz val="11"/>
      <color rgb="FFFFFFFF"/>
      <name val="Tahoma"/>
      <charset val="1"/>
    </font>
    <font>
      <b/>
      <sz val="11"/>
      <color rgb="FF0000FF"/>
      <name val="Tahoma"/>
      <charset val="1"/>
    </font>
    <font>
      <b/>
      <sz val="11"/>
      <name val="Tahoma"/>
      <family val="2"/>
    </font>
    <font>
      <sz val="11"/>
      <name val="Noto Sans"/>
      <family val="2"/>
    </font>
    <font>
      <b/>
      <sz val="14"/>
      <name val="Noto Sans"/>
      <family val="2"/>
    </font>
    <font>
      <b/>
      <sz val="11"/>
      <color rgb="FFFFFFFF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1" fontId="3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0" fontId="6" fillId="2" borderId="0" xfId="0" applyFont="1" applyFill="1" applyAlignment="1">
      <alignment horizontal="center" vertical="center" wrapText="1"/>
    </xf>
    <xf numFmtId="3" fontId="8" fillId="3" borderId="0" xfId="0" applyNumberFormat="1" applyFont="1" applyFill="1"/>
    <xf numFmtId="0" fontId="2" fillId="0" borderId="0" xfId="0" applyFont="1" applyAlignment="1">
      <alignment wrapText="1"/>
    </xf>
    <xf numFmtId="2" fontId="8" fillId="3" borderId="0" xfId="0" applyNumberFormat="1" applyFont="1" applyFill="1"/>
    <xf numFmtId="1" fontId="8" fillId="3" borderId="0" xfId="0" applyNumberFormat="1" applyFont="1" applyFill="1"/>
    <xf numFmtId="9" fontId="8" fillId="3" borderId="0" xfId="0" applyNumberFormat="1" applyFont="1" applyFill="1"/>
    <xf numFmtId="166" fontId="8" fillId="3" borderId="0" xfId="0" applyNumberFormat="1" applyFont="1" applyFill="1"/>
    <xf numFmtId="167" fontId="8" fillId="3" borderId="0" xfId="0" applyNumberFormat="1" applyFont="1" applyFill="1"/>
    <xf numFmtId="168" fontId="3" fillId="0" borderId="0" xfId="0" applyNumberFormat="1" applyFont="1"/>
    <xf numFmtId="166" fontId="3" fillId="0" borderId="0" xfId="0" applyNumberFormat="1" applyFont="1"/>
    <xf numFmtId="0" fontId="7" fillId="2" borderId="0" xfId="0" applyFont="1" applyFill="1" applyAlignment="1">
      <alignment horizontal="center" vertical="center" wrapText="1"/>
    </xf>
    <xf numFmtId="3" fontId="4" fillId="0" borderId="0" xfId="0" applyNumberFormat="1" applyFont="1"/>
    <xf numFmtId="2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9" fillId="0" borderId="0" xfId="0" applyFont="1"/>
    <xf numFmtId="2" fontId="0" fillId="0" borderId="0" xfId="0" applyNumberFormat="1"/>
    <xf numFmtId="0" fontId="2" fillId="0" borderId="0" xfId="0" applyFont="1" applyAlignment="1">
      <alignment vertical="top" wrapText="1"/>
    </xf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12">
    <dxf>
      <fill>
        <patternFill>
          <bgColor rgb="FFD9D9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C6EF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5B3D7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hallat" displayName="Mahallat" ref="A1:AF350" totalsRowShown="0">
  <autoFilter ref="A1:AF350" xr:uid="{00000000-0009-0000-0100-000001000000}"/>
  <tableColumns count="32">
    <tableColumn id="1" xr3:uid="{00000000-0010-0000-0000-000001000000}" name="ردیف"/>
    <tableColumn id="2" xr3:uid="{00000000-0010-0000-0000-000002000000}" name="منطقه"/>
    <tableColumn id="3" xr3:uid="{00000000-0010-0000-0000-000003000000}" name="محله"/>
    <tableColumn id="4" xr3:uid="{00000000-0010-0000-0000-000004000000}" name="جمعیت (حدود ۱۳۹۵)"/>
    <tableColumn id="5" xr3:uid="{00000000-0010-0000-0000-000005000000}" name="تعداد خانوار (برآورد)"/>
    <tableColumn id="6" xr3:uid="{00000000-0010-0000-0000-000006000000}" name="ضریب درآمد نسبی خانوار (میانگین شهر = ۱)"/>
    <tableColumn id="7" xr3:uid="{00000000-0010-0000-0000-000007000000}" name="درآمد سالانه برآوردی خانوار ساکن (میلیون تومان)"/>
    <tableColumn id="8" xr3:uid="{00000000-0010-0000-0000-000008000000}" name="قیمت میانه هر متر (میلیون تومان)"/>
    <tableColumn id="9" xr3:uid="{00000000-0010-0000-0000-000009000000}" name="قیمت واحد استاندارد (میلیون تومان)"/>
    <tableColumn id="10" xr3:uid="{00000000-0010-0000-0000-00000A000000}" name="متراژ میانه آگهی‌های فروش (متر)"/>
    <tableColumn id="11" xr3:uid="{00000000-0010-0000-0000-00000B000000}" name="نسبت قیمت به درآمد (PIR) ساکنان"/>
    <tableColumn id="12" xr3:uid="{00000000-0010-0000-0000-00000C000000}" name="PIR برای خانوار متوسط تهران"/>
    <tableColumn id="13" xr3:uid="{00000000-0010-0000-0000-00000D000000}" name="سال‌های لازم پس‌انداز برای خرید (ساکنان)"/>
    <tableColumn id="15" xr3:uid="{00000000-0010-0000-0000-00000F000000}" name="رهن کامل معادل هر متر (میلیون تومان)"/>
    <tableColumn id="16" xr3:uid="{00000000-0010-0000-0000-000010000000}" name="اجاره ماهانه معادل واحد استاندارد (میلیون تومان)"/>
    <tableColumn id="17" xr3:uid="{00000000-0010-0000-0000-000011000000}" name="سهم اجاره از درآمد ساکنان ٪"/>
    <tableColumn id="18" xr3:uid="{00000000-0010-0000-0000-000012000000}" name="سهم اجاره از درآمد خانوار متوسط تهران ٪"/>
    <tableColumn id="19" xr3:uid="{00000000-0010-0000-0000-000013000000}" name="سطح استطاعت اجاره"/>
    <tableColumn id="20" xr3:uid="{00000000-0010-0000-0000-000014000000}" name="سهم خانوارهای تهران قادر به اجاره (≤۳۰٪ درآمد) ٪"/>
    <tableColumn id="21" xr3:uid="{00000000-0010-0000-0000-000015000000}" name="سهم خانوارهای تهران با PIR ≤ ۵ ٪"/>
    <tableColumn id="22" xr3:uid="{00000000-0010-0000-0000-000016000000}" name="پوشش وام از قیمت ٪"/>
    <tableColumn id="23" xr3:uid="{00000000-0010-0000-0000-000017000000}" name="پیش‌پرداخت لازم پس از وام (میلیون تومان)"/>
    <tableColumn id="24" xr3:uid="{00000000-0010-0000-0000-000018000000}" name="سال‌های پس‌انداز برای پیش‌پرداخت (ساکنان)"/>
    <tableColumn id="25" xr3:uid="{00000000-0010-0000-0000-000019000000}" name="نسبت قسط وام به درآمد ماهانه ساکنان ٪"/>
    <tableColumn id="26" xr3:uid="{00000000-0010-0000-0000-00001A000000}" name="شاخص ترکیبی استطاعت مسکن (۰ تا ۱۰۰؛ بیشتر = قابل‌استطاعت‌تر)"/>
    <tableColumn id="27" xr3:uid="{00000000-0010-0000-0000-00001B000000}" name="رتبه استطاعت در شهر"/>
    <tableColumn id="28" xr3:uid="{00000000-0010-0000-0000-00001C000000}" name="تعداد آگهی فروش"/>
    <tableColumn id="29" xr3:uid="{00000000-0010-0000-0000-00001D000000}" name="تعداد آگهی اجاره"/>
    <tableColumn id="30" xr3:uid="{00000000-0010-0000-0000-00001E000000}" name="منبع داده اجاره"/>
    <tableColumn id="31" xr3:uid="{00000000-0010-0000-0000-00001F000000}" name="نوع تطبیق"/>
    <tableColumn id="32" xr3:uid="{00000000-0010-0000-0000-000020000000}" name="محله(های) دیوار"/>
    <tableColumn id="33" xr3:uid="{00000000-0010-0000-0000-000021000000}" name="درجه کیفیت داد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rightToLeft="1" zoomScaleNormal="100" workbookViewId="0"/>
  </sheetViews>
  <sheetFormatPr defaultColWidth="8.625" defaultRowHeight="14.25" x14ac:dyDescent="0.2"/>
  <cols>
    <col min="1" max="1" width="60" customWidth="1"/>
    <col min="2" max="2" width="22" customWidth="1"/>
  </cols>
  <sheetData>
    <row r="1" spans="1:4" ht="18" x14ac:dyDescent="0.25">
      <c r="A1" s="2" t="s">
        <v>0</v>
      </c>
    </row>
    <row r="3" spans="1:4" x14ac:dyDescent="0.2">
      <c r="A3" s="3" t="s">
        <v>1</v>
      </c>
      <c r="B3" s="4">
        <f>COUNTA(محلات!C2:C350)</f>
        <v>349</v>
      </c>
    </row>
    <row r="4" spans="1:4" x14ac:dyDescent="0.2">
      <c r="A4" s="3" t="s">
        <v>2</v>
      </c>
      <c r="B4" s="5">
        <f>SUM(محلات!E2:E350)</f>
        <v>2889992</v>
      </c>
    </row>
    <row r="5" spans="1:4" ht="16.5" x14ac:dyDescent="0.3">
      <c r="A5" s="3" t="s">
        <v>3</v>
      </c>
      <c r="B5" s="5">
        <f>پارامترها!B5/1000000</f>
        <v>973.35000000000014</v>
      </c>
    </row>
    <row r="6" spans="1:4" ht="16.5" x14ac:dyDescent="0.3">
      <c r="A6" s="3" t="s">
        <v>4</v>
      </c>
      <c r="B6" s="6">
        <f>مناطق!H24</f>
        <v>252.72866956033084</v>
      </c>
    </row>
    <row r="7" spans="1:4" ht="16.5" x14ac:dyDescent="0.3">
      <c r="A7" s="3" t="s">
        <v>5</v>
      </c>
      <c r="B7" s="7">
        <f>مناطق!J24</f>
        <v>19.457750828679739</v>
      </c>
    </row>
    <row r="8" spans="1:4" x14ac:dyDescent="0.2">
      <c r="A8" s="3" t="s">
        <v>6</v>
      </c>
      <c r="B8" s="7">
        <f>مناطق!K24</f>
        <v>68.702260331526688</v>
      </c>
    </row>
    <row r="9" spans="1:4" ht="16.5" x14ac:dyDescent="0.3">
      <c r="A9" s="3" t="s">
        <v>7</v>
      </c>
      <c r="B9" s="7">
        <f>MIN(محلات!L2:L350)</f>
        <v>5.8714748035136379</v>
      </c>
    </row>
    <row r="10" spans="1:4" ht="16.5" x14ac:dyDescent="0.3">
      <c r="A10" s="3" t="s">
        <v>8</v>
      </c>
      <c r="B10" s="7">
        <f>MAX(محلات!L2:L350)</f>
        <v>64.848204654029885</v>
      </c>
    </row>
    <row r="11" spans="1:4" ht="16.5" x14ac:dyDescent="0.3">
      <c r="A11" s="3" t="s">
        <v>9</v>
      </c>
      <c r="B11" s="4" t="e">
        <f>COUNTIF(محلات!#REF!,"شدید")+COUNTIF(محلات!#REF!,"بسیار شدید (غیرممکن)")</f>
        <v>#REF!</v>
      </c>
    </row>
    <row r="12" spans="1:4" ht="16.5" x14ac:dyDescent="0.3">
      <c r="A12" s="3" t="s">
        <v>10</v>
      </c>
      <c r="B12" s="4">
        <f>COUNTIF(محلات!R2:R350,"فشار شدید")</f>
        <v>347</v>
      </c>
    </row>
    <row r="13" spans="1:4" x14ac:dyDescent="0.2">
      <c r="A13" s="3" t="s">
        <v>11</v>
      </c>
      <c r="B13" s="4">
        <f>COUNTIF(محلات!S2:S350,"&lt;20")</f>
        <v>261</v>
      </c>
    </row>
    <row r="14" spans="1:4" ht="16.5" x14ac:dyDescent="0.3">
      <c r="A14" s="3" t="s">
        <v>12</v>
      </c>
      <c r="B14" s="7">
        <f>پارامترها!B12/1000000</f>
        <v>40.275240404259584</v>
      </c>
    </row>
    <row r="16" spans="1:4" ht="33.75" customHeight="1" x14ac:dyDescent="0.2">
      <c r="A16" s="1" t="s">
        <v>13</v>
      </c>
      <c r="B16" s="1"/>
      <c r="C16" s="1"/>
      <c r="D16" s="1"/>
    </row>
    <row r="17" spans="1:4" ht="33.75" customHeight="1" x14ac:dyDescent="0.2">
      <c r="A17" s="1" t="s">
        <v>14</v>
      </c>
      <c r="B17" s="1"/>
      <c r="C17" s="1"/>
      <c r="D17" s="1"/>
    </row>
    <row r="18" spans="1:4" ht="33.75" customHeight="1" x14ac:dyDescent="0.2">
      <c r="A18" s="1" t="s">
        <v>15</v>
      </c>
      <c r="B18" s="1"/>
      <c r="C18" s="1"/>
      <c r="D18" s="1"/>
    </row>
    <row r="19" spans="1:4" ht="33.75" customHeight="1" x14ac:dyDescent="0.2">
      <c r="A19" s="1" t="s">
        <v>16</v>
      </c>
      <c r="B19" s="1"/>
      <c r="C19" s="1"/>
      <c r="D19" s="1"/>
    </row>
  </sheetData>
  <mergeCells count="4">
    <mergeCell ref="A16:D16"/>
    <mergeCell ref="A17:D17"/>
    <mergeCell ref="A18:D18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rightToLeft="1" zoomScaleNormal="100" workbookViewId="0"/>
  </sheetViews>
  <sheetFormatPr defaultColWidth="8.625" defaultRowHeight="14.25" x14ac:dyDescent="0.2"/>
  <cols>
    <col min="1" max="1" width="58" customWidth="1"/>
    <col min="2" max="2" width="20" customWidth="1"/>
    <col min="3" max="3" width="80" customWidth="1"/>
  </cols>
  <sheetData>
    <row r="1" spans="1:3" ht="21" x14ac:dyDescent="0.4">
      <c r="A1" s="2" t="s">
        <v>17</v>
      </c>
    </row>
    <row r="2" spans="1:3" ht="66" customHeight="1" x14ac:dyDescent="0.2">
      <c r="A2" s="8" t="s">
        <v>18</v>
      </c>
      <c r="B2" s="8" t="s">
        <v>19</v>
      </c>
      <c r="C2" s="8" t="s">
        <v>20</v>
      </c>
    </row>
    <row r="3" spans="1:3" ht="16.5" x14ac:dyDescent="0.3">
      <c r="A3" s="3" t="s">
        <v>21</v>
      </c>
      <c r="B3" s="9">
        <v>721000000</v>
      </c>
      <c r="C3" s="10" t="s">
        <v>22</v>
      </c>
    </row>
    <row r="4" spans="1:3" ht="33" x14ac:dyDescent="0.3">
      <c r="A4" s="3" t="s">
        <v>23</v>
      </c>
      <c r="B4" s="11">
        <v>1.35</v>
      </c>
      <c r="C4" s="10" t="s">
        <v>24</v>
      </c>
    </row>
    <row r="5" spans="1:3" ht="16.5" x14ac:dyDescent="0.3">
      <c r="A5" s="3" t="s">
        <v>25</v>
      </c>
      <c r="B5" s="5">
        <f>B3*B4</f>
        <v>973350000.00000012</v>
      </c>
      <c r="C5" s="10" t="s">
        <v>26</v>
      </c>
    </row>
    <row r="6" spans="1:3" ht="16.5" x14ac:dyDescent="0.3">
      <c r="A6" s="3" t="s">
        <v>27</v>
      </c>
      <c r="B6" s="12">
        <v>75</v>
      </c>
      <c r="C6" s="10" t="s">
        <v>28</v>
      </c>
    </row>
    <row r="7" spans="1:3" x14ac:dyDescent="0.2">
      <c r="A7" s="3" t="s">
        <v>29</v>
      </c>
      <c r="B7" s="13">
        <v>0.3</v>
      </c>
      <c r="C7" s="10" t="s">
        <v>30</v>
      </c>
    </row>
    <row r="8" spans="1:3" ht="16.5" x14ac:dyDescent="0.3">
      <c r="A8" s="3" t="s">
        <v>31</v>
      </c>
      <c r="B8" s="13">
        <v>0.3</v>
      </c>
      <c r="C8" s="10" t="s">
        <v>32</v>
      </c>
    </row>
    <row r="9" spans="1:3" ht="16.5" x14ac:dyDescent="0.3">
      <c r="A9" s="3" t="s">
        <v>33</v>
      </c>
      <c r="B9" s="9">
        <v>2000000000</v>
      </c>
      <c r="C9" s="10" t="s">
        <v>34</v>
      </c>
    </row>
    <row r="10" spans="1:3" x14ac:dyDescent="0.2">
      <c r="A10" s="3" t="s">
        <v>35</v>
      </c>
      <c r="B10" s="14">
        <v>0.22500000000000001</v>
      </c>
      <c r="C10" s="10" t="s">
        <v>36</v>
      </c>
    </row>
    <row r="11" spans="1:3" ht="16.5" x14ac:dyDescent="0.3">
      <c r="A11" s="3" t="s">
        <v>37</v>
      </c>
      <c r="B11" s="12">
        <v>12</v>
      </c>
      <c r="C11" s="10" t="s">
        <v>38</v>
      </c>
    </row>
    <row r="12" spans="1:3" ht="16.5" x14ac:dyDescent="0.3">
      <c r="A12" s="3" t="s">
        <v>39</v>
      </c>
      <c r="B12" s="5">
        <f>PMT(B10/12,B11*12,-B9)</f>
        <v>40275240.404259585</v>
      </c>
      <c r="C12" s="10" t="s">
        <v>40</v>
      </c>
    </row>
    <row r="13" spans="1:3" ht="16.5" x14ac:dyDescent="0.3">
      <c r="A13" s="3" t="s">
        <v>41</v>
      </c>
      <c r="B13" s="15">
        <v>0.40210000000000001</v>
      </c>
      <c r="C13" s="10" t="s">
        <v>42</v>
      </c>
    </row>
    <row r="14" spans="1:3" ht="16.5" x14ac:dyDescent="0.3">
      <c r="A14" s="3" t="s">
        <v>43</v>
      </c>
      <c r="B14" s="16">
        <f>2*NORMSINV((1+B13)/2)</f>
        <v>1.054845639815275</v>
      </c>
      <c r="C14" s="10" t="s">
        <v>44</v>
      </c>
    </row>
    <row r="15" spans="1:3" ht="16.5" x14ac:dyDescent="0.3">
      <c r="A15" s="3" t="s">
        <v>45</v>
      </c>
      <c r="B15" s="16">
        <f>LN(B5)-B14^2/2</f>
        <v>20.139904625780911</v>
      </c>
      <c r="C15" s="10" t="s">
        <v>26</v>
      </c>
    </row>
    <row r="16" spans="1:3" ht="16.5" x14ac:dyDescent="0.3">
      <c r="A16" s="3" t="s">
        <v>46</v>
      </c>
      <c r="B16" s="17">
        <v>0.03</v>
      </c>
      <c r="C16" s="10" t="s">
        <v>47</v>
      </c>
    </row>
    <row r="17" spans="1:3" ht="16.5" x14ac:dyDescent="0.3">
      <c r="A17" s="3" t="s">
        <v>48</v>
      </c>
      <c r="B17" s="16">
        <v>1.0349999999999999</v>
      </c>
      <c r="C17" s="10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50"/>
  <sheetViews>
    <sheetView rightToLeft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1" sqref="N1:N1048576"/>
    </sheetView>
  </sheetViews>
  <sheetFormatPr defaultColWidth="8.625" defaultRowHeight="14.25" x14ac:dyDescent="0.2"/>
  <cols>
    <col min="1" max="1" width="6" customWidth="1"/>
    <col min="2" max="2" width="7" customWidth="1"/>
    <col min="3" max="3" width="22" customWidth="1"/>
    <col min="4" max="4" width="11" customWidth="1"/>
    <col min="5" max="6" width="10" customWidth="1"/>
    <col min="7" max="7" width="12" customWidth="1"/>
    <col min="8" max="8" width="11" customWidth="1"/>
    <col min="9" max="9" width="12" customWidth="1"/>
    <col min="10" max="10" width="9" customWidth="1"/>
    <col min="11" max="13" width="10" customWidth="1"/>
    <col min="14" max="15" width="11" customWidth="1"/>
    <col min="16" max="17" width="10" customWidth="1"/>
    <col min="18" max="18" width="14" customWidth="1"/>
    <col min="19" max="20" width="11" customWidth="1"/>
    <col min="21" max="21" width="9" customWidth="1"/>
    <col min="22" max="22" width="12" customWidth="1"/>
    <col min="23" max="24" width="10" customWidth="1"/>
    <col min="25" max="25" width="12" customWidth="1"/>
    <col min="26" max="28" width="8" customWidth="1"/>
    <col min="29" max="29" width="14" customWidth="1"/>
    <col min="30" max="30" width="16" customWidth="1"/>
    <col min="31" max="31" width="22" customWidth="1"/>
    <col min="32" max="32" width="8" customWidth="1"/>
  </cols>
  <sheetData>
    <row r="1" spans="1:32" ht="66" customHeight="1" x14ac:dyDescent="0.2">
      <c r="A1" s="8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  <c r="G1" s="8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1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 t="s">
        <v>74</v>
      </c>
      <c r="Z1" s="8" t="s">
        <v>75</v>
      </c>
      <c r="AA1" s="8" t="s">
        <v>76</v>
      </c>
      <c r="AB1" s="8" t="s">
        <v>77</v>
      </c>
      <c r="AC1" s="8" t="s">
        <v>78</v>
      </c>
      <c r="AD1" s="8" t="s">
        <v>79</v>
      </c>
      <c r="AE1" s="8" t="s">
        <v>80</v>
      </c>
      <c r="AF1" s="8" t="s">
        <v>81</v>
      </c>
    </row>
    <row r="2" spans="1:32" x14ac:dyDescent="0.2">
      <c r="A2" s="3">
        <v>1</v>
      </c>
      <c r="B2" s="3">
        <v>1</v>
      </c>
      <c r="C2" s="3" t="s">
        <v>82</v>
      </c>
      <c r="D2" s="19">
        <v>26587</v>
      </c>
      <c r="E2" s="19">
        <f>ROUND(D2/INDEX(مناطق!$D$2:$D$23,B2),0)</f>
        <v>9112</v>
      </c>
      <c r="F2" s="20">
        <v>3.4199000000000002</v>
      </c>
      <c r="G2" s="19">
        <f>پارامترها!$B$5*F2/1000000</f>
        <v>3328.7596650000005</v>
      </c>
      <c r="H2" s="21">
        <v>841.6</v>
      </c>
      <c r="I2" s="19">
        <f>H2*پارامترها!$B$6</f>
        <v>63120</v>
      </c>
      <c r="J2" s="22">
        <v>190</v>
      </c>
      <c r="K2" s="21">
        <f t="shared" ref="K2:K65" si="0">I2/G2</f>
        <v>18.962017794096287</v>
      </c>
      <c r="L2" s="21">
        <f>I2/(پارامترها!$B$5/1000000)</f>
        <v>64.848204654029885</v>
      </c>
      <c r="M2" s="21">
        <f>K2/پارامترها!$B$7</f>
        <v>63.206725980320961</v>
      </c>
      <c r="N2" s="21">
        <v>68.3</v>
      </c>
      <c r="O2" s="21">
        <f>N2*پارامترها!$B$6*پارامترها!$B$16</f>
        <v>153.67499999999998</v>
      </c>
      <c r="P2" s="21">
        <f>O2*12/G2*100</f>
        <v>55.399013013455253</v>
      </c>
      <c r="Q2" s="21">
        <f>O2*12/(پارامترها!$B$5/1000000)*100</f>
        <v>189.45908460471563</v>
      </c>
      <c r="R2" s="3" t="str">
        <f t="shared" ref="R2:R65" si="1">IF(P2&lt;=30,"قابل استطاعت",IF(P2&lt;=50,"زیر فشار","فشار شدید"))</f>
        <v>فشار شدید</v>
      </c>
      <c r="S2" s="21">
        <f>(1-NORMSDIST((LN(O2*12*1000000/پارامترها!$B$8)-پارامترها!$B$15)/پارامترها!$B$14))*100</f>
        <v>1.1465722946996215</v>
      </c>
      <c r="T2" s="21">
        <f>(1-NORMSDIST((LN(I2*1000000/5)-پارامترها!$B$15)/پارامترها!$B$14))*100</f>
        <v>0.15542799667374041</v>
      </c>
      <c r="U2" s="21">
        <f>MIN(100,پارامترها!$B$9/1000000/I2*100)</f>
        <v>3.1685678073510775</v>
      </c>
      <c r="V2" s="19">
        <f>MAX(0,I2-پارامترها!$B$9/1000000)</f>
        <v>61120</v>
      </c>
      <c r="W2" s="21">
        <f>V2/(G2*پارامترها!$B$7)</f>
        <v>61.203978008827896</v>
      </c>
      <c r="X2" s="21">
        <f>پارامترها!$B$12/1000000/(G2/12)*100</f>
        <v>14.519008083784716</v>
      </c>
      <c r="Y2" s="21">
        <f>ROUND(50*MIN(1,3/K2)+50*MIN(1,30/P2),1)</f>
        <v>35</v>
      </c>
      <c r="Z2" s="3">
        <f t="shared" ref="Z2:Z65" si="2">RANK(Y2,$Y$2:$Y$350,0)</f>
        <v>12</v>
      </c>
      <c r="AA2" s="19">
        <v>88</v>
      </c>
      <c r="AB2" s="19">
        <v>83</v>
      </c>
      <c r="AC2" s="3" t="s">
        <v>83</v>
      </c>
      <c r="AD2" s="3" t="s">
        <v>84</v>
      </c>
      <c r="AE2" s="3" t="s">
        <v>82</v>
      </c>
      <c r="AF2" s="23" t="s">
        <v>85</v>
      </c>
    </row>
    <row r="3" spans="1:32" x14ac:dyDescent="0.2">
      <c r="A3" s="3">
        <v>2</v>
      </c>
      <c r="B3" s="3">
        <v>1</v>
      </c>
      <c r="C3" s="3" t="s">
        <v>86</v>
      </c>
      <c r="D3" s="19">
        <v>30377</v>
      </c>
      <c r="E3" s="19">
        <f>ROUND(D3/INDEX(مناطق!$D$2:$D$23,B3),0)</f>
        <v>10410</v>
      </c>
      <c r="F3" s="20">
        <v>3.3881999999999999</v>
      </c>
      <c r="G3" s="19">
        <f>پارامترها!$B$5*F3/1000000</f>
        <v>3297.9044700000004</v>
      </c>
      <c r="H3" s="21">
        <v>834.1</v>
      </c>
      <c r="I3" s="19">
        <f>H3*پارامترها!$B$6</f>
        <v>62557.5</v>
      </c>
      <c r="J3" s="22">
        <v>200</v>
      </c>
      <c r="K3" s="21">
        <f t="shared" si="0"/>
        <v>18.968863582637368</v>
      </c>
      <c r="L3" s="21">
        <f>I3/(پارامترها!$B$5/1000000)</f>
        <v>64.270303590691938</v>
      </c>
      <c r="M3" s="21">
        <f>K3/پارامترها!$B$7</f>
        <v>63.229545275457895</v>
      </c>
      <c r="N3" s="21">
        <v>73.77</v>
      </c>
      <c r="O3" s="21">
        <f>N3*پارامترها!$B$6*پارامترها!$B$16</f>
        <v>165.98249999999999</v>
      </c>
      <c r="P3" s="21">
        <f>O3*12/G3*100</f>
        <v>60.395624497880007</v>
      </c>
      <c r="Q3" s="21">
        <f>O3*12/(پارامترها!$B$5/1000000)*100</f>
        <v>204.63245492371703</v>
      </c>
      <c r="R3" s="3" t="str">
        <f t="shared" si="1"/>
        <v>فشار شدید</v>
      </c>
      <c r="S3" s="21">
        <f>(1-NORMSDIST((LN(O3*12*1000000/پارامترها!$B$8)-پارامترها!$B$15)/پارامترها!$B$14))*100</f>
        <v>0.94471087340902704</v>
      </c>
      <c r="T3" s="21">
        <f>(1-NORMSDIST((LN(I3*1000000/5)-پارامترها!$B$15)/پارامترها!$B$14))*100</f>
        <v>0.15975947335136187</v>
      </c>
      <c r="U3" s="21">
        <f>MIN(100,پارامترها!$B$9/1000000/I3*100)</f>
        <v>3.1970587059904889</v>
      </c>
      <c r="V3" s="19">
        <f>MAX(0,I3-پارامترها!$B$9/1000000)</f>
        <v>60557.5</v>
      </c>
      <c r="W3" s="21">
        <f>V3/(G3*پارامترها!$B$7)</f>
        <v>61.208059593470679</v>
      </c>
      <c r="X3" s="21">
        <f>پارامترها!$B$12/1000000/(G3/12)*100</f>
        <v>14.654847926844738</v>
      </c>
      <c r="Y3" s="21">
        <f>ROUND(50*MIN(1,3/K3)+50*MIN(1,30/P3),1)</f>
        <v>32.700000000000003</v>
      </c>
      <c r="Z3" s="3">
        <f t="shared" si="2"/>
        <v>38</v>
      </c>
      <c r="AA3" s="19">
        <v>87</v>
      </c>
      <c r="AB3" s="19">
        <v>84</v>
      </c>
      <c r="AC3" s="3" t="s">
        <v>83</v>
      </c>
      <c r="AD3" s="3" t="s">
        <v>84</v>
      </c>
      <c r="AE3" s="3" t="s">
        <v>86</v>
      </c>
      <c r="AF3" s="23" t="s">
        <v>85</v>
      </c>
    </row>
    <row r="4" spans="1:32" x14ac:dyDescent="0.2">
      <c r="A4" s="3">
        <v>3</v>
      </c>
      <c r="B4" s="3">
        <v>1</v>
      </c>
      <c r="C4" s="3" t="s">
        <v>87</v>
      </c>
      <c r="D4" s="19">
        <v>8763</v>
      </c>
      <c r="E4" s="19">
        <f>ROUND(D4/INDEX(مناطق!$D$2:$D$23,B4),0)</f>
        <v>3003</v>
      </c>
      <c r="F4" s="20">
        <v>2.8534999999999999</v>
      </c>
      <c r="G4" s="19">
        <f>پارامترها!$B$5*F4/1000000</f>
        <v>2777.4542250000004</v>
      </c>
      <c r="H4" s="21">
        <v>706.5</v>
      </c>
      <c r="I4" s="19">
        <f>H4*پارامترها!$B$6</f>
        <v>52987.5</v>
      </c>
      <c r="J4" s="22">
        <v>179</v>
      </c>
      <c r="K4" s="21">
        <f t="shared" si="0"/>
        <v>19.077722153998774</v>
      </c>
      <c r="L4" s="21">
        <f>I4/(پارامترها!$B$5/1000000)</f>
        <v>54.438280166435497</v>
      </c>
      <c r="M4" s="21">
        <f>K4/پارامترها!$B$7</f>
        <v>63.592407179995917</v>
      </c>
      <c r="N4" s="21">
        <v>71.040000000000006</v>
      </c>
      <c r="O4" s="21">
        <f>N4*پارامترها!$B$6*پارامترها!$B$16</f>
        <v>159.84000000000003</v>
      </c>
      <c r="P4" s="21">
        <f>O4*12/G4*100</f>
        <v>69.058923914398633</v>
      </c>
      <c r="Q4" s="21">
        <f>O4*12/(پارامترها!$B$5/1000000)*100</f>
        <v>197.0596393897365</v>
      </c>
      <c r="R4" s="3" t="str">
        <f t="shared" si="1"/>
        <v>فشار شدید</v>
      </c>
      <c r="S4" s="21">
        <f>(1-NORMSDIST((LN(O4*12*1000000/پارامترها!$B$8)-پارامترها!$B$15)/پارامترها!$B$14))*100</f>
        <v>1.0392614638090936</v>
      </c>
      <c r="T4" s="21">
        <f>(1-NORMSDIST((LN(I4*1000000/5)-پارامترها!$B$15)/پارامترها!$B$14))*100</f>
        <v>0.2628003548823199</v>
      </c>
      <c r="U4" s="21">
        <f>MIN(100,پارامترها!$B$9/1000000/I4*100)</f>
        <v>3.7744751120547302</v>
      </c>
      <c r="V4" s="19">
        <f>MAX(0,I4-پارامترها!$B$9/1000000)</f>
        <v>50987.5</v>
      </c>
      <c r="W4" s="21">
        <f>V4/(G4*پارامترها!$B$7)</f>
        <v>61.192127597830464</v>
      </c>
      <c r="X4" s="21">
        <f>پارامترها!$B$12/1000000/(G4/12)*100</f>
        <v>17.400930697646867</v>
      </c>
      <c r="Y4" s="21">
        <f>ROUND(50*MIN(1,3/K4)+50*MIN(1,30/P4),1)</f>
        <v>29.6</v>
      </c>
      <c r="Z4" s="3">
        <f t="shared" si="2"/>
        <v>185</v>
      </c>
      <c r="AA4" s="19">
        <v>88</v>
      </c>
      <c r="AB4" s="19">
        <v>85</v>
      </c>
      <c r="AC4" s="3" t="s">
        <v>83</v>
      </c>
      <c r="AD4" s="3" t="s">
        <v>84</v>
      </c>
      <c r="AE4" s="3" t="s">
        <v>87</v>
      </c>
      <c r="AF4" s="23" t="s">
        <v>85</v>
      </c>
    </row>
    <row r="5" spans="1:32" x14ac:dyDescent="0.2">
      <c r="A5" s="3">
        <v>4</v>
      </c>
      <c r="B5" s="3">
        <v>1</v>
      </c>
      <c r="C5" s="3" t="s">
        <v>88</v>
      </c>
      <c r="D5" s="19">
        <v>22574</v>
      </c>
      <c r="E5" s="19">
        <f>ROUND(D5/INDEX(مناطق!$D$2:$D$23,B5),0)</f>
        <v>7736</v>
      </c>
      <c r="F5" s="20">
        <v>2.8056999999999999</v>
      </c>
      <c r="G5" s="19">
        <f>پارامترها!$B$5*F5/1000000</f>
        <v>2730.9280950000002</v>
      </c>
      <c r="H5" s="21">
        <v>695.1</v>
      </c>
      <c r="I5" s="19">
        <f>H5*پارامترها!$B$6</f>
        <v>52132.5</v>
      </c>
      <c r="J5" s="22">
        <v>212.5</v>
      </c>
      <c r="K5" s="21">
        <f t="shared" si="0"/>
        <v>19.089664094579536</v>
      </c>
      <c r="L5" s="21">
        <f>I5/(پارامترها!$B$5/1000000)</f>
        <v>53.559870550161804</v>
      </c>
      <c r="M5" s="21">
        <f>K5/پارامترها!$B$7</f>
        <v>63.632213648598459</v>
      </c>
      <c r="N5" s="21">
        <v>54.83</v>
      </c>
      <c r="O5" s="21">
        <f>N5*پارامترها!$B$6*پارامترها!$B$16</f>
        <v>123.36749999999999</v>
      </c>
      <c r="P5" s="21">
        <f>O5*12/G5*100</f>
        <v>54.209043537632937</v>
      </c>
      <c r="Q5" s="21">
        <f>O5*12/(پارامترها!$B$5/1000000)*100</f>
        <v>152.09431345353673</v>
      </c>
      <c r="R5" s="3" t="str">
        <f t="shared" si="1"/>
        <v>فشار شدید</v>
      </c>
      <c r="S5" s="21">
        <f>(1-NORMSDIST((LN(O5*12*1000000/پارامترها!$B$8)-پارامترها!$B$15)/پارامترها!$B$14))*100</f>
        <v>1.9398938076281458</v>
      </c>
      <c r="T5" s="21">
        <f>(1-NORMSDIST((LN(I5*1000000/5)-پارامترها!$B$15)/پارامترها!$B$14))*100</f>
        <v>0.27559431471524398</v>
      </c>
      <c r="U5" s="21">
        <f>MIN(100,پارامترها!$B$9/1000000/I5*100)</f>
        <v>3.8363784587349543</v>
      </c>
      <c r="V5" s="19">
        <f>MAX(0,I5-پارامترها!$B$9/1000000)</f>
        <v>50132.5</v>
      </c>
      <c r="W5" s="21">
        <f>V5/(G5*پارامترها!$B$7)</f>
        <v>61.191041111367426</v>
      </c>
      <c r="X5" s="21">
        <f>پارامترها!$B$12/1000000/(G5/12)*100</f>
        <v>17.697385944946127</v>
      </c>
      <c r="Y5" s="21">
        <f>ROUND(50*MIN(1,3/K5)+50*MIN(1,30/P5),1)</f>
        <v>35.5</v>
      </c>
      <c r="Z5" s="3">
        <f t="shared" si="2"/>
        <v>6</v>
      </c>
      <c r="AA5" s="19">
        <v>88</v>
      </c>
      <c r="AB5" s="19">
        <v>88</v>
      </c>
      <c r="AC5" s="3" t="s">
        <v>83</v>
      </c>
      <c r="AD5" s="3" t="s">
        <v>84</v>
      </c>
      <c r="AE5" s="3" t="s">
        <v>88</v>
      </c>
      <c r="AF5" s="23" t="s">
        <v>85</v>
      </c>
    </row>
    <row r="6" spans="1:32" x14ac:dyDescent="0.2">
      <c r="A6" s="3">
        <v>5</v>
      </c>
      <c r="B6" s="3">
        <v>1</v>
      </c>
      <c r="C6" s="3" t="s">
        <v>89</v>
      </c>
      <c r="D6" s="19">
        <v>17579</v>
      </c>
      <c r="E6" s="19">
        <f>ROUND(D6/INDEX(مناطق!$D$2:$D$23,B6),0)</f>
        <v>6024</v>
      </c>
      <c r="F6" s="20">
        <v>2.7875000000000001</v>
      </c>
      <c r="G6" s="19">
        <f>پارامترها!$B$5*F6/1000000</f>
        <v>2713.2131250000007</v>
      </c>
      <c r="H6" s="21">
        <v>690.8</v>
      </c>
      <c r="I6" s="19">
        <f>H6*پارامترها!$B$6</f>
        <v>51810</v>
      </c>
      <c r="J6" s="22">
        <v>189</v>
      </c>
      <c r="K6" s="21">
        <f t="shared" si="0"/>
        <v>19.095440576567309</v>
      </c>
      <c r="L6" s="21">
        <f>I6/(پارامترها!$B$5/1000000)</f>
        <v>53.22854060718138</v>
      </c>
      <c r="M6" s="21">
        <f>K6/پارامترها!$B$7</f>
        <v>63.651468588557698</v>
      </c>
      <c r="N6" s="21">
        <v>57.61</v>
      </c>
      <c r="O6" s="21">
        <f>N6*پارامترها!$B$6*پارامترها!$B$16</f>
        <v>129.6225</v>
      </c>
      <c r="P6" s="21">
        <f>O6*12/G6*100</f>
        <v>57.329444033262213</v>
      </c>
      <c r="Q6" s="21">
        <f>O6*12/(پارامترها!$B$5/1000000)*100</f>
        <v>159.80582524271841</v>
      </c>
      <c r="R6" s="3" t="str">
        <f t="shared" si="1"/>
        <v>فشار شدید</v>
      </c>
      <c r="S6" s="21">
        <f>(1-NORMSDIST((LN(O6*12*1000000/پارامترها!$B$8)-پارامترها!$B$15)/پارامترها!$B$14))*100</f>
        <v>1.7291341636143209</v>
      </c>
      <c r="T6" s="21">
        <f>(1-NORMSDIST((LN(I6*1000000/5)-پارامترها!$B$15)/پارامترها!$B$14))*100</f>
        <v>0.28062096565208972</v>
      </c>
      <c r="U6" s="21">
        <f>MIN(100,پارامترها!$B$9/1000000/I6*100)</f>
        <v>3.8602586373287013</v>
      </c>
      <c r="V6" s="19">
        <f>MAX(0,I6-پارامترها!$B$9/1000000)</f>
        <v>49810</v>
      </c>
      <c r="W6" s="21">
        <f>V6/(G6*پارامترها!$B$7)</f>
        <v>61.194357274581336</v>
      </c>
      <c r="X6" s="21">
        <f>پارامترها!$B$12/1000000/(G6/12)*100</f>
        <v>17.812934796676355</v>
      </c>
      <c r="Y6" s="21">
        <f>ROUND(50*MIN(1,3/K6)+50*MIN(1,30/P6),1)</f>
        <v>34</v>
      </c>
      <c r="Z6" s="3">
        <f t="shared" si="2"/>
        <v>26</v>
      </c>
      <c r="AA6" s="19">
        <v>13</v>
      </c>
      <c r="AB6" s="19">
        <v>21</v>
      </c>
      <c r="AC6" s="3" t="s">
        <v>83</v>
      </c>
      <c r="AD6" s="3" t="s">
        <v>84</v>
      </c>
      <c r="AE6" s="3" t="s">
        <v>89</v>
      </c>
      <c r="AF6" s="23" t="s">
        <v>90</v>
      </c>
    </row>
    <row r="7" spans="1:32" x14ac:dyDescent="0.2">
      <c r="A7" s="3">
        <v>6</v>
      </c>
      <c r="B7" s="3">
        <v>1</v>
      </c>
      <c r="C7" s="3" t="s">
        <v>91</v>
      </c>
      <c r="D7" s="19">
        <v>13368</v>
      </c>
      <c r="E7" s="19">
        <f>ROUND(D7/INDEX(مناطق!$D$2:$D$23,B7),0)</f>
        <v>4581</v>
      </c>
      <c r="F7" s="20">
        <v>2.6981999999999999</v>
      </c>
      <c r="G7" s="19">
        <f>پارامترها!$B$5*F7/1000000</f>
        <v>2626.2929700000004</v>
      </c>
      <c r="H7" s="21">
        <v>669.3</v>
      </c>
      <c r="I7" s="19">
        <f>H7*پارامترها!$B$6</f>
        <v>50197.5</v>
      </c>
      <c r="J7" s="22">
        <v>210</v>
      </c>
      <c r="K7" s="21">
        <f t="shared" si="0"/>
        <v>19.113442625557497</v>
      </c>
      <c r="L7" s="21">
        <f>I7/(پارامترها!$B$5/1000000)</f>
        <v>51.571890892279235</v>
      </c>
      <c r="M7" s="21">
        <f>K7/پارامترها!$B$7</f>
        <v>63.711475418524991</v>
      </c>
      <c r="N7" s="21">
        <v>54.82</v>
      </c>
      <c r="O7" s="21">
        <f>N7*پارامترها!$B$6*پارامترها!$B$16</f>
        <v>123.345</v>
      </c>
      <c r="P7" s="21">
        <f>O7*12/G7*100</f>
        <v>56.358525758837928</v>
      </c>
      <c r="Q7" s="21">
        <f>O7*12/(پارامترها!$B$5/1000000)*100</f>
        <v>152.0665742024965</v>
      </c>
      <c r="R7" s="3" t="str">
        <f t="shared" si="1"/>
        <v>فشار شدید</v>
      </c>
      <c r="S7" s="21">
        <f>(1-NORMSDIST((LN(O7*12*1000000/پارامترها!$B$8)-پارامترها!$B$15)/پارامترها!$B$14))*100</f>
        <v>1.9407097649502436</v>
      </c>
      <c r="T7" s="21">
        <f>(1-NORMSDIST((LN(I7*1000000/5)-پارامترها!$B$15)/پارامترها!$B$14))*100</f>
        <v>0.30754035895408371</v>
      </c>
      <c r="U7" s="21">
        <f>MIN(100,پارامترها!$B$9/1000000/I7*100)</f>
        <v>3.984262164450421</v>
      </c>
      <c r="V7" s="19">
        <f>MAX(0,I7-پارامترها!$B$9/1000000)</f>
        <v>48197.5</v>
      </c>
      <c r="W7" s="21">
        <f>V7/(G7*پارامترها!$B$7)</f>
        <v>61.173043209011567</v>
      </c>
      <c r="X7" s="21">
        <f>پارامترها!$B$12/1000000/(G7/12)*100</f>
        <v>18.402474147852395</v>
      </c>
      <c r="Y7" s="21">
        <f>ROUND(50*MIN(1,3/K7)+50*MIN(1,30/P7),1)</f>
        <v>34.5</v>
      </c>
      <c r="Z7" s="3">
        <f t="shared" si="2"/>
        <v>17</v>
      </c>
      <c r="AA7" s="19">
        <v>87</v>
      </c>
      <c r="AB7" s="19">
        <v>78</v>
      </c>
      <c r="AC7" s="3" t="s">
        <v>83</v>
      </c>
      <c r="AD7" s="3" t="s">
        <v>84</v>
      </c>
      <c r="AE7" s="3" t="s">
        <v>91</v>
      </c>
      <c r="AF7" s="23" t="s">
        <v>85</v>
      </c>
    </row>
    <row r="8" spans="1:32" ht="16.5" x14ac:dyDescent="0.3">
      <c r="A8" s="3">
        <v>7</v>
      </c>
      <c r="B8" s="3">
        <v>1</v>
      </c>
      <c r="C8" s="3" t="s">
        <v>92</v>
      </c>
      <c r="D8" s="19">
        <v>9791</v>
      </c>
      <c r="E8" s="19">
        <f>ROUND(D8/INDEX(مناطق!$D$2:$D$23,B8),0)</f>
        <v>3355</v>
      </c>
      <c r="F8" s="20">
        <v>2.6589</v>
      </c>
      <c r="G8" s="19">
        <f>پارامترها!$B$5*F8/1000000</f>
        <v>2588.0403150000006</v>
      </c>
      <c r="H8" s="21">
        <v>659.9</v>
      </c>
      <c r="I8" s="19">
        <f>H8*پارامترها!$B$6</f>
        <v>49492.5</v>
      </c>
      <c r="J8" s="22">
        <v>191</v>
      </c>
      <c r="K8" s="21">
        <f t="shared" si="0"/>
        <v>19.12354290354244</v>
      </c>
      <c r="L8" s="21">
        <f>I8/(پارامترها!$B$5/1000000)</f>
        <v>50.847588226228993</v>
      </c>
      <c r="M8" s="21">
        <f>K8/پارامترها!$B$7</f>
        <v>63.745143011808132</v>
      </c>
      <c r="N8" s="21">
        <v>60.42</v>
      </c>
      <c r="O8" s="21">
        <f>N8*پارامترها!$B$6*پارامترها!$B$16</f>
        <v>135.94499999999999</v>
      </c>
      <c r="P8" s="21">
        <f>O8*12/G8*100</f>
        <v>63.033793969318417</v>
      </c>
      <c r="Q8" s="21">
        <f>O8*12/(پارامترها!$B$5/1000000)*100</f>
        <v>167.60055478502079</v>
      </c>
      <c r="R8" s="3" t="str">
        <f t="shared" si="1"/>
        <v>فشار شدید</v>
      </c>
      <c r="S8" s="21">
        <f>(1-NORMSDIST((LN(O8*12*1000000/پارامترها!$B$8)-پارامترها!$B$15)/پارامترها!$B$14))*100</f>
        <v>1.5449958113615936</v>
      </c>
      <c r="T8" s="21">
        <f>(1-NORMSDIST((LN(I8*1000000/5)-پارامترها!$B$15)/پارامترها!$B$14))*100</f>
        <v>0.32031850083232838</v>
      </c>
      <c r="U8" s="21">
        <f>MIN(100,پارامترها!$B$9/1000000/I8*100)</f>
        <v>4.0410163156033736</v>
      </c>
      <c r="V8" s="19">
        <f>MAX(0,I8-پارامترها!$B$9/1000000)</f>
        <v>47492.5</v>
      </c>
      <c r="W8" s="21">
        <f>V8/(G8*پارامترها!$B$7)</f>
        <v>61.169191382296262</v>
      </c>
      <c r="X8" s="21">
        <f>پارامترها!$B$12/1000000/(G8/12)*100</f>
        <v>18.674472806700265</v>
      </c>
      <c r="Y8" s="21">
        <f>ROUND(50*MIN(1,3/K8)+50*MIN(1,30/P8),1)</f>
        <v>31.6</v>
      </c>
      <c r="Z8" s="3">
        <f t="shared" si="2"/>
        <v>81</v>
      </c>
      <c r="AA8" s="19">
        <v>90</v>
      </c>
      <c r="AB8" s="19">
        <v>88</v>
      </c>
      <c r="AC8" s="3" t="s">
        <v>83</v>
      </c>
      <c r="AD8" s="3" t="s">
        <v>93</v>
      </c>
      <c r="AE8" s="3" t="s">
        <v>92</v>
      </c>
      <c r="AF8" s="23" t="s">
        <v>85</v>
      </c>
    </row>
    <row r="9" spans="1:32" ht="16.5" x14ac:dyDescent="0.3">
      <c r="A9" s="3">
        <v>8</v>
      </c>
      <c r="B9" s="3">
        <v>1</v>
      </c>
      <c r="C9" s="3" t="s">
        <v>94</v>
      </c>
      <c r="D9" s="19">
        <v>8373</v>
      </c>
      <c r="E9" s="19">
        <f>ROUND(D9/INDEX(مناطق!$D$2:$D$23,B9),0)</f>
        <v>2869</v>
      </c>
      <c r="F9" s="20">
        <v>2.6501999999999999</v>
      </c>
      <c r="G9" s="19">
        <f>پارامترها!$B$5*F9/1000000</f>
        <v>2579.5721699999999</v>
      </c>
      <c r="H9" s="21">
        <v>657.8</v>
      </c>
      <c r="I9" s="19">
        <f>H9*پارامترها!$B$6</f>
        <v>49335</v>
      </c>
      <c r="J9" s="22">
        <v>175</v>
      </c>
      <c r="K9" s="21">
        <f t="shared" si="0"/>
        <v>19.125264481357775</v>
      </c>
      <c r="L9" s="21">
        <f>I9/(پارامترها!$B$5/1000000)</f>
        <v>50.685775928494365</v>
      </c>
      <c r="M9" s="21">
        <f>K9/پارامترها!$B$7</f>
        <v>63.750881604525915</v>
      </c>
      <c r="N9" s="21">
        <v>58.13</v>
      </c>
      <c r="O9" s="21">
        <f>N9*پارامترها!$B$6*پارامترها!$B$16</f>
        <v>130.79249999999999</v>
      </c>
      <c r="P9" s="21">
        <f>O9*12/G9*100</f>
        <v>60.84381039046486</v>
      </c>
      <c r="Q9" s="21">
        <f>O9*12/(پارامترها!$B$5/1000000)*100</f>
        <v>161.24826629680996</v>
      </c>
      <c r="R9" s="3" t="str">
        <f t="shared" si="1"/>
        <v>فشار شدید</v>
      </c>
      <c r="S9" s="21">
        <f>(1-NORMSDIST((LN(O9*12*1000000/پارامترها!$B$8)-پارامترها!$B$15)/پارامترها!$B$14))*100</f>
        <v>1.6930215105112167</v>
      </c>
      <c r="T9" s="21">
        <f>(1-NORMSDIST((LN(I9*1000000/5)-پارامترها!$B$15)/پارامترها!$B$14))*100</f>
        <v>0.32326320695256205</v>
      </c>
      <c r="U9" s="21">
        <f>MIN(100,پارامترها!$B$9/1000000/I9*100)</f>
        <v>4.0539170973953587</v>
      </c>
      <c r="V9" s="19">
        <f>MAX(0,I9-پارامترها!$B$9/1000000)</f>
        <v>47335</v>
      </c>
      <c r="W9" s="21">
        <f>V9/(G9*پارامترها!$B$7)</f>
        <v>61.166473715419777</v>
      </c>
      <c r="X9" s="21">
        <f>پارامترها!$B$12/1000000/(G9/12)*100</f>
        <v>18.73577682655473</v>
      </c>
      <c r="Y9" s="21">
        <f>ROUND(50*MIN(1,3/K9)+50*MIN(1,30/P9),1)</f>
        <v>32.5</v>
      </c>
      <c r="Z9" s="3">
        <f t="shared" si="2"/>
        <v>42</v>
      </c>
      <c r="AA9" s="19">
        <v>91</v>
      </c>
      <c r="AB9" s="19">
        <v>89</v>
      </c>
      <c r="AC9" s="3" t="s">
        <v>83</v>
      </c>
      <c r="AD9" s="3" t="s">
        <v>84</v>
      </c>
      <c r="AE9" s="3" t="s">
        <v>95</v>
      </c>
      <c r="AF9" s="23" t="s">
        <v>85</v>
      </c>
    </row>
    <row r="10" spans="1:32" ht="16.5" x14ac:dyDescent="0.3">
      <c r="A10" s="3">
        <v>9</v>
      </c>
      <c r="B10" s="3">
        <v>1</v>
      </c>
      <c r="C10" s="3" t="s">
        <v>96</v>
      </c>
      <c r="D10" s="19">
        <v>23845</v>
      </c>
      <c r="E10" s="19">
        <f>ROUND(D10/INDEX(مناطق!$D$2:$D$23,B10),0)</f>
        <v>8172</v>
      </c>
      <c r="F10" s="20">
        <v>2.6282999999999999</v>
      </c>
      <c r="G10" s="19">
        <f>پارامترها!$B$5*F10/1000000</f>
        <v>2558.2558049999998</v>
      </c>
      <c r="H10" s="21">
        <v>652.6</v>
      </c>
      <c r="I10" s="19">
        <f>H10*پارامترها!$B$6</f>
        <v>48945</v>
      </c>
      <c r="J10" s="22">
        <v>175</v>
      </c>
      <c r="K10" s="21">
        <f t="shared" si="0"/>
        <v>19.132175877150019</v>
      </c>
      <c r="L10" s="21">
        <f>I10/(پارامترها!$B$5/1000000)</f>
        <v>50.285097857913385</v>
      </c>
      <c r="M10" s="21">
        <f>K10/پارامترها!$B$7</f>
        <v>63.773919590500064</v>
      </c>
      <c r="N10" s="21">
        <v>60.1</v>
      </c>
      <c r="O10" s="21">
        <f>N10*پارامترها!$B$6*پارامترها!$B$16</f>
        <v>135.22499999999999</v>
      </c>
      <c r="P10" s="21">
        <f>O10*12/G10*100</f>
        <v>63.429935224949098</v>
      </c>
      <c r="Q10" s="21">
        <f>O10*12/(پارامترها!$B$5/1000000)*100</f>
        <v>166.71289875173366</v>
      </c>
      <c r="R10" s="3" t="str">
        <f t="shared" si="1"/>
        <v>فشار شدید</v>
      </c>
      <c r="S10" s="21">
        <f>(1-NORMSDIST((LN(O10*12*1000000/پارامترها!$B$8)-پارامترها!$B$15)/پارامترها!$B$14))*100</f>
        <v>1.5646574281872327</v>
      </c>
      <c r="T10" s="21">
        <f>(1-NORMSDIST((LN(I10*1000000/5)-پارامترها!$B$15)/پارامترها!$B$14))*100</f>
        <v>0.33070160563074547</v>
      </c>
      <c r="U10" s="21">
        <f>MIN(100,پارامترها!$B$9/1000000/I10*100)</f>
        <v>4.0862192256614565</v>
      </c>
      <c r="V10" s="19">
        <f>MAX(0,I10-پارامترها!$B$9/1000000)</f>
        <v>46945</v>
      </c>
      <c r="W10" s="21">
        <f>V10/(G10*پارامترها!$B$7)</f>
        <v>61.167977427235179</v>
      </c>
      <c r="X10" s="21">
        <f>پارامترها!$B$12/1000000/(G10/12)*100</f>
        <v>18.891890478916164</v>
      </c>
      <c r="Y10" s="21">
        <f>ROUND(50*MIN(1,3/K10)+50*MIN(1,30/P10),1)</f>
        <v>31.5</v>
      </c>
      <c r="Z10" s="3">
        <f t="shared" si="2"/>
        <v>85</v>
      </c>
      <c r="AA10" s="19">
        <v>86</v>
      </c>
      <c r="AB10" s="19">
        <v>80</v>
      </c>
      <c r="AC10" s="3" t="s">
        <v>83</v>
      </c>
      <c r="AD10" s="3" t="s">
        <v>84</v>
      </c>
      <c r="AE10" s="3" t="s">
        <v>97</v>
      </c>
      <c r="AF10" s="23" t="s">
        <v>85</v>
      </c>
    </row>
    <row r="11" spans="1:32" x14ac:dyDescent="0.2">
      <c r="A11" s="3">
        <v>10</v>
      </c>
      <c r="B11" s="3">
        <v>1</v>
      </c>
      <c r="C11" s="3" t="s">
        <v>98</v>
      </c>
      <c r="D11" s="19">
        <v>15178</v>
      </c>
      <c r="E11" s="19">
        <f>ROUND(D11/INDEX(مناطق!$D$2:$D$23,B11),0)</f>
        <v>5202</v>
      </c>
      <c r="F11" s="20">
        <v>2.5356999999999998</v>
      </c>
      <c r="G11" s="19">
        <f>پارامترها!$B$5*F11/1000000</f>
        <v>2468.123595</v>
      </c>
      <c r="H11" s="21">
        <v>630.4</v>
      </c>
      <c r="I11" s="19">
        <f>H11*پارامترها!$B$6</f>
        <v>47280</v>
      </c>
      <c r="J11" s="22">
        <v>160</v>
      </c>
      <c r="K11" s="21">
        <f t="shared" si="0"/>
        <v>19.156252991455236</v>
      </c>
      <c r="L11" s="21">
        <f>I11/(پارامترها!$B$5/1000000)</f>
        <v>48.574510710433032</v>
      </c>
      <c r="M11" s="21">
        <f>K11/پارامترها!$B$7</f>
        <v>63.854176638184121</v>
      </c>
      <c r="N11" s="21">
        <v>49.99</v>
      </c>
      <c r="O11" s="21">
        <f>N11*پارامترها!$B$6*پارامترها!$B$16</f>
        <v>112.47749999999999</v>
      </c>
      <c r="P11" s="21">
        <f>O11*12/G11*100</f>
        <v>54.686483397116916</v>
      </c>
      <c r="Q11" s="21">
        <f>O11*12/(پارامترها!$B$5/1000000)*100</f>
        <v>138.66851595006932</v>
      </c>
      <c r="R11" s="3" t="str">
        <f t="shared" si="1"/>
        <v>فشار شدید</v>
      </c>
      <c r="S11" s="21">
        <f>(1-NORMSDIST((LN(O11*12*1000000/پارامترها!$B$8)-پارامترها!$B$15)/پارامترها!$B$14))*100</f>
        <v>2.3924067719509501</v>
      </c>
      <c r="T11" s="21">
        <f>(1-NORMSDIST((LN(I11*1000000/5)-پارامترها!$B$15)/پارامترها!$B$14))*100</f>
        <v>0.36496994633001822</v>
      </c>
      <c r="U11" s="21">
        <f>MIN(100,پارامترها!$B$9/1000000/I11*100)</f>
        <v>4.230118443316413</v>
      </c>
      <c r="V11" s="19">
        <f>MAX(0,I11-پارامترها!$B$9/1000000)</f>
        <v>45280</v>
      </c>
      <c r="W11" s="21">
        <f>V11/(G11*پارامترها!$B$7)</f>
        <v>61.153069335384451</v>
      </c>
      <c r="X11" s="21">
        <f>پارامترها!$B$12/1000000/(G11/12)*100</f>
        <v>19.581794276032397</v>
      </c>
      <c r="Y11" s="21">
        <f>ROUND(50*MIN(1,3/K11)+50*MIN(1,30/P11),1)</f>
        <v>35.299999999999997</v>
      </c>
      <c r="Z11" s="3">
        <f t="shared" si="2"/>
        <v>8</v>
      </c>
      <c r="AA11" s="19">
        <v>88</v>
      </c>
      <c r="AB11" s="19">
        <v>88</v>
      </c>
      <c r="AC11" s="3" t="s">
        <v>83</v>
      </c>
      <c r="AD11" s="3" t="s">
        <v>84</v>
      </c>
      <c r="AE11" s="3" t="s">
        <v>98</v>
      </c>
      <c r="AF11" s="23" t="s">
        <v>85</v>
      </c>
    </row>
    <row r="12" spans="1:32" x14ac:dyDescent="0.2">
      <c r="A12" s="3">
        <v>11</v>
      </c>
      <c r="B12" s="3">
        <v>1</v>
      </c>
      <c r="C12" s="3" t="s">
        <v>99</v>
      </c>
      <c r="D12" s="19">
        <v>30216</v>
      </c>
      <c r="E12" s="19">
        <f>ROUND(D12/INDEX(مناطق!$D$2:$D$23,B12),0)</f>
        <v>10355</v>
      </c>
      <c r="F12" s="20">
        <v>2.3249</v>
      </c>
      <c r="G12" s="19">
        <f>پارامترها!$B$5*F12/1000000</f>
        <v>2262.9414150000007</v>
      </c>
      <c r="H12" s="21">
        <v>579.70000000000005</v>
      </c>
      <c r="I12" s="19">
        <f>H12*پارامترها!$B$6</f>
        <v>43477.5</v>
      </c>
      <c r="J12" s="22">
        <v>175</v>
      </c>
      <c r="K12" s="21">
        <f t="shared" si="0"/>
        <v>19.212826152638151</v>
      </c>
      <c r="L12" s="21">
        <f>I12/(پارامترها!$B$5/1000000)</f>
        <v>44.667899522268449</v>
      </c>
      <c r="M12" s="21">
        <f>K12/پارامترها!$B$7</f>
        <v>64.042753842127169</v>
      </c>
      <c r="N12" s="21">
        <v>47.76</v>
      </c>
      <c r="O12" s="21">
        <f>N12*پارامترها!$B$6*پارامترها!$B$16</f>
        <v>107.46</v>
      </c>
      <c r="P12" s="21">
        <f>O12*12/G12*100</f>
        <v>56.984241459030414</v>
      </c>
      <c r="Q12" s="21">
        <f>O12*12/(پارامترها!$B$5/1000000)*100</f>
        <v>132.48266296809985</v>
      </c>
      <c r="R12" s="3" t="str">
        <f t="shared" si="1"/>
        <v>فشار شدید</v>
      </c>
      <c r="S12" s="21">
        <f>(1-NORMSDIST((LN(O12*12*1000000/پارامترها!$B$8)-پارامترها!$B$15)/پارامترها!$B$14))*100</f>
        <v>2.646737046719938</v>
      </c>
      <c r="T12" s="21">
        <f>(1-NORMSDIST((LN(I12*1000000/5)-پارامترها!$B$15)/پارامترها!$B$14))*100</f>
        <v>0.461544282294446</v>
      </c>
      <c r="U12" s="21">
        <f>MIN(100,پارامترها!$B$9/1000000/I12*100)</f>
        <v>4.6000805014087742</v>
      </c>
      <c r="V12" s="19">
        <f>MAX(0,I12-پارامترها!$B$9/1000000)</f>
        <v>41477.5</v>
      </c>
      <c r="W12" s="21">
        <f>V12/(G12*پارامترها!$B$7)</f>
        <v>61.096735610070269</v>
      </c>
      <c r="X12" s="21">
        <f>پارامترها!$B$12/1000000/(G12/12)*100</f>
        <v>21.357286655656303</v>
      </c>
      <c r="Y12" s="21">
        <f>ROUND(50*MIN(1,3/K12)+50*MIN(1,30/P12),1)</f>
        <v>34.1</v>
      </c>
      <c r="Z12" s="3">
        <f t="shared" si="2"/>
        <v>23</v>
      </c>
      <c r="AA12" s="19">
        <v>90</v>
      </c>
      <c r="AB12" s="19">
        <v>88</v>
      </c>
      <c r="AC12" s="3" t="s">
        <v>83</v>
      </c>
      <c r="AD12" s="3" t="s">
        <v>84</v>
      </c>
      <c r="AE12" s="3" t="s">
        <v>99</v>
      </c>
      <c r="AF12" s="23" t="s">
        <v>85</v>
      </c>
    </row>
    <row r="13" spans="1:32" x14ac:dyDescent="0.2">
      <c r="A13" s="3">
        <v>12</v>
      </c>
      <c r="B13" s="3">
        <v>1</v>
      </c>
      <c r="C13" s="3" t="s">
        <v>100</v>
      </c>
      <c r="D13" s="19">
        <v>24680</v>
      </c>
      <c r="E13" s="19">
        <f>ROUND(D13/INDEX(مناطق!$D$2:$D$23,B13),0)</f>
        <v>8458</v>
      </c>
      <c r="F13" s="20">
        <v>2.2425999999999999</v>
      </c>
      <c r="G13" s="19">
        <f>پارامترها!$B$5*F13/1000000</f>
        <v>2182.8347100000001</v>
      </c>
      <c r="H13" s="21">
        <v>559.79999999999995</v>
      </c>
      <c r="I13" s="19">
        <f>H13*پارامترها!$B$6</f>
        <v>41985</v>
      </c>
      <c r="J13" s="22">
        <v>150</v>
      </c>
      <c r="K13" s="21">
        <f t="shared" si="0"/>
        <v>19.234163634863584</v>
      </c>
      <c r="L13" s="21">
        <f>I13/(پارامترها!$B$5/1000000)</f>
        <v>43.13453536754507</v>
      </c>
      <c r="M13" s="21">
        <f>K13/پارامترها!$B$7</f>
        <v>64.113878782878615</v>
      </c>
      <c r="N13" s="21">
        <v>48.07</v>
      </c>
      <c r="O13" s="21">
        <f>N13*پارامترها!$B$6*پارامترها!$B$16</f>
        <v>108.1575</v>
      </c>
      <c r="P13" s="21">
        <f>O13*12/G13*100</f>
        <v>59.458922567710125</v>
      </c>
      <c r="Q13" s="21">
        <f>O13*12/(پارامترها!$B$5/1000000)*100</f>
        <v>133.34257975034672</v>
      </c>
      <c r="R13" s="3" t="str">
        <f t="shared" si="1"/>
        <v>فشار شدید</v>
      </c>
      <c r="S13" s="21">
        <f>(1-NORMSDIST((LN(O13*12*1000000/پارامترها!$B$8)-پارامترها!$B$15)/پارامترها!$B$14))*100</f>
        <v>2.6093598974792909</v>
      </c>
      <c r="T13" s="21">
        <f>(1-NORMSDIST((LN(I13*1000000/5)-پارامترها!$B$15)/پارامترها!$B$14))*100</f>
        <v>0.50809972622272159</v>
      </c>
      <c r="U13" s="21">
        <f>MIN(100,پارامترها!$B$9/1000000/I13*100)</f>
        <v>4.7636060497796828</v>
      </c>
      <c r="V13" s="19">
        <f>MAX(0,I13-پارامترها!$B$9/1000000)</f>
        <v>39985</v>
      </c>
      <c r="W13" s="21">
        <f>V13/(G13*پارامترها!$B$7)</f>
        <v>61.059746174429002</v>
      </c>
      <c r="X13" s="21">
        <f>پارامترها!$B$12/1000000/(G13/12)*100</f>
        <v>22.141066505723423</v>
      </c>
      <c r="Y13" s="21">
        <f>ROUND(50*MIN(1,3/K13)+50*MIN(1,30/P13),1)</f>
        <v>33</v>
      </c>
      <c r="Z13" s="3">
        <f t="shared" si="2"/>
        <v>32</v>
      </c>
      <c r="AA13" s="19">
        <v>89</v>
      </c>
      <c r="AB13" s="19">
        <v>89</v>
      </c>
      <c r="AC13" s="3" t="s">
        <v>83</v>
      </c>
      <c r="AD13" s="3" t="s">
        <v>84</v>
      </c>
      <c r="AE13" s="3" t="s">
        <v>100</v>
      </c>
      <c r="AF13" s="23" t="s">
        <v>85</v>
      </c>
    </row>
    <row r="14" spans="1:32" x14ac:dyDescent="0.2">
      <c r="A14" s="3">
        <v>13</v>
      </c>
      <c r="B14" s="3">
        <v>1</v>
      </c>
      <c r="C14" s="3" t="s">
        <v>101</v>
      </c>
      <c r="D14" s="19">
        <v>14564</v>
      </c>
      <c r="E14" s="19">
        <f>ROUND(D14/INDEX(مناطق!$D$2:$D$23,B14),0)</f>
        <v>4991</v>
      </c>
      <c r="F14" s="20">
        <v>2.1572</v>
      </c>
      <c r="G14" s="19">
        <f>پارامترها!$B$5*F14/1000000</f>
        <v>2099.7106200000003</v>
      </c>
      <c r="H14" s="21">
        <v>539.20000000000005</v>
      </c>
      <c r="I14" s="19">
        <f>H14*پارامترها!$B$6</f>
        <v>40440</v>
      </c>
      <c r="J14" s="22">
        <v>131</v>
      </c>
      <c r="K14" s="21">
        <f t="shared" si="0"/>
        <v>19.25979685714977</v>
      </c>
      <c r="L14" s="21">
        <f>I14/(پارامترها!$B$5/1000000)</f>
        <v>41.547233780243481</v>
      </c>
      <c r="M14" s="21">
        <f>K14/پارامترها!$B$7</f>
        <v>64.199322857165896</v>
      </c>
      <c r="N14" s="21">
        <v>43.72</v>
      </c>
      <c r="O14" s="21">
        <f>N14*پارامترها!$B$6*پارامترها!$B$16</f>
        <v>98.36999999999999</v>
      </c>
      <c r="P14" s="21">
        <f>O14*12/G14*100</f>
        <v>56.219175573822632</v>
      </c>
      <c r="Q14" s="21">
        <f>O14*12/(پارامترها!$B$5/1000000)*100</f>
        <v>121.27600554785016</v>
      </c>
      <c r="R14" s="3" t="str">
        <f t="shared" si="1"/>
        <v>فشار شدید</v>
      </c>
      <c r="S14" s="21">
        <f>(1-NORMSDIST((LN(O14*12*1000000/پارامترها!$B$8)-پارامترها!$B$15)/پارامترها!$B$14))*100</f>
        <v>3.2036936422937257</v>
      </c>
      <c r="T14" s="21">
        <f>(1-NORMSDIST((LN(I14*1000000/5)-پارامترها!$B$15)/پارامترها!$B$14))*100</f>
        <v>0.56267956015594311</v>
      </c>
      <c r="U14" s="21">
        <f>MIN(100,پارامترها!$B$9/1000000/I14*100)</f>
        <v>4.9455984174085064</v>
      </c>
      <c r="V14" s="19">
        <f>MAX(0,I14-پارامترها!$B$9/1000000)</f>
        <v>38440</v>
      </c>
      <c r="W14" s="21">
        <f>V14/(G14*پارامترها!$B$7)</f>
        <v>61.024282161954922</v>
      </c>
      <c r="X14" s="21">
        <f>پارامترها!$B$12/1000000/(G14/12)*100</f>
        <v>23.017594912727304</v>
      </c>
      <c r="Y14" s="21">
        <f>ROUND(50*MIN(1,3/K14)+50*MIN(1,30/P14),1)</f>
        <v>34.5</v>
      </c>
      <c r="Z14" s="3">
        <f t="shared" si="2"/>
        <v>17</v>
      </c>
      <c r="AA14" s="19">
        <v>82</v>
      </c>
      <c r="AB14" s="19">
        <v>58</v>
      </c>
      <c r="AC14" s="3" t="s">
        <v>83</v>
      </c>
      <c r="AD14" s="3" t="s">
        <v>84</v>
      </c>
      <c r="AE14" s="3" t="s">
        <v>101</v>
      </c>
      <c r="AF14" s="23" t="s">
        <v>85</v>
      </c>
    </row>
    <row r="15" spans="1:32" ht="16.5" x14ac:dyDescent="0.3">
      <c r="A15" s="3">
        <v>14</v>
      </c>
      <c r="B15" s="3">
        <v>1</v>
      </c>
      <c r="C15" s="3" t="s">
        <v>102</v>
      </c>
      <c r="D15" s="19">
        <v>16408</v>
      </c>
      <c r="E15" s="19">
        <f>ROUND(D15/INDEX(مناطق!$D$2:$D$23,B15),0)</f>
        <v>5623</v>
      </c>
      <c r="F15" s="20">
        <v>2.1284000000000001</v>
      </c>
      <c r="G15" s="19">
        <f>پارامترها!$B$5*F15/1000000</f>
        <v>2071.6781400000004</v>
      </c>
      <c r="H15" s="21">
        <v>532.29999999999995</v>
      </c>
      <c r="I15" s="19">
        <f>H15*پارامترها!$B$6</f>
        <v>39922.5</v>
      </c>
      <c r="J15" s="22"/>
      <c r="K15" s="21">
        <f t="shared" si="0"/>
        <v>19.270609284895958</v>
      </c>
      <c r="L15" s="21">
        <f>I15/(پارامترها!$B$5/1000000)</f>
        <v>41.015564801972566</v>
      </c>
      <c r="M15" s="21">
        <f>K15/پارامترها!$B$7</f>
        <v>64.235364282986524</v>
      </c>
      <c r="N15" s="21">
        <v>52.39</v>
      </c>
      <c r="O15" s="21">
        <f>N15*پارامترها!$B$6*پارامترها!$B$16</f>
        <v>117.8775</v>
      </c>
      <c r="P15" s="21">
        <f>O15*12/G15*100</f>
        <v>68.279428772656729</v>
      </c>
      <c r="Q15" s="21">
        <f>O15*12/(پارامترها!$B$5/1000000)*100</f>
        <v>145.32593619972258</v>
      </c>
      <c r="R15" s="3" t="str">
        <f t="shared" si="1"/>
        <v>فشار شدید</v>
      </c>
      <c r="S15" s="21">
        <f>(1-NORMSDIST((LN(O15*12*1000000/پارامترها!$B$8)-پارامترها!$B$15)/پارامترها!$B$14))*100</f>
        <v>2.152784680138542</v>
      </c>
      <c r="T15" s="21">
        <f>(1-NORMSDIST((LN(I15*1000000/5)-پارامترها!$B$15)/پارامترها!$B$14))*100</f>
        <v>0.5825958072353199</v>
      </c>
      <c r="U15" s="21">
        <f>MIN(100,پارامترها!$B$9/1000000/I15*100)</f>
        <v>5.0097063059678124</v>
      </c>
      <c r="V15" s="19">
        <f>MAX(0,I15-پارامترها!$B$9/1000000)</f>
        <v>37922.5</v>
      </c>
      <c r="W15" s="21">
        <f>V15/(G15*پارامترها!$B$7)</f>
        <v>61.017361187840365</v>
      </c>
      <c r="X15" s="21">
        <f>پارامترها!$B$12/1000000/(G15/12)*100</f>
        <v>23.329052690159433</v>
      </c>
      <c r="Y15" s="21">
        <f>ROUND(50*MIN(1,3/K15)+50*MIN(1,30/P15),1)</f>
        <v>29.8</v>
      </c>
      <c r="Z15" s="3">
        <f t="shared" si="2"/>
        <v>172</v>
      </c>
      <c r="AA15" s="19">
        <v>0</v>
      </c>
      <c r="AB15" s="19">
        <v>0</v>
      </c>
      <c r="AC15" s="3" t="s">
        <v>103</v>
      </c>
      <c r="AD15" s="3" t="s">
        <v>104</v>
      </c>
      <c r="AE15" s="23" t="s">
        <v>105</v>
      </c>
      <c r="AF15" s="23" t="s">
        <v>106</v>
      </c>
    </row>
    <row r="16" spans="1:32" ht="16.5" x14ac:dyDescent="0.3">
      <c r="A16" s="3">
        <v>15</v>
      </c>
      <c r="B16" s="3">
        <v>1</v>
      </c>
      <c r="C16" s="3" t="s">
        <v>107</v>
      </c>
      <c r="D16" s="19">
        <v>1088</v>
      </c>
      <c r="E16" s="19">
        <f>ROUND(D16/INDEX(مناطق!$D$2:$D$23,B16),0)</f>
        <v>373</v>
      </c>
      <c r="F16" s="20">
        <v>2.1284000000000001</v>
      </c>
      <c r="G16" s="19">
        <f>پارامترها!$B$5*F16/1000000</f>
        <v>2071.6781400000004</v>
      </c>
      <c r="H16" s="21">
        <v>532.29999999999995</v>
      </c>
      <c r="I16" s="19">
        <f>H16*پارامترها!$B$6</f>
        <v>39922.5</v>
      </c>
      <c r="J16" s="22"/>
      <c r="K16" s="21">
        <f t="shared" si="0"/>
        <v>19.270609284895958</v>
      </c>
      <c r="L16" s="21">
        <f>I16/(پارامترها!$B$5/1000000)</f>
        <v>41.015564801972566</v>
      </c>
      <c r="M16" s="21">
        <f>K16/پارامترها!$B$7</f>
        <v>64.235364282986524</v>
      </c>
      <c r="N16" s="21">
        <v>52.39</v>
      </c>
      <c r="O16" s="21">
        <f>N16*پارامترها!$B$6*پارامترها!$B$16</f>
        <v>117.8775</v>
      </c>
      <c r="P16" s="21">
        <f>O16*12/G16*100</f>
        <v>68.279428772656729</v>
      </c>
      <c r="Q16" s="21">
        <f>O16*12/(پارامترها!$B$5/1000000)*100</f>
        <v>145.32593619972258</v>
      </c>
      <c r="R16" s="3" t="str">
        <f t="shared" si="1"/>
        <v>فشار شدید</v>
      </c>
      <c r="S16" s="21">
        <f>(1-NORMSDIST((LN(O16*12*1000000/پارامترها!$B$8)-پارامترها!$B$15)/پارامترها!$B$14))*100</f>
        <v>2.152784680138542</v>
      </c>
      <c r="T16" s="21">
        <f>(1-NORMSDIST((LN(I16*1000000/5)-پارامترها!$B$15)/پارامترها!$B$14))*100</f>
        <v>0.5825958072353199</v>
      </c>
      <c r="U16" s="21">
        <f>MIN(100,پارامترها!$B$9/1000000/I16*100)</f>
        <v>5.0097063059678124</v>
      </c>
      <c r="V16" s="19">
        <f>MAX(0,I16-پارامترها!$B$9/1000000)</f>
        <v>37922.5</v>
      </c>
      <c r="W16" s="21">
        <f>V16/(G16*پارامترها!$B$7)</f>
        <v>61.017361187840365</v>
      </c>
      <c r="X16" s="21">
        <f>پارامترها!$B$12/1000000/(G16/12)*100</f>
        <v>23.329052690159433</v>
      </c>
      <c r="Y16" s="21">
        <f>ROUND(50*MIN(1,3/K16)+50*MIN(1,30/P16),1)</f>
        <v>29.8</v>
      </c>
      <c r="Z16" s="3">
        <f t="shared" si="2"/>
        <v>172</v>
      </c>
      <c r="AA16" s="19">
        <v>0</v>
      </c>
      <c r="AB16" s="19">
        <v>0</v>
      </c>
      <c r="AC16" s="3" t="s">
        <v>103</v>
      </c>
      <c r="AD16" s="3" t="s">
        <v>104</v>
      </c>
      <c r="AE16" s="23" t="s">
        <v>105</v>
      </c>
      <c r="AF16" s="23" t="s">
        <v>106</v>
      </c>
    </row>
    <row r="17" spans="1:32" x14ac:dyDescent="0.2">
      <c r="A17" s="3">
        <v>16</v>
      </c>
      <c r="B17" s="3">
        <v>1</v>
      </c>
      <c r="C17" s="3" t="s">
        <v>108</v>
      </c>
      <c r="D17" s="19">
        <v>40434</v>
      </c>
      <c r="E17" s="19">
        <f>ROUND(D17/INDEX(مناطق!$D$2:$D$23,B17),0)</f>
        <v>13857</v>
      </c>
      <c r="F17" s="20">
        <v>2.0514000000000001</v>
      </c>
      <c r="G17" s="19">
        <f>پارامترها!$B$5*F17/1000000</f>
        <v>1996.7301900000002</v>
      </c>
      <c r="H17" s="21">
        <v>513.6</v>
      </c>
      <c r="I17" s="19">
        <f>H17*پارامترها!$B$6</f>
        <v>38520</v>
      </c>
      <c r="J17" s="22">
        <v>130</v>
      </c>
      <c r="K17" s="21">
        <f t="shared" si="0"/>
        <v>19.291539834933829</v>
      </c>
      <c r="L17" s="21">
        <f>I17/(پارامترها!$B$5/1000000)</f>
        <v>39.574664817383258</v>
      </c>
      <c r="M17" s="21">
        <f>K17/پارامترها!$B$7</f>
        <v>64.305132783112768</v>
      </c>
      <c r="N17" s="21">
        <v>45.53</v>
      </c>
      <c r="O17" s="21">
        <f>N17*پارامترها!$B$6*پارامترها!$B$16</f>
        <v>102.4425</v>
      </c>
      <c r="P17" s="21">
        <f>O17*12/G17*100</f>
        <v>61.566154814336727</v>
      </c>
      <c r="Q17" s="21">
        <f>O17*12/(پارامترها!$B$5/1000000)*100</f>
        <v>126.29680998613036</v>
      </c>
      <c r="R17" s="3" t="str">
        <f t="shared" si="1"/>
        <v>فشار شدید</v>
      </c>
      <c r="S17" s="21">
        <f>(1-NORMSDIST((LN(O17*12*1000000/پارامترها!$B$8)-پارامترها!$B$15)/پارامترها!$B$14))*100</f>
        <v>2.9370816278554424</v>
      </c>
      <c r="T17" s="21">
        <f>(1-NORMSDIST((LN(I17*1000000/5)-پارامترها!$B$15)/پارامترها!$B$14))*100</f>
        <v>0.6412152643657465</v>
      </c>
      <c r="U17" s="21">
        <f>MIN(100,پارامترها!$B$9/1000000/I17*100)</f>
        <v>5.1921079958463139</v>
      </c>
      <c r="V17" s="19">
        <f>MAX(0,I17-پارامترها!$B$9/1000000)</f>
        <v>36520</v>
      </c>
      <c r="W17" s="21">
        <f>V17/(G17*پارامترها!$B$7)</f>
        <v>60.966340842141179</v>
      </c>
      <c r="X17" s="21">
        <f>پارامترها!$B$12/1000000/(G17/12)*100</f>
        <v>24.204716654838325</v>
      </c>
      <c r="Y17" s="21">
        <f>ROUND(50*MIN(1,3/K17)+50*MIN(1,30/P17),1)</f>
        <v>32.1</v>
      </c>
      <c r="Z17" s="3">
        <f t="shared" si="2"/>
        <v>58</v>
      </c>
      <c r="AA17" s="19">
        <v>91</v>
      </c>
      <c r="AB17" s="19">
        <v>91</v>
      </c>
      <c r="AC17" s="3" t="s">
        <v>83</v>
      </c>
      <c r="AD17" s="3" t="s">
        <v>84</v>
      </c>
      <c r="AE17" s="3" t="s">
        <v>108</v>
      </c>
      <c r="AF17" s="23" t="s">
        <v>85</v>
      </c>
    </row>
    <row r="18" spans="1:32" x14ac:dyDescent="0.2">
      <c r="A18" s="3">
        <v>17</v>
      </c>
      <c r="B18" s="3">
        <v>1</v>
      </c>
      <c r="C18" s="3" t="s">
        <v>109</v>
      </c>
      <c r="D18" s="19">
        <v>18995</v>
      </c>
      <c r="E18" s="19">
        <f>ROUND(D18/INDEX(مناطق!$D$2:$D$23,B18),0)</f>
        <v>6510</v>
      </c>
      <c r="F18" s="20">
        <v>1.8682000000000001</v>
      </c>
      <c r="G18" s="19">
        <f>پارامترها!$B$5*F18/1000000</f>
        <v>1818.4124700000002</v>
      </c>
      <c r="H18" s="21">
        <v>469.2</v>
      </c>
      <c r="I18" s="19">
        <f>H18*پارامترها!$B$6</f>
        <v>35190</v>
      </c>
      <c r="J18" s="22">
        <v>135</v>
      </c>
      <c r="K18" s="21">
        <f t="shared" si="0"/>
        <v>19.352045028595736</v>
      </c>
      <c r="L18" s="21">
        <f>I18/(پارامترها!$B$5/1000000)</f>
        <v>36.153490522422558</v>
      </c>
      <c r="M18" s="21">
        <f>K18/پارامترها!$B$7</f>
        <v>64.506816761985789</v>
      </c>
      <c r="N18" s="21">
        <v>38.32</v>
      </c>
      <c r="O18" s="21">
        <f>N18*پارامترها!$B$6*پارامترها!$B$16</f>
        <v>86.22</v>
      </c>
      <c r="P18" s="21">
        <f>O18*12/G18*100</f>
        <v>56.897982007349512</v>
      </c>
      <c r="Q18" s="21">
        <f>O18*12/(پارامترها!$B$5/1000000)*100</f>
        <v>106.29680998613034</v>
      </c>
      <c r="R18" s="3" t="str">
        <f t="shared" si="1"/>
        <v>فشار شدید</v>
      </c>
      <c r="S18" s="21">
        <f>(1-NORMSDIST((LN(O18*12*1000000/پارامترها!$B$8)-پارامترها!$B$15)/پارامترها!$B$14))*100</f>
        <v>4.2112005239744228</v>
      </c>
      <c r="T18" s="21">
        <f>(1-NORMSDIST((LN(I18*1000000/5)-پارامترها!$B$15)/پارامترها!$B$14))*100</f>
        <v>0.81328877309472247</v>
      </c>
      <c r="U18" s="21">
        <f>MIN(100,پارامترها!$B$9/1000000/I18*100)</f>
        <v>5.683432793407218</v>
      </c>
      <c r="V18" s="19">
        <f>MAX(0,I18-پارامترها!$B$9/1000000)</f>
        <v>33190</v>
      </c>
      <c r="W18" s="21">
        <f>V18/(G18*پارامترها!$B$7)</f>
        <v>60.840615184151986</v>
      </c>
      <c r="X18" s="21">
        <f>پارامترها!$B$12/1000000/(G18/12)*100</f>
        <v>26.578286985191813</v>
      </c>
      <c r="Y18" s="21">
        <f>ROUND(50*MIN(1,3/K18)+50*MIN(1,30/P18),1)</f>
        <v>34.1</v>
      </c>
      <c r="Z18" s="3">
        <f t="shared" si="2"/>
        <v>23</v>
      </c>
      <c r="AA18" s="19">
        <v>78</v>
      </c>
      <c r="AB18" s="19">
        <v>61</v>
      </c>
      <c r="AC18" s="3" t="s">
        <v>83</v>
      </c>
      <c r="AD18" s="3" t="s">
        <v>84</v>
      </c>
      <c r="AE18" s="3" t="s">
        <v>109</v>
      </c>
      <c r="AF18" s="23" t="s">
        <v>85</v>
      </c>
    </row>
    <row r="19" spans="1:32" x14ac:dyDescent="0.2">
      <c r="A19" s="3">
        <v>18</v>
      </c>
      <c r="B19" s="3">
        <v>1</v>
      </c>
      <c r="C19" s="3" t="s">
        <v>110</v>
      </c>
      <c r="D19" s="19">
        <v>25362</v>
      </c>
      <c r="E19" s="19">
        <f>ROUND(D19/INDEX(مناطق!$D$2:$D$23,B19),0)</f>
        <v>8692</v>
      </c>
      <c r="F19" s="20">
        <v>1.7436</v>
      </c>
      <c r="G19" s="19">
        <f>پارامترها!$B$5*F19/1000000</f>
        <v>1697.1330600000003</v>
      </c>
      <c r="H19" s="21">
        <v>439</v>
      </c>
      <c r="I19" s="19">
        <f>H19*پارامترها!$B$6</f>
        <v>32925</v>
      </c>
      <c r="J19" s="22">
        <v>130</v>
      </c>
      <c r="K19" s="21">
        <f t="shared" si="0"/>
        <v>19.400364518265878</v>
      </c>
      <c r="L19" s="21">
        <f>I19/(پارامترها!$B$5/1000000)</f>
        <v>33.826475574048388</v>
      </c>
      <c r="M19" s="21">
        <f>K19/پارامترها!$B$7</f>
        <v>64.667881727552924</v>
      </c>
      <c r="N19" s="21">
        <v>41.26</v>
      </c>
      <c r="O19" s="21">
        <f>N19*پارامترها!$B$6*پارامترها!$B$16</f>
        <v>92.834999999999994</v>
      </c>
      <c r="P19" s="21">
        <f>O19*12/G19*100</f>
        <v>65.641288020162648</v>
      </c>
      <c r="Q19" s="21">
        <f>O19*12/(پارامترها!$B$5/1000000)*100</f>
        <v>114.45214979195559</v>
      </c>
      <c r="R19" s="3" t="str">
        <f t="shared" si="1"/>
        <v>فشار شدید</v>
      </c>
      <c r="S19" s="21">
        <f>(1-NORMSDIST((LN(O19*12*1000000/پارامترها!$B$8)-پارامترها!$B$15)/پارامترها!$B$14))*100</f>
        <v>3.6186513844703061</v>
      </c>
      <c r="T19" s="21">
        <f>(1-NORMSDIST((LN(I19*1000000/5)-پارامترها!$B$15)/پارامترها!$B$14))*100</f>
        <v>0.96463557865101857</v>
      </c>
      <c r="U19" s="21">
        <f>MIN(100,پارامترها!$B$9/1000000/I19*100)</f>
        <v>6.0744115413819282</v>
      </c>
      <c r="V19" s="19">
        <f>MAX(0,I19-پارامترها!$B$9/1000000)</f>
        <v>30925</v>
      </c>
      <c r="W19" s="21">
        <f>V19/(G19*پارامترها!$B$7)</f>
        <v>60.739688456327237</v>
      </c>
      <c r="X19" s="21">
        <f>پارامترها!$B$12/1000000/(G19/12)*100</f>
        <v>28.477607103541718</v>
      </c>
      <c r="Y19" s="21">
        <f>ROUND(50*MIN(1,3/K19)+50*MIN(1,30/P19),1)</f>
        <v>30.6</v>
      </c>
      <c r="Z19" s="3">
        <f t="shared" si="2"/>
        <v>123</v>
      </c>
      <c r="AA19" s="19">
        <v>86</v>
      </c>
      <c r="AB19" s="19">
        <v>91</v>
      </c>
      <c r="AC19" s="3" t="s">
        <v>83</v>
      </c>
      <c r="AD19" s="3" t="s">
        <v>84</v>
      </c>
      <c r="AE19" s="3" t="s">
        <v>110</v>
      </c>
      <c r="AF19" s="23" t="s">
        <v>85</v>
      </c>
    </row>
    <row r="20" spans="1:32" x14ac:dyDescent="0.2">
      <c r="A20" s="3">
        <v>19</v>
      </c>
      <c r="B20" s="3">
        <v>1</v>
      </c>
      <c r="C20" s="3" t="s">
        <v>111</v>
      </c>
      <c r="D20" s="19">
        <v>8226</v>
      </c>
      <c r="E20" s="19">
        <f>ROUND(D20/INDEX(مناطق!$D$2:$D$23,B20),0)</f>
        <v>2819</v>
      </c>
      <c r="F20" s="20">
        <v>1.7226999999999999</v>
      </c>
      <c r="G20" s="19">
        <f>پارامترها!$B$5*F20/1000000</f>
        <v>1676.790045</v>
      </c>
      <c r="H20" s="21">
        <v>433.9</v>
      </c>
      <c r="I20" s="19">
        <f>H20*پارامترها!$B$6</f>
        <v>32542.5</v>
      </c>
      <c r="J20" s="22">
        <v>115</v>
      </c>
      <c r="K20" s="21">
        <f t="shared" si="0"/>
        <v>19.407617606651524</v>
      </c>
      <c r="L20" s="21">
        <f>I20/(پارامترها!$B$5/1000000)</f>
        <v>33.433502850978577</v>
      </c>
      <c r="M20" s="21">
        <f>K20/پارامترها!$B$7</f>
        <v>64.692058688838415</v>
      </c>
      <c r="N20" s="21">
        <v>39.950000000000003</v>
      </c>
      <c r="O20" s="21">
        <f>N20*پارامترها!$B$6*پارامترها!$B$16</f>
        <v>89.887500000000003</v>
      </c>
      <c r="P20" s="21">
        <f>O20*12/G20*100</f>
        <v>64.32826836111137</v>
      </c>
      <c r="Q20" s="21">
        <f>O20*12/(پارامترها!$B$5/1000000)*100</f>
        <v>110.81830790568654</v>
      </c>
      <c r="R20" s="3" t="str">
        <f t="shared" si="1"/>
        <v>فشار شدید</v>
      </c>
      <c r="S20" s="21">
        <f>(1-NORMSDIST((LN(O20*12*1000000/پارامترها!$B$8)-پارامترها!$B$15)/پارامترها!$B$14))*100</f>
        <v>3.8683065942158201</v>
      </c>
      <c r="T20" s="21">
        <f>(1-NORMSDIST((LN(I20*1000000/5)-پارامترها!$B$15)/پارامترها!$B$14))*100</f>
        <v>0.99361959449399961</v>
      </c>
      <c r="U20" s="21">
        <f>MIN(100,پارامترها!$B$9/1000000/I20*100)</f>
        <v>6.1458093262656526</v>
      </c>
      <c r="V20" s="19">
        <f>MAX(0,I20-پارامترها!$B$9/1000000)</f>
        <v>30542.5</v>
      </c>
      <c r="W20" s="21">
        <f>V20/(G20*پارامترها!$B$7)</f>
        <v>60.716208112586536</v>
      </c>
      <c r="X20" s="21">
        <f>پارامترها!$B$12/1000000/(G20/12)*100</f>
        <v>28.823100798592527</v>
      </c>
      <c r="Y20" s="21">
        <f>ROUND(50*MIN(1,3/K20)+50*MIN(1,30/P20),1)</f>
        <v>31</v>
      </c>
      <c r="Z20" s="3">
        <f t="shared" si="2"/>
        <v>103</v>
      </c>
      <c r="AA20" s="19">
        <v>50</v>
      </c>
      <c r="AB20" s="19">
        <v>74</v>
      </c>
      <c r="AC20" s="3" t="s">
        <v>83</v>
      </c>
      <c r="AD20" s="3" t="s">
        <v>84</v>
      </c>
      <c r="AE20" s="3" t="s">
        <v>111</v>
      </c>
      <c r="AF20" s="23" t="s">
        <v>85</v>
      </c>
    </row>
    <row r="21" spans="1:32" x14ac:dyDescent="0.2">
      <c r="A21" s="3">
        <v>20</v>
      </c>
      <c r="B21" s="3">
        <v>1</v>
      </c>
      <c r="C21" s="3" t="s">
        <v>112</v>
      </c>
      <c r="D21" s="19">
        <v>11282</v>
      </c>
      <c r="E21" s="19">
        <f>ROUND(D21/INDEX(مناطق!$D$2:$D$23,B21),0)</f>
        <v>3866</v>
      </c>
      <c r="F21" s="20">
        <v>1.698</v>
      </c>
      <c r="G21" s="19">
        <f>پارامترها!$B$5*F21/1000000</f>
        <v>1652.7483000000002</v>
      </c>
      <c r="H21" s="21">
        <v>427.9</v>
      </c>
      <c r="I21" s="19">
        <f>H21*پارامترها!$B$6</f>
        <v>32092.5</v>
      </c>
      <c r="J21" s="22">
        <v>119</v>
      </c>
      <c r="K21" s="21">
        <f t="shared" si="0"/>
        <v>19.417657243997766</v>
      </c>
      <c r="L21" s="21">
        <f>I21/(پارامترها!$B$5/1000000)</f>
        <v>32.971182000308211</v>
      </c>
      <c r="M21" s="21">
        <f>K21/پارامترها!$B$7</f>
        <v>64.725524146659225</v>
      </c>
      <c r="N21" s="21">
        <v>39.659999999999997</v>
      </c>
      <c r="O21" s="21">
        <f>N21*پارامترها!$B$6*پارامترها!$B$16</f>
        <v>89.234999999999985</v>
      </c>
      <c r="P21" s="21">
        <f>O21*12/G21*100</f>
        <v>64.790264797126071</v>
      </c>
      <c r="Q21" s="21">
        <f>O21*12/(پارامترها!$B$5/1000000)*100</f>
        <v>110.01386962552007</v>
      </c>
      <c r="R21" s="3" t="str">
        <f t="shared" si="1"/>
        <v>فشار شدید</v>
      </c>
      <c r="S21" s="21">
        <f>(1-NORMSDIST((LN(O21*12*1000000/پارامترها!$B$8)-پارامترها!$B$15)/پارامترها!$B$14))*100</f>
        <v>3.9265794644922192</v>
      </c>
      <c r="T21" s="21">
        <f>(1-NORMSDIST((LN(I21*1000000/5)-پارامترها!$B$15)/پارامترها!$B$14))*100</f>
        <v>1.0291481853094031</v>
      </c>
      <c r="U21" s="21">
        <f>MIN(100,پارامترها!$B$9/1000000/I21*100)</f>
        <v>6.2319856664329674</v>
      </c>
      <c r="V21" s="19">
        <f>MAX(0,I21-پارامترها!$B$9/1000000)</f>
        <v>30092.5</v>
      </c>
      <c r="W21" s="21">
        <f>V21/(G21*پارامترها!$B$7)</f>
        <v>60.691838759315822</v>
      </c>
      <c r="X21" s="21">
        <f>پارامترها!$B$12/1000000/(G21/12)*100</f>
        <v>29.242376764272876</v>
      </c>
      <c r="Y21" s="21">
        <f>ROUND(50*MIN(1,3/K21)+50*MIN(1,30/P21),1)</f>
        <v>30.9</v>
      </c>
      <c r="Z21" s="3">
        <f t="shared" si="2"/>
        <v>109</v>
      </c>
      <c r="AA21" s="19">
        <v>46</v>
      </c>
      <c r="AB21" s="19">
        <v>63</v>
      </c>
      <c r="AC21" s="3" t="s">
        <v>83</v>
      </c>
      <c r="AD21" s="3" t="s">
        <v>84</v>
      </c>
      <c r="AE21" s="3" t="s">
        <v>112</v>
      </c>
      <c r="AF21" s="23" t="s">
        <v>85</v>
      </c>
    </row>
    <row r="22" spans="1:32" ht="16.5" x14ac:dyDescent="0.3">
      <c r="A22" s="3">
        <v>21</v>
      </c>
      <c r="B22" s="3">
        <v>1</v>
      </c>
      <c r="C22" s="3" t="s">
        <v>113</v>
      </c>
      <c r="D22" s="19">
        <v>3048</v>
      </c>
      <c r="E22" s="19">
        <f>ROUND(D22/INDEX(مناطق!$D$2:$D$23,B22),0)</f>
        <v>1045</v>
      </c>
      <c r="F22" s="20">
        <v>1.6889000000000001</v>
      </c>
      <c r="G22" s="19">
        <f>پارامترها!$B$5*F22/1000000</f>
        <v>1643.8908150000002</v>
      </c>
      <c r="H22" s="21">
        <v>425.7</v>
      </c>
      <c r="I22" s="19">
        <f>H22*پارامترها!$B$6</f>
        <v>31927.5</v>
      </c>
      <c r="J22" s="22">
        <v>110</v>
      </c>
      <c r="K22" s="21">
        <f t="shared" si="0"/>
        <v>19.421910329245314</v>
      </c>
      <c r="L22" s="21">
        <f>I22/(پارامترها!$B$5/1000000)</f>
        <v>32.801664355062407</v>
      </c>
      <c r="M22" s="21">
        <f>K22/پارامترها!$B$7</f>
        <v>64.739701097484385</v>
      </c>
      <c r="N22" s="21">
        <v>32.4</v>
      </c>
      <c r="O22" s="21">
        <f>N22*پارامترها!$B$6*پارامترها!$B$16</f>
        <v>72.899999999999991</v>
      </c>
      <c r="P22" s="21">
        <f>O22*12/G22*100</f>
        <v>53.215213079708093</v>
      </c>
      <c r="Q22" s="21">
        <f>O22*12/(پارامترها!$B$5/1000000)*100</f>
        <v>89.87517337031899</v>
      </c>
      <c r="R22" s="3" t="str">
        <f t="shared" si="1"/>
        <v>فشار شدید</v>
      </c>
      <c r="S22" s="21">
        <f>(1-NORMSDIST((LN(O22*12*1000000/پارامترها!$B$8)-پارامترها!$B$15)/پارامترها!$B$14))*100</f>
        <v>5.848747740574634</v>
      </c>
      <c r="T22" s="21">
        <f>(1-NORMSDIST((LN(I22*1000000/5)-پارامترها!$B$15)/پارامترها!$B$14))*100</f>
        <v>1.042578498921598</v>
      </c>
      <c r="U22" s="21">
        <f>MIN(100,پارامترها!$B$9/1000000/I22*100)</f>
        <v>6.2641923107039377</v>
      </c>
      <c r="V22" s="19">
        <f>MAX(0,I22-پارامترها!$B$9/1000000)</f>
        <v>29927.5</v>
      </c>
      <c r="W22" s="21">
        <f>V22/(G22*پارامترها!$B$7)</f>
        <v>60.684281719363049</v>
      </c>
      <c r="X22" s="21">
        <f>پارامترها!$B$12/1000000/(G22/12)*100</f>
        <v>29.399938270907306</v>
      </c>
      <c r="Y22" s="21">
        <f>ROUND(50*MIN(1,3/K22)+50*MIN(1,30/P22),1)</f>
        <v>35.9</v>
      </c>
      <c r="Z22" s="3">
        <f t="shared" si="2"/>
        <v>5</v>
      </c>
      <c r="AA22" s="19">
        <v>29</v>
      </c>
      <c r="AB22" s="19">
        <v>21</v>
      </c>
      <c r="AC22" s="3" t="s">
        <v>83</v>
      </c>
      <c r="AD22" s="3" t="s">
        <v>93</v>
      </c>
      <c r="AE22" s="3" t="s">
        <v>114</v>
      </c>
      <c r="AF22" s="23" t="s">
        <v>90</v>
      </c>
    </row>
    <row r="23" spans="1:32" x14ac:dyDescent="0.2">
      <c r="A23" s="3">
        <v>22</v>
      </c>
      <c r="B23" s="3">
        <v>1</v>
      </c>
      <c r="C23" s="3" t="s">
        <v>115</v>
      </c>
      <c r="D23" s="19">
        <v>6719</v>
      </c>
      <c r="E23" s="19">
        <f>ROUND(D23/INDEX(مناطق!$D$2:$D$23,B23),0)</f>
        <v>2303</v>
      </c>
      <c r="F23" s="20">
        <v>1.6465000000000001</v>
      </c>
      <c r="G23" s="19">
        <f>پارامترها!$B$5*F23/1000000</f>
        <v>1602.6207750000003</v>
      </c>
      <c r="H23" s="21">
        <v>415.3</v>
      </c>
      <c r="I23" s="19">
        <f>H23*پارامترها!$B$6</f>
        <v>31147.5</v>
      </c>
      <c r="J23" s="22">
        <v>130</v>
      </c>
      <c r="K23" s="21">
        <f t="shared" si="0"/>
        <v>19.435352695961399</v>
      </c>
      <c r="L23" s="21">
        <f>I23/(پارامترها!$B$5/1000000)</f>
        <v>32.000308213900439</v>
      </c>
      <c r="M23" s="21">
        <f>K23/پارامترها!$B$7</f>
        <v>64.784508986538</v>
      </c>
      <c r="N23" s="21">
        <v>31.37</v>
      </c>
      <c r="O23" s="21">
        <f>N23*پارامترها!$B$6*پارامترها!$B$16</f>
        <v>70.582499999999996</v>
      </c>
      <c r="P23" s="21">
        <f>O23*12/G23*100</f>
        <v>52.850307022882561</v>
      </c>
      <c r="Q23" s="21">
        <f>O23*12/(پارامترها!$B$5/1000000)*100</f>
        <v>87.018030513176143</v>
      </c>
      <c r="R23" s="3" t="str">
        <f t="shared" si="1"/>
        <v>فشار شدید</v>
      </c>
      <c r="S23" s="21">
        <f>(1-NORMSDIST((LN(O23*12*1000000/پارامترها!$B$8)-پارامترها!$B$15)/پارامترها!$B$14))*100</f>
        <v>6.2150151373408402</v>
      </c>
      <c r="T23" s="21">
        <f>(1-NORMSDIST((LN(I23*1000000/5)-پارامترها!$B$15)/پارامترها!$B$14))*100</f>
        <v>1.1091679553695499</v>
      </c>
      <c r="U23" s="21">
        <f>MIN(100,پارامترها!$B$9/1000000/I23*100)</f>
        <v>6.4210610803435264</v>
      </c>
      <c r="V23" s="19">
        <f>MAX(0,I23-پارامترها!$B$9/1000000)</f>
        <v>29147.5</v>
      </c>
      <c r="W23" s="21">
        <f>V23/(G23*پارامترها!$B$7)</f>
        <v>60.624656093911746</v>
      </c>
      <c r="X23" s="21">
        <f>پارامترها!$B$12/1000000/(G23/12)*100</f>
        <v>30.157033553437802</v>
      </c>
      <c r="Y23" s="21">
        <f>ROUND(50*MIN(1,3/K23)+50*MIN(1,30/P23),1)</f>
        <v>36.1</v>
      </c>
      <c r="Z23" s="3">
        <f t="shared" si="2"/>
        <v>4</v>
      </c>
      <c r="AA23" s="19">
        <v>50</v>
      </c>
      <c r="AB23" s="19">
        <v>55</v>
      </c>
      <c r="AC23" s="3" t="s">
        <v>83</v>
      </c>
      <c r="AD23" s="3" t="s">
        <v>84</v>
      </c>
      <c r="AE23" s="3" t="s">
        <v>115</v>
      </c>
      <c r="AF23" s="23" t="s">
        <v>85</v>
      </c>
    </row>
    <row r="24" spans="1:32" ht="16.5" x14ac:dyDescent="0.3">
      <c r="A24" s="3">
        <v>23</v>
      </c>
      <c r="B24" s="3">
        <v>1</v>
      </c>
      <c r="C24" s="3" t="s">
        <v>116</v>
      </c>
      <c r="D24" s="19">
        <v>24137</v>
      </c>
      <c r="E24" s="19">
        <f>ROUND(D24/INDEX(مناطق!$D$2:$D$23,B24),0)</f>
        <v>8272</v>
      </c>
      <c r="F24" s="20">
        <v>1.5835999999999999</v>
      </c>
      <c r="G24" s="19">
        <f>پارامترها!$B$5*F24/1000000</f>
        <v>1541.39706</v>
      </c>
      <c r="H24" s="21">
        <v>400</v>
      </c>
      <c r="I24" s="19">
        <f>H24*پارامترها!$B$6</f>
        <v>30000</v>
      </c>
      <c r="J24" s="22">
        <v>120</v>
      </c>
      <c r="K24" s="21">
        <f t="shared" si="0"/>
        <v>19.462863124962752</v>
      </c>
      <c r="L24" s="21">
        <f>I24/(پارامترها!$B$5/1000000)</f>
        <v>30.821390044691011</v>
      </c>
      <c r="M24" s="21">
        <f>K24/پارامترها!$B$7</f>
        <v>64.876210416542506</v>
      </c>
      <c r="N24" s="21">
        <v>34.909999999999997</v>
      </c>
      <c r="O24" s="21">
        <f>N24*پارامترها!$B$6*پارامترها!$B$16</f>
        <v>78.547499999999985</v>
      </c>
      <c r="P24" s="21">
        <f>O24*12/G24*100</f>
        <v>61.150369652320457</v>
      </c>
      <c r="Q24" s="21">
        <f>O24*12/(پارامترها!$B$5/1000000)*100</f>
        <v>96.837725381414671</v>
      </c>
      <c r="R24" s="3" t="str">
        <f t="shared" si="1"/>
        <v>فشار شدید</v>
      </c>
      <c r="S24" s="21">
        <f>(1-NORMSDIST((LN(O24*12*1000000/پارامترها!$B$8)-پارامترها!$B$15)/پارامترها!$B$14))*100</f>
        <v>5.0676074038787933</v>
      </c>
      <c r="T24" s="21">
        <f>(1-NORMSDIST((LN(I24*1000000/5)-پارامترها!$B$15)/پارامترها!$B$14))*100</f>
        <v>1.217287399802558</v>
      </c>
      <c r="U24" s="21">
        <f>MIN(100,پارامترها!$B$9/1000000/I24*100)</f>
        <v>6.666666666666667</v>
      </c>
      <c r="V24" s="19">
        <f>MAX(0,I24-پارامترها!$B$9/1000000)</f>
        <v>28000</v>
      </c>
      <c r="W24" s="21">
        <f>V24/(G24*پارامترها!$B$7)</f>
        <v>60.551129722106346</v>
      </c>
      <c r="X24" s="21">
        <f>پارامترها!$B$12/1000000/(G24/12)*100</f>
        <v>31.354859652522947</v>
      </c>
      <c r="Y24" s="21">
        <f>ROUND(50*MIN(1,3/K24)+50*MIN(1,30/P24),1)</f>
        <v>32.200000000000003</v>
      </c>
      <c r="Z24" s="3">
        <f t="shared" si="2"/>
        <v>53</v>
      </c>
      <c r="AA24" s="19">
        <v>80</v>
      </c>
      <c r="AB24" s="19">
        <v>85</v>
      </c>
      <c r="AC24" s="3" t="s">
        <v>83</v>
      </c>
      <c r="AD24" s="3" t="s">
        <v>93</v>
      </c>
      <c r="AE24" s="3" t="s">
        <v>117</v>
      </c>
      <c r="AF24" s="23" t="s">
        <v>85</v>
      </c>
    </row>
    <row r="25" spans="1:32" x14ac:dyDescent="0.2">
      <c r="A25" s="3">
        <v>24</v>
      </c>
      <c r="B25" s="3">
        <v>1</v>
      </c>
      <c r="C25" s="3" t="s">
        <v>118</v>
      </c>
      <c r="D25" s="19">
        <v>15236</v>
      </c>
      <c r="E25" s="19">
        <f>ROUND(D25/INDEX(مناطق!$D$2:$D$23,B25),0)</f>
        <v>5221</v>
      </c>
      <c r="F25" s="20">
        <v>1.5832999999999999</v>
      </c>
      <c r="G25" s="19">
        <f>پارامترها!$B$5*F25/1000000</f>
        <v>1541.1050550000002</v>
      </c>
      <c r="H25" s="21">
        <v>399.9</v>
      </c>
      <c r="I25" s="19">
        <f>H25*پارامترها!$B$6</f>
        <v>29992.5</v>
      </c>
      <c r="J25" s="22">
        <v>100</v>
      </c>
      <c r="K25" s="21">
        <f t="shared" si="0"/>
        <v>19.461684265256007</v>
      </c>
      <c r="L25" s="21">
        <f>I25/(پارامترها!$B$5/1000000)</f>
        <v>30.813684697179838</v>
      </c>
      <c r="M25" s="21">
        <f>K25/پارامترها!$B$7</f>
        <v>64.872280884186694</v>
      </c>
      <c r="N25" s="21">
        <v>37.99</v>
      </c>
      <c r="O25" s="21">
        <f>N25*پارامترها!$B$6*پارامترها!$B$16</f>
        <v>85.477499999999992</v>
      </c>
      <c r="P25" s="21">
        <f>O25*12/G25*100</f>
        <v>66.558084192384911</v>
      </c>
      <c r="Q25" s="21">
        <f>O25*12/(پارامترها!$B$5/1000000)*100</f>
        <v>105.38141470180304</v>
      </c>
      <c r="R25" s="3" t="str">
        <f t="shared" si="1"/>
        <v>فشار شدید</v>
      </c>
      <c r="S25" s="21">
        <f>(1-NORMSDIST((LN(O25*12*1000000/پارامترها!$B$8)-پارامترها!$B$15)/پارامترها!$B$14))*100</f>
        <v>4.2853907442816697</v>
      </c>
      <c r="T25" s="21">
        <f>(1-NORMSDIST((LN(I25*1000000/5)-پارامترها!$B$15)/پارامترها!$B$14))*100</f>
        <v>1.2180371755602493</v>
      </c>
      <c r="U25" s="21">
        <f>MIN(100,پارامترها!$B$9/1000000/I25*100)</f>
        <v>6.6683337501041926</v>
      </c>
      <c r="V25" s="19">
        <f>MAX(0,I25-پارامترها!$B$9/1000000)</f>
        <v>27992.5</v>
      </c>
      <c r="W25" s="21">
        <f>V25/(G25*پارامترها!$B$7)</f>
        <v>60.546380683524092</v>
      </c>
      <c r="X25" s="21">
        <f>پارامترها!$B$12/1000000/(G25/12)*100</f>
        <v>31.360800698373865</v>
      </c>
      <c r="Y25" s="21">
        <f>ROUND(50*MIN(1,3/K25)+50*MIN(1,30/P25),1)</f>
        <v>30.2</v>
      </c>
      <c r="Z25" s="3">
        <f t="shared" si="2"/>
        <v>156</v>
      </c>
      <c r="AA25" s="19">
        <v>81</v>
      </c>
      <c r="AB25" s="19">
        <v>91</v>
      </c>
      <c r="AC25" s="3" t="s">
        <v>83</v>
      </c>
      <c r="AD25" s="3" t="s">
        <v>84</v>
      </c>
      <c r="AE25" s="3" t="s">
        <v>118</v>
      </c>
      <c r="AF25" s="23" t="s">
        <v>85</v>
      </c>
    </row>
    <row r="26" spans="1:32" x14ac:dyDescent="0.2">
      <c r="A26" s="3">
        <v>25</v>
      </c>
      <c r="B26" s="3">
        <v>1</v>
      </c>
      <c r="C26" s="3" t="s">
        <v>119</v>
      </c>
      <c r="D26" s="19">
        <v>22829</v>
      </c>
      <c r="E26" s="19">
        <f>ROUND(D26/INDEX(مناطق!$D$2:$D$23,B26),0)</f>
        <v>7824</v>
      </c>
      <c r="F26" s="20">
        <v>1.5563</v>
      </c>
      <c r="G26" s="19">
        <f>پارامترها!$B$5*F26/1000000</f>
        <v>1514.8246050000002</v>
      </c>
      <c r="H26" s="21">
        <v>393.3</v>
      </c>
      <c r="I26" s="19">
        <f>H26*پارامترها!$B$6</f>
        <v>29497.5</v>
      </c>
      <c r="J26" s="22">
        <v>125</v>
      </c>
      <c r="K26" s="21">
        <f t="shared" si="0"/>
        <v>19.472551411323291</v>
      </c>
      <c r="L26" s="21">
        <f>I26/(پارامترها!$B$5/1000000)</f>
        <v>30.305131761442436</v>
      </c>
      <c r="M26" s="21">
        <f>K26/پارامترها!$B$7</f>
        <v>64.908504704410973</v>
      </c>
      <c r="N26" s="21">
        <v>31.83</v>
      </c>
      <c r="O26" s="21">
        <f>N26*پارامترها!$B$6*پارامترها!$B$16</f>
        <v>71.617499999999993</v>
      </c>
      <c r="P26" s="21">
        <f>O26*12/G26*100</f>
        <v>56.733300816697508</v>
      </c>
      <c r="Q26" s="21">
        <f>O26*12/(پارامترها!$B$5/1000000)*100</f>
        <v>88.294036061026333</v>
      </c>
      <c r="R26" s="3" t="str">
        <f t="shared" si="1"/>
        <v>فشار شدید</v>
      </c>
      <c r="S26" s="21">
        <f>(1-NORMSDIST((LN(O26*12*1000000/پارامترها!$B$8)-پارامترها!$B$15)/پارامترها!$B$14))*100</f>
        <v>6.0478193600066454</v>
      </c>
      <c r="T26" s="21">
        <f>(1-NORMSDIST((LN(I26*1000000/5)-پارامترها!$B$15)/پارامترها!$B$14))*100</f>
        <v>1.2688498173776153</v>
      </c>
      <c r="U26" s="21">
        <f>MIN(100,پارامترها!$B$9/1000000/I26*100)</f>
        <v>6.7802356131875587</v>
      </c>
      <c r="V26" s="19">
        <f>MAX(0,I26-پارامترها!$B$9/1000000)</f>
        <v>27497.5</v>
      </c>
      <c r="W26" s="21">
        <f>V26/(G26*پارامترها!$B$7)</f>
        <v>60.507555152454977</v>
      </c>
      <c r="X26" s="21">
        <f>پارامترها!$B$12/1000000/(G26/12)*100</f>
        <v>31.90487421816831</v>
      </c>
      <c r="Y26" s="21">
        <f>ROUND(50*MIN(1,3/K26)+50*MIN(1,30/P26),1)</f>
        <v>34.1</v>
      </c>
      <c r="Z26" s="3">
        <f t="shared" si="2"/>
        <v>23</v>
      </c>
      <c r="AA26" s="19">
        <v>89</v>
      </c>
      <c r="AB26" s="19">
        <v>88</v>
      </c>
      <c r="AC26" s="3" t="s">
        <v>83</v>
      </c>
      <c r="AD26" s="3" t="s">
        <v>84</v>
      </c>
      <c r="AE26" s="3" t="s">
        <v>119</v>
      </c>
      <c r="AF26" s="23" t="s">
        <v>85</v>
      </c>
    </row>
    <row r="27" spans="1:32" x14ac:dyDescent="0.2">
      <c r="A27" s="3">
        <v>26</v>
      </c>
      <c r="B27" s="3">
        <v>1</v>
      </c>
      <c r="C27" s="3" t="s">
        <v>120</v>
      </c>
      <c r="D27" s="19">
        <v>32186</v>
      </c>
      <c r="E27" s="19">
        <f>ROUND(D27/INDEX(مناطق!$D$2:$D$23,B27),0)</f>
        <v>11030</v>
      </c>
      <c r="F27" s="20">
        <v>1.4089</v>
      </c>
      <c r="G27" s="19">
        <f>پارامترها!$B$5*F27/1000000</f>
        <v>1371.3528150000002</v>
      </c>
      <c r="H27" s="21">
        <v>357.3</v>
      </c>
      <c r="I27" s="19">
        <f>H27*پارامترها!$B$6</f>
        <v>26797.5</v>
      </c>
      <c r="J27" s="22">
        <v>115</v>
      </c>
      <c r="K27" s="21">
        <f t="shared" si="0"/>
        <v>19.540923172276418</v>
      </c>
      <c r="L27" s="21">
        <f>I27/(پارامترها!$B$5/1000000)</f>
        <v>27.531206657420245</v>
      </c>
      <c r="M27" s="21">
        <f>K27/پارامترها!$B$7</f>
        <v>65.136410574254725</v>
      </c>
      <c r="N27" s="21">
        <v>28.23</v>
      </c>
      <c r="O27" s="21">
        <f>N27*پارامترها!$B$6*پارامترها!$B$16</f>
        <v>63.517499999999998</v>
      </c>
      <c r="P27" s="21">
        <f>O27*12/G27*100</f>
        <v>55.580882735855241</v>
      </c>
      <c r="Q27" s="21">
        <f>O27*12/(پارامترها!$B$5/1000000)*100</f>
        <v>78.307905686546448</v>
      </c>
      <c r="R27" s="3" t="str">
        <f t="shared" si="1"/>
        <v>فشار شدید</v>
      </c>
      <c r="S27" s="21">
        <f>(1-NORMSDIST((LN(O27*12*1000000/پارامترها!$B$8)-پارامترها!$B$15)/پارامترها!$B$14))*100</f>
        <v>7.5360658749616167</v>
      </c>
      <c r="T27" s="21">
        <f>(1-NORMSDIST((LN(I27*1000000/5)-پارامترها!$B$15)/پارامترها!$B$14))*100</f>
        <v>1.5992044157326024</v>
      </c>
      <c r="U27" s="21">
        <f>MIN(100,پارامترها!$B$9/1000000/I27*100)</f>
        <v>7.463382778244239</v>
      </c>
      <c r="V27" s="19">
        <f>MAX(0,I27-پارامترها!$B$9/1000000)</f>
        <v>24797.5</v>
      </c>
      <c r="W27" s="21">
        <f>V27/(G27*پارامترها!$B$7)</f>
        <v>60.275030925089339</v>
      </c>
      <c r="X27" s="21">
        <f>پارامترها!$B$12/1000000/(G27/12)*100</f>
        <v>35.242782131971992</v>
      </c>
      <c r="Y27" s="21">
        <f>ROUND(50*MIN(1,3/K27)+50*MIN(1,30/P27),1)</f>
        <v>34.700000000000003</v>
      </c>
      <c r="Z27" s="3">
        <f t="shared" si="2"/>
        <v>14</v>
      </c>
      <c r="AA27" s="19">
        <v>56</v>
      </c>
      <c r="AB27" s="19">
        <v>45</v>
      </c>
      <c r="AC27" s="3" t="s">
        <v>83</v>
      </c>
      <c r="AD27" s="3" t="s">
        <v>84</v>
      </c>
      <c r="AE27" s="3" t="s">
        <v>120</v>
      </c>
      <c r="AF27" s="23" t="s">
        <v>85</v>
      </c>
    </row>
    <row r="28" spans="1:32" x14ac:dyDescent="0.2">
      <c r="A28" s="3">
        <v>27</v>
      </c>
      <c r="B28" s="3">
        <v>1</v>
      </c>
      <c r="C28" s="3" t="s">
        <v>121</v>
      </c>
      <c r="D28" s="19">
        <v>14224</v>
      </c>
      <c r="E28" s="19">
        <f>ROUND(D28/INDEX(مناطق!$D$2:$D$23,B28),0)</f>
        <v>4875</v>
      </c>
      <c r="F28" s="20">
        <v>1.1419999999999999</v>
      </c>
      <c r="G28" s="19">
        <f>پارامترها!$B$5*F28/1000000</f>
        <v>1111.5657000000001</v>
      </c>
      <c r="H28" s="21">
        <v>291.7</v>
      </c>
      <c r="I28" s="19">
        <f>H28*پارامترها!$B$6</f>
        <v>21877.5</v>
      </c>
      <c r="J28" s="22">
        <v>80</v>
      </c>
      <c r="K28" s="21">
        <f t="shared" si="0"/>
        <v>19.681697627049843</v>
      </c>
      <c r="L28" s="21">
        <f>I28/(پارامترها!$B$5/1000000)</f>
        <v>22.476498690090921</v>
      </c>
      <c r="M28" s="21">
        <f>K28/پارامترها!$B$7</f>
        <v>65.60565875683281</v>
      </c>
      <c r="N28" s="21">
        <v>26.31</v>
      </c>
      <c r="O28" s="21">
        <f>N28*پارامترها!$B$6*پارامترها!$B$16</f>
        <v>59.197499999999998</v>
      </c>
      <c r="P28" s="21">
        <f>O28*12/G28*100</f>
        <v>63.90715366622053</v>
      </c>
      <c r="Q28" s="21">
        <f>O28*12/(پارامترها!$B$5/1000000)*100</f>
        <v>72.981969486823857</v>
      </c>
      <c r="R28" s="3" t="str">
        <f t="shared" si="1"/>
        <v>فشار شدید</v>
      </c>
      <c r="S28" s="21">
        <f>(1-NORMSDIST((LN(O28*12*1000000/پارامترها!$B$8)-پارامترها!$B$15)/پارامترها!$B$14))*100</f>
        <v>8.5309990457720701</v>
      </c>
      <c r="T28" s="21">
        <f>(1-NORMSDIST((LN(I28*1000000/5)-پارامترها!$B$15)/پارامترها!$B$14))*100</f>
        <v>2.5450912483481303</v>
      </c>
      <c r="U28" s="21">
        <f>MIN(100,پارامترها!$B$9/1000000/I28*100)</f>
        <v>9.1418123643012237</v>
      </c>
      <c r="V28" s="19">
        <f>MAX(0,I28-پارامترها!$B$9/1000000)</f>
        <v>19877.5</v>
      </c>
      <c r="W28" s="21">
        <f>V28/(G28*پارامترها!$B$7)</f>
        <v>59.608112532919399</v>
      </c>
      <c r="X28" s="21">
        <f>پارامترها!$B$12/1000000/(G28/12)*100</f>
        <v>43.479470880678939</v>
      </c>
      <c r="Y28" s="21">
        <f>ROUND(50*MIN(1,3/K28)+50*MIN(1,30/P28),1)</f>
        <v>31.1</v>
      </c>
      <c r="Z28" s="3">
        <f t="shared" si="2"/>
        <v>95</v>
      </c>
      <c r="AA28" s="19">
        <v>17</v>
      </c>
      <c r="AB28" s="19">
        <v>10</v>
      </c>
      <c r="AC28" s="3" t="s">
        <v>83</v>
      </c>
      <c r="AD28" s="3" t="s">
        <v>84</v>
      </c>
      <c r="AE28" s="3" t="s">
        <v>122</v>
      </c>
      <c r="AF28" s="23" t="s">
        <v>90</v>
      </c>
    </row>
    <row r="29" spans="1:32" x14ac:dyDescent="0.2">
      <c r="A29" s="3">
        <v>28</v>
      </c>
      <c r="B29" s="3">
        <v>2</v>
      </c>
      <c r="C29" s="3" t="s">
        <v>123</v>
      </c>
      <c r="D29" s="19">
        <v>62423</v>
      </c>
      <c r="E29" s="19">
        <f>ROUND(D29/INDEX(مناطق!$D$2:$D$23,B29),0)</f>
        <v>21360</v>
      </c>
      <c r="F29" s="20">
        <v>2.6116999999999999</v>
      </c>
      <c r="G29" s="19">
        <f>پارامترها!$B$5*F29/1000000</f>
        <v>2542.098195</v>
      </c>
      <c r="H29" s="21">
        <v>647.70000000000005</v>
      </c>
      <c r="I29" s="19">
        <f>H29*پارامترها!$B$6</f>
        <v>48577.5</v>
      </c>
      <c r="J29" s="22">
        <v>145</v>
      </c>
      <c r="K29" s="21">
        <f t="shared" si="0"/>
        <v>19.109214622608235</v>
      </c>
      <c r="L29" s="21">
        <f>I29/(پارامترها!$B$5/1000000)</f>
        <v>49.907535829865921</v>
      </c>
      <c r="M29" s="21">
        <f>K29/پارامترها!$B$7</f>
        <v>63.697382075360785</v>
      </c>
      <c r="N29" s="21">
        <v>52.73</v>
      </c>
      <c r="O29" s="21">
        <f>N29*پارامترها!$B$6*پارامترها!$B$16</f>
        <v>118.64249999999998</v>
      </c>
      <c r="P29" s="21">
        <f>O29*12/G29*100</f>
        <v>56.005310998617809</v>
      </c>
      <c r="Q29" s="21">
        <f>O29*12/(پارامترها!$B$5/1000000)*100</f>
        <v>146.26907073509011</v>
      </c>
      <c r="R29" s="3" t="str">
        <f t="shared" si="1"/>
        <v>فشار شدید</v>
      </c>
      <c r="S29" s="21">
        <f>(1-NORMSDIST((LN(O29*12*1000000/پارامترها!$B$8)-پارامترها!$B$15)/پارامترها!$B$14))*100</f>
        <v>2.1213780025094775</v>
      </c>
      <c r="T29" s="21">
        <f>(1-NORMSDIST((LN(I29*1000000/5)-پارامترها!$B$15)/پارامترها!$B$14))*100</f>
        <v>0.3379074042315855</v>
      </c>
      <c r="U29" s="21">
        <f>MIN(100,پارامترها!$B$9/1000000/I29*100)</f>
        <v>4.117132417271371</v>
      </c>
      <c r="V29" s="19">
        <f>MAX(0,I29-پارامترها!$B$9/1000000)</f>
        <v>46577.5</v>
      </c>
      <c r="W29" s="21">
        <f>V29/(G29*پارامترها!$B$7)</f>
        <v>61.074876508982904</v>
      </c>
      <c r="X29" s="21">
        <f>پارامترها!$B$12/1000000/(G29/12)*100</f>
        <v>19.011967586528066</v>
      </c>
      <c r="Y29" s="21">
        <f>ROUND(50*MIN(1,3/K29)+50*MIN(1,30/P29),1)</f>
        <v>34.6</v>
      </c>
      <c r="Z29" s="3">
        <f t="shared" si="2"/>
        <v>16</v>
      </c>
      <c r="AA29" s="19">
        <v>88</v>
      </c>
      <c r="AB29" s="19">
        <v>88</v>
      </c>
      <c r="AC29" s="3" t="s">
        <v>83</v>
      </c>
      <c r="AD29" s="3" t="s">
        <v>84</v>
      </c>
      <c r="AE29" s="3" t="s">
        <v>124</v>
      </c>
      <c r="AF29" s="23" t="s">
        <v>85</v>
      </c>
    </row>
    <row r="30" spans="1:32" x14ac:dyDescent="0.2">
      <c r="A30" s="3">
        <v>29</v>
      </c>
      <c r="B30" s="3">
        <v>2</v>
      </c>
      <c r="C30" s="3" t="s">
        <v>125</v>
      </c>
      <c r="D30" s="19">
        <v>24679</v>
      </c>
      <c r="E30" s="19">
        <f>ROUND(D30/INDEX(مناطق!$D$2:$D$23,B30),0)</f>
        <v>8445</v>
      </c>
      <c r="F30" s="20">
        <v>2.2850000000000001</v>
      </c>
      <c r="G30" s="19">
        <f>پارامترها!$B$5*F30/1000000</f>
        <v>2224.1047500000004</v>
      </c>
      <c r="H30" s="21">
        <v>569.20000000000005</v>
      </c>
      <c r="I30" s="19">
        <f>H30*پارامترها!$B$6</f>
        <v>42690</v>
      </c>
      <c r="J30" s="22">
        <v>140</v>
      </c>
      <c r="K30" s="21">
        <f t="shared" si="0"/>
        <v>19.194239839647835</v>
      </c>
      <c r="L30" s="21">
        <f>I30/(پارامترها!$B$5/1000000)</f>
        <v>43.858838033595312</v>
      </c>
      <c r="M30" s="21">
        <f>K30/پارامترها!$B$7</f>
        <v>63.980799465492787</v>
      </c>
      <c r="N30" s="21">
        <v>44.78</v>
      </c>
      <c r="O30" s="21">
        <f>N30*پارامترها!$B$6*پارامترها!$B$16</f>
        <v>100.755</v>
      </c>
      <c r="P30" s="21">
        <f>O30*12/G30*100</f>
        <v>54.36164820924013</v>
      </c>
      <c r="Q30" s="21">
        <f>O30*12/(پارامترها!$B$5/1000000)*100</f>
        <v>124.21636615811371</v>
      </c>
      <c r="R30" s="3" t="str">
        <f t="shared" si="1"/>
        <v>فشار شدید</v>
      </c>
      <c r="S30" s="21">
        <f>(1-NORMSDIST((LN(O30*12*1000000/پارامترها!$B$8)-پارامترها!$B$15)/پارامترها!$B$14))*100</f>
        <v>3.0439318481271349</v>
      </c>
      <c r="T30" s="21">
        <f>(1-NORMSDIST((LN(I30*1000000/5)-پارامترها!$B$15)/پارامترها!$B$14))*100</f>
        <v>0.48540831367430703</v>
      </c>
      <c r="U30" s="21">
        <f>MIN(100,پارامترها!$B$9/1000000/I30*100)</f>
        <v>4.6849379245724991</v>
      </c>
      <c r="V30" s="19">
        <f>MAX(0,I30-پارامترها!$B$9/1000000)</f>
        <v>40690</v>
      </c>
      <c r="W30" s="21">
        <f>V30/(G30*پارامترها!$B$7)</f>
        <v>60.983338726889244</v>
      </c>
      <c r="X30" s="21">
        <f>پارامترها!$B$12/1000000/(G30/12)*100</f>
        <v>21.730221332925751</v>
      </c>
      <c r="Y30" s="21">
        <f>ROUND(50*MIN(1,3/K30)+50*MIN(1,30/P30),1)</f>
        <v>35.4</v>
      </c>
      <c r="Z30" s="3">
        <f t="shared" si="2"/>
        <v>7</v>
      </c>
      <c r="AA30" s="19">
        <v>90</v>
      </c>
      <c r="AB30" s="19">
        <v>91</v>
      </c>
      <c r="AC30" s="3" t="s">
        <v>83</v>
      </c>
      <c r="AD30" s="3" t="s">
        <v>84</v>
      </c>
      <c r="AE30" s="3" t="s">
        <v>125</v>
      </c>
      <c r="AF30" s="23" t="s">
        <v>85</v>
      </c>
    </row>
    <row r="31" spans="1:32" ht="16.5" x14ac:dyDescent="0.3">
      <c r="A31" s="3">
        <v>30</v>
      </c>
      <c r="B31" s="3">
        <v>2</v>
      </c>
      <c r="C31" s="3" t="s">
        <v>126</v>
      </c>
      <c r="D31" s="19">
        <v>45841</v>
      </c>
      <c r="E31" s="19">
        <f>ROUND(D31/INDEX(مناطق!$D$2:$D$23,B31),0)</f>
        <v>15686</v>
      </c>
      <c r="F31" s="20">
        <v>2.036</v>
      </c>
      <c r="G31" s="19">
        <f>پارامترها!$B$5*F31/1000000</f>
        <v>1981.7406000000003</v>
      </c>
      <c r="H31" s="21">
        <v>509.2</v>
      </c>
      <c r="I31" s="19">
        <f>H31*پارامترها!$B$6</f>
        <v>38190</v>
      </c>
      <c r="J31" s="22">
        <v>135</v>
      </c>
      <c r="K31" s="21">
        <f t="shared" si="0"/>
        <v>19.270937881577435</v>
      </c>
      <c r="L31" s="21">
        <f>I31/(پارامترها!$B$5/1000000)</f>
        <v>39.235629526891657</v>
      </c>
      <c r="M31" s="21">
        <f>K31/پارامترها!$B$7</f>
        <v>64.236459605258119</v>
      </c>
      <c r="N31" s="21">
        <v>40.15</v>
      </c>
      <c r="O31" s="21">
        <f>N31*پارامترها!$B$6*پارامترها!$B$16</f>
        <v>90.337499999999991</v>
      </c>
      <c r="P31" s="21">
        <f>O31*12/G31*100</f>
        <v>54.701912046410094</v>
      </c>
      <c r="Q31" s="21">
        <f>O31*12/(پارامترها!$B$5/1000000)*100</f>
        <v>111.37309292649095</v>
      </c>
      <c r="R31" s="3" t="str">
        <f t="shared" si="1"/>
        <v>فشار شدید</v>
      </c>
      <c r="S31" s="21">
        <f>(1-NORMSDIST((LN(O31*12*1000000/پارامترها!$B$8)-پارامترها!$B$15)/پارامترها!$B$14))*100</f>
        <v>3.8287728085591111</v>
      </c>
      <c r="T31" s="21">
        <f>(1-NORMSDIST((LN(I31*1000000/5)-پارامترها!$B$15)/پارامترها!$B$14))*100</f>
        <v>0.65607437264313395</v>
      </c>
      <c r="U31" s="21">
        <f>MIN(100,پارامترها!$B$9/1000000/I31*100)</f>
        <v>5.2369730295888974</v>
      </c>
      <c r="V31" s="19">
        <f>MAX(0,I31-پارامترها!$B$9/1000000)</f>
        <v>36190</v>
      </c>
      <c r="W31" s="21">
        <f>V31/(G31*پارامترها!$B$7)</f>
        <v>60.872413540567983</v>
      </c>
      <c r="X31" s="21">
        <f>پارامترها!$B$12/1000000/(G31/12)*100</f>
        <v>24.387797517551739</v>
      </c>
      <c r="Y31" s="21">
        <f>ROUND(50*MIN(1,3/K31)+50*MIN(1,30/P31),1)</f>
        <v>35.200000000000003</v>
      </c>
      <c r="Z31" s="3">
        <f t="shared" si="2"/>
        <v>9</v>
      </c>
      <c r="AA31" s="19">
        <v>93</v>
      </c>
      <c r="AB31" s="19">
        <v>89</v>
      </c>
      <c r="AC31" s="3" t="s">
        <v>83</v>
      </c>
      <c r="AD31" s="3" t="s">
        <v>93</v>
      </c>
      <c r="AE31" s="3" t="s">
        <v>127</v>
      </c>
      <c r="AF31" s="23" t="s">
        <v>85</v>
      </c>
    </row>
    <row r="32" spans="1:32" ht="16.5" x14ac:dyDescent="0.3">
      <c r="A32" s="3">
        <v>31</v>
      </c>
      <c r="B32" s="3">
        <v>2</v>
      </c>
      <c r="C32" s="3" t="s">
        <v>127</v>
      </c>
      <c r="D32" s="19">
        <v>37403</v>
      </c>
      <c r="E32" s="19">
        <f>ROUND(D32/INDEX(مناطق!$D$2:$D$23,B32),0)</f>
        <v>12799</v>
      </c>
      <c r="F32" s="20">
        <v>2.036</v>
      </c>
      <c r="G32" s="19">
        <f>پارامترها!$B$5*F32/1000000</f>
        <v>1981.7406000000003</v>
      </c>
      <c r="H32" s="21">
        <v>509.2</v>
      </c>
      <c r="I32" s="19">
        <f>H32*پارامترها!$B$6</f>
        <v>38190</v>
      </c>
      <c r="J32" s="22">
        <v>135</v>
      </c>
      <c r="K32" s="21">
        <f t="shared" si="0"/>
        <v>19.270937881577435</v>
      </c>
      <c r="L32" s="21">
        <f>I32/(پارامترها!$B$5/1000000)</f>
        <v>39.235629526891657</v>
      </c>
      <c r="M32" s="21">
        <f>K32/پارامترها!$B$7</f>
        <v>64.236459605258119</v>
      </c>
      <c r="N32" s="21">
        <v>40.15</v>
      </c>
      <c r="O32" s="21">
        <f>N32*پارامترها!$B$6*پارامترها!$B$16</f>
        <v>90.337499999999991</v>
      </c>
      <c r="P32" s="21">
        <f>O32*12/G32*100</f>
        <v>54.701912046410094</v>
      </c>
      <c r="Q32" s="21">
        <f>O32*12/(پارامترها!$B$5/1000000)*100</f>
        <v>111.37309292649095</v>
      </c>
      <c r="R32" s="3" t="str">
        <f t="shared" si="1"/>
        <v>فشار شدید</v>
      </c>
      <c r="S32" s="21">
        <f>(1-NORMSDIST((LN(O32*12*1000000/پارامترها!$B$8)-پارامترها!$B$15)/پارامترها!$B$14))*100</f>
        <v>3.8287728085591111</v>
      </c>
      <c r="T32" s="21">
        <f>(1-NORMSDIST((LN(I32*1000000/5)-پارامترها!$B$15)/پارامترها!$B$14))*100</f>
        <v>0.65607437264313395</v>
      </c>
      <c r="U32" s="21">
        <f>MIN(100,پارامترها!$B$9/1000000/I32*100)</f>
        <v>5.2369730295888974</v>
      </c>
      <c r="V32" s="19">
        <f>MAX(0,I32-پارامترها!$B$9/1000000)</f>
        <v>36190</v>
      </c>
      <c r="W32" s="21">
        <f>V32/(G32*پارامترها!$B$7)</f>
        <v>60.872413540567983</v>
      </c>
      <c r="X32" s="21">
        <f>پارامترها!$B$12/1000000/(G32/12)*100</f>
        <v>24.387797517551739</v>
      </c>
      <c r="Y32" s="21">
        <f>ROUND(50*MIN(1,3/K32)+50*MIN(1,30/P32),1)</f>
        <v>35.200000000000003</v>
      </c>
      <c r="Z32" s="3">
        <f t="shared" si="2"/>
        <v>9</v>
      </c>
      <c r="AA32" s="19">
        <v>93</v>
      </c>
      <c r="AB32" s="19">
        <v>89</v>
      </c>
      <c r="AC32" s="3" t="s">
        <v>83</v>
      </c>
      <c r="AD32" s="3" t="s">
        <v>93</v>
      </c>
      <c r="AE32" s="3" t="s">
        <v>127</v>
      </c>
      <c r="AF32" s="23" t="s">
        <v>85</v>
      </c>
    </row>
    <row r="33" spans="1:32" x14ac:dyDescent="0.2">
      <c r="A33" s="3">
        <v>32</v>
      </c>
      <c r="B33" s="3">
        <v>2</v>
      </c>
      <c r="C33" s="3" t="s">
        <v>128</v>
      </c>
      <c r="D33" s="19">
        <v>30508</v>
      </c>
      <c r="E33" s="19">
        <f>ROUND(D33/INDEX(مناطق!$D$2:$D$23,B33),0)</f>
        <v>10439</v>
      </c>
      <c r="F33" s="20">
        <v>1.9317</v>
      </c>
      <c r="G33" s="19">
        <f>پارامترها!$B$5*F33/1000000</f>
        <v>1880.2201950000003</v>
      </c>
      <c r="H33" s="21">
        <v>483.9</v>
      </c>
      <c r="I33" s="19">
        <f>H33*پارامترها!$B$6</f>
        <v>36292.5</v>
      </c>
      <c r="J33" s="22">
        <v>135</v>
      </c>
      <c r="K33" s="21">
        <f t="shared" si="0"/>
        <v>19.302260499334757</v>
      </c>
      <c r="L33" s="21">
        <f>I33/(پارامترها!$B$5/1000000)</f>
        <v>37.28617660656495</v>
      </c>
      <c r="M33" s="21">
        <f>K33/پارامترها!$B$7</f>
        <v>64.340868331115857</v>
      </c>
      <c r="N33" s="21">
        <v>43.6</v>
      </c>
      <c r="O33" s="21">
        <f>N33*پارامترها!$B$6*پارامترها!$B$16</f>
        <v>98.1</v>
      </c>
      <c r="P33" s="21">
        <f>O33*12/G33*100</f>
        <v>62.609688116875041</v>
      </c>
      <c r="Q33" s="21">
        <f>O33*12/(پارامترها!$B$5/1000000)*100</f>
        <v>120.94313453536752</v>
      </c>
      <c r="R33" s="3" t="str">
        <f t="shared" si="1"/>
        <v>فشار شدید</v>
      </c>
      <c r="S33" s="21">
        <f>(1-NORMSDIST((LN(O33*12*1000000/پارامترها!$B$8)-پارامترها!$B$15)/پارامترها!$B$14))*100</f>
        <v>3.2224583317831179</v>
      </c>
      <c r="T33" s="21">
        <f>(1-NORMSDIST((LN(I33*1000000/5)-پارامترها!$B$15)/پارامترها!$B$14))*100</f>
        <v>0.75049102813319335</v>
      </c>
      <c r="U33" s="21">
        <f>MIN(100,پارامترها!$B$9/1000000/I33*100)</f>
        <v>5.5107804642832541</v>
      </c>
      <c r="V33" s="19">
        <f>MAX(0,I33-پارامترها!$B$9/1000000)</f>
        <v>34292.5</v>
      </c>
      <c r="W33" s="21">
        <f>V33/(G33*پارامترها!$B$7)</f>
        <v>60.795184328574514</v>
      </c>
      <c r="X33" s="21">
        <f>پارامترها!$B$12/1000000/(G33/12)*100</f>
        <v>25.704589607980193</v>
      </c>
      <c r="Y33" s="21">
        <f>ROUND(50*MIN(1,3/K33)+50*MIN(1,30/P33),1)</f>
        <v>31.7</v>
      </c>
      <c r="Z33" s="3">
        <f t="shared" si="2"/>
        <v>78</v>
      </c>
      <c r="AA33" s="19">
        <v>60</v>
      </c>
      <c r="AB33" s="19">
        <v>37</v>
      </c>
      <c r="AC33" s="3" t="s">
        <v>83</v>
      </c>
      <c r="AD33" s="3" t="s">
        <v>84</v>
      </c>
      <c r="AE33" s="3" t="s">
        <v>129</v>
      </c>
      <c r="AF33" s="23" t="s">
        <v>85</v>
      </c>
    </row>
    <row r="34" spans="1:32" ht="16.5" x14ac:dyDescent="0.3">
      <c r="A34" s="3">
        <v>33</v>
      </c>
      <c r="B34" s="3">
        <v>2</v>
      </c>
      <c r="C34" s="3" t="s">
        <v>130</v>
      </c>
      <c r="D34" s="19">
        <v>44870</v>
      </c>
      <c r="E34" s="19">
        <f>ROUND(D34/INDEX(مناطق!$D$2:$D$23,B34),0)</f>
        <v>15354</v>
      </c>
      <c r="F34" s="20">
        <v>1.865</v>
      </c>
      <c r="G34" s="19">
        <f>پارامترها!$B$5*F34/1000000</f>
        <v>1815.2977500000002</v>
      </c>
      <c r="H34" s="21">
        <v>467.8</v>
      </c>
      <c r="I34" s="19">
        <f>H34*پارامترها!$B$6</f>
        <v>35085</v>
      </c>
      <c r="J34" s="22">
        <v>95</v>
      </c>
      <c r="K34" s="21">
        <f t="shared" si="0"/>
        <v>19.327407859123934</v>
      </c>
      <c r="L34" s="21">
        <f>I34/(پارامترها!$B$5/1000000)</f>
        <v>36.04561565726614</v>
      </c>
      <c r="M34" s="21">
        <f>K34/پارامترها!$B$7</f>
        <v>64.424692863746444</v>
      </c>
      <c r="N34" s="21">
        <v>39.729999999999997</v>
      </c>
      <c r="O34" s="21">
        <f>N34*پارامترها!$B$6*پارامترها!$B$16</f>
        <v>89.392499999999984</v>
      </c>
      <c r="P34" s="21">
        <f>O34*12/G34*100</f>
        <v>59.092785191850737</v>
      </c>
      <c r="Q34" s="21">
        <f>O34*12/(پارامترها!$B$5/1000000)*100</f>
        <v>110.20804438280163</v>
      </c>
      <c r="R34" s="3" t="str">
        <f t="shared" si="1"/>
        <v>فشار شدید</v>
      </c>
      <c r="S34" s="21">
        <f>(1-NORMSDIST((LN(O34*12*1000000/پارامترها!$B$8)-پارامترها!$B$15)/پارامترها!$B$14))*100</f>
        <v>3.9124095553994542</v>
      </c>
      <c r="T34" s="21">
        <f>(1-NORMSDIST((LN(I34*1000000/5)-پارامترها!$B$15)/پارامترها!$B$14))*100</f>
        <v>0.81961040210217773</v>
      </c>
      <c r="U34" s="21">
        <f>MIN(100,پارامترها!$B$9/1000000/I34*100)</f>
        <v>5.7004417842382784</v>
      </c>
      <c r="V34" s="19">
        <f>MAX(0,I34-پارامترها!$B$9/1000000)</f>
        <v>33085</v>
      </c>
      <c r="W34" s="21">
        <f>V34/(G34*پارامترها!$B$7)</f>
        <v>60.752200752374272</v>
      </c>
      <c r="X34" s="21">
        <f>پارامترها!$B$12/1000000/(G34/12)*100</f>
        <v>26.623890480287045</v>
      </c>
      <c r="Y34" s="21">
        <f>ROUND(50*MIN(1,3/K34)+50*MIN(1,30/P34),1)</f>
        <v>33.1</v>
      </c>
      <c r="Z34" s="3">
        <f t="shared" si="2"/>
        <v>30</v>
      </c>
      <c r="AA34" s="19">
        <v>95</v>
      </c>
      <c r="AB34" s="19">
        <v>91</v>
      </c>
      <c r="AC34" s="3" t="s">
        <v>83</v>
      </c>
      <c r="AD34" s="3" t="s">
        <v>93</v>
      </c>
      <c r="AE34" s="3" t="s">
        <v>131</v>
      </c>
      <c r="AF34" s="23" t="s">
        <v>85</v>
      </c>
    </row>
    <row r="35" spans="1:32" x14ac:dyDescent="0.2">
      <c r="A35" s="3">
        <v>34</v>
      </c>
      <c r="B35" s="3">
        <v>2</v>
      </c>
      <c r="C35" s="3" t="s">
        <v>132</v>
      </c>
      <c r="D35" s="19">
        <v>33397</v>
      </c>
      <c r="E35" s="19">
        <f>ROUND(D35/INDEX(مناطق!$D$2:$D$23,B35),0)</f>
        <v>11428</v>
      </c>
      <c r="F35" s="20">
        <v>1.7184999999999999</v>
      </c>
      <c r="G35" s="19">
        <f>پارامترها!$B$5*F35/1000000</f>
        <v>1672.7019750000002</v>
      </c>
      <c r="H35" s="21">
        <v>432.2</v>
      </c>
      <c r="I35" s="19">
        <f>H35*پارامترها!$B$6</f>
        <v>32415</v>
      </c>
      <c r="J35" s="22">
        <v>110</v>
      </c>
      <c r="K35" s="21">
        <f t="shared" si="0"/>
        <v>19.378825687104243</v>
      </c>
      <c r="L35" s="21">
        <f>I35/(پارامترها!$B$5/1000000)</f>
        <v>33.302511943288636</v>
      </c>
      <c r="M35" s="21">
        <f>K35/پارامترها!$B$7</f>
        <v>64.596085623680807</v>
      </c>
      <c r="N35" s="21">
        <v>36.340000000000003</v>
      </c>
      <c r="O35" s="21">
        <f>N35*پارامترها!$B$6*پارامترها!$B$16</f>
        <v>81.765000000000015</v>
      </c>
      <c r="P35" s="21">
        <f>O35*12/G35*100</f>
        <v>58.658387128406432</v>
      </c>
      <c r="Q35" s="21">
        <f>O35*12/(پارامترها!$B$5/1000000)*100</f>
        <v>100.80443828016644</v>
      </c>
      <c r="R35" s="3" t="str">
        <f t="shared" si="1"/>
        <v>فشار شدید</v>
      </c>
      <c r="S35" s="21">
        <f>(1-NORMSDIST((LN(O35*12*1000000/پارامترها!$B$8)-پارامترها!$B$15)/پارامترها!$B$14))*100</f>
        <v>4.6830729167214429</v>
      </c>
      <c r="T35" s="21">
        <f>(1-NORMSDIST((LN(I35*1000000/5)-پارامترها!$B$15)/پارامترها!$B$14))*100</f>
        <v>1.0035258662418722</v>
      </c>
      <c r="U35" s="21">
        <f>MIN(100,پارامترها!$B$9/1000000/I35*100)</f>
        <v>6.1699830325466598</v>
      </c>
      <c r="V35" s="19">
        <f>MAX(0,I35-پارامترها!$B$9/1000000)</f>
        <v>30415</v>
      </c>
      <c r="W35" s="21">
        <f>V35/(G35*پارامترها!$B$7)</f>
        <v>60.610518101010385</v>
      </c>
      <c r="X35" s="21">
        <f>پارامترها!$B$12/1000000/(G35/12)*100</f>
        <v>28.893544222132871</v>
      </c>
      <c r="Y35" s="21">
        <f>ROUND(50*MIN(1,3/K35)+50*MIN(1,30/P35),1)</f>
        <v>33.299999999999997</v>
      </c>
      <c r="Z35" s="3">
        <f t="shared" si="2"/>
        <v>27</v>
      </c>
      <c r="AA35" s="19">
        <v>89</v>
      </c>
      <c r="AB35" s="19">
        <v>90</v>
      </c>
      <c r="AC35" s="3" t="s">
        <v>83</v>
      </c>
      <c r="AD35" s="3" t="s">
        <v>84</v>
      </c>
      <c r="AE35" s="3" t="s">
        <v>132</v>
      </c>
      <c r="AF35" s="23" t="s">
        <v>85</v>
      </c>
    </row>
    <row r="36" spans="1:32" ht="16.5" x14ac:dyDescent="0.3">
      <c r="A36" s="3">
        <v>35</v>
      </c>
      <c r="B36" s="3">
        <v>2</v>
      </c>
      <c r="C36" s="3" t="s">
        <v>133</v>
      </c>
      <c r="D36" s="19">
        <v>54387</v>
      </c>
      <c r="E36" s="19">
        <f>ROUND(D36/INDEX(مناطق!$D$2:$D$23,B36),0)</f>
        <v>18611</v>
      </c>
      <c r="F36" s="20">
        <v>1.6296999999999999</v>
      </c>
      <c r="G36" s="19">
        <f>پارامترها!$B$5*F36/1000000</f>
        <v>1586.2684950000003</v>
      </c>
      <c r="H36" s="21">
        <v>410.6</v>
      </c>
      <c r="I36" s="19">
        <f>H36*پارامترها!$B$6</f>
        <v>30795</v>
      </c>
      <c r="J36" s="22">
        <v>103</v>
      </c>
      <c r="K36" s="21">
        <f t="shared" si="0"/>
        <v>19.413485230947611</v>
      </c>
      <c r="L36" s="21">
        <f>I36/(پارامترها!$B$5/1000000)</f>
        <v>31.638156880875322</v>
      </c>
      <c r="M36" s="21">
        <f>K36/پارامترها!$B$7</f>
        <v>64.711617436492034</v>
      </c>
      <c r="N36" s="21">
        <v>33.090000000000003</v>
      </c>
      <c r="O36" s="21">
        <f>N36*پارامترها!$B$6*پارامترها!$B$16</f>
        <v>74.452500000000015</v>
      </c>
      <c r="P36" s="21">
        <f>O36*12/G36*100</f>
        <v>56.322747556049777</v>
      </c>
      <c r="Q36" s="21">
        <f>O36*12/(پارامترها!$B$5/1000000)*100</f>
        <v>91.789181692094317</v>
      </c>
      <c r="R36" s="3" t="str">
        <f t="shared" si="1"/>
        <v>فشار شدید</v>
      </c>
      <c r="S36" s="21">
        <f>(1-NORMSDIST((LN(O36*12*1000000/پارامترها!$B$8)-پارامترها!$B$15)/پارامترها!$B$14))*100</f>
        <v>5.6191220605734893</v>
      </c>
      <c r="T36" s="21">
        <f>(1-NORMSDIST((LN(I36*1000000/5)-پارامترها!$B$15)/پارامترها!$B$14))*100</f>
        <v>1.1410330591915985</v>
      </c>
      <c r="U36" s="21">
        <f>MIN(100,پارامترها!$B$9/1000000/I36*100)</f>
        <v>6.4945608053255404</v>
      </c>
      <c r="V36" s="19">
        <f>MAX(0,I36-پارامترها!$B$9/1000000)</f>
        <v>28795</v>
      </c>
      <c r="W36" s="21">
        <f>V36/(G36*پارامترها!$B$7)</f>
        <v>60.508882093969426</v>
      </c>
      <c r="X36" s="21">
        <f>پارامترها!$B$12/1000000/(G36/12)*100</f>
        <v>30.467911729603813</v>
      </c>
      <c r="Y36" s="21">
        <f>ROUND(50*MIN(1,3/K36)+50*MIN(1,30/P36),1)</f>
        <v>34.4</v>
      </c>
      <c r="Z36" s="3">
        <f t="shared" si="2"/>
        <v>20</v>
      </c>
      <c r="AA36" s="19">
        <v>89</v>
      </c>
      <c r="AB36" s="19">
        <v>93</v>
      </c>
      <c r="AC36" s="3" t="s">
        <v>83</v>
      </c>
      <c r="AD36" s="3" t="s">
        <v>93</v>
      </c>
      <c r="AE36" s="3" t="s">
        <v>134</v>
      </c>
      <c r="AF36" s="23" t="s">
        <v>85</v>
      </c>
    </row>
    <row r="37" spans="1:32" ht="16.5" x14ac:dyDescent="0.3">
      <c r="A37" s="3">
        <v>36</v>
      </c>
      <c r="B37" s="3">
        <v>2</v>
      </c>
      <c r="C37" s="3" t="s">
        <v>135</v>
      </c>
      <c r="D37" s="19">
        <v>42043</v>
      </c>
      <c r="E37" s="19">
        <f>ROUND(D37/INDEX(مناطق!$D$2:$D$23,B37),0)</f>
        <v>14387</v>
      </c>
      <c r="F37" s="20">
        <v>1.6296999999999999</v>
      </c>
      <c r="G37" s="19">
        <f>پارامترها!$B$5*F37/1000000</f>
        <v>1586.2684950000003</v>
      </c>
      <c r="H37" s="21">
        <v>410.6</v>
      </c>
      <c r="I37" s="19">
        <f>H37*پارامترها!$B$6</f>
        <v>30795</v>
      </c>
      <c r="J37" s="22">
        <v>103</v>
      </c>
      <c r="K37" s="21">
        <f t="shared" si="0"/>
        <v>19.413485230947611</v>
      </c>
      <c r="L37" s="21">
        <f>I37/(پارامترها!$B$5/1000000)</f>
        <v>31.638156880875322</v>
      </c>
      <c r="M37" s="21">
        <f>K37/پارامترها!$B$7</f>
        <v>64.711617436492034</v>
      </c>
      <c r="N37" s="21">
        <v>33.090000000000003</v>
      </c>
      <c r="O37" s="21">
        <f>N37*پارامترها!$B$6*پارامترها!$B$16</f>
        <v>74.452500000000015</v>
      </c>
      <c r="P37" s="21">
        <f>O37*12/G37*100</f>
        <v>56.322747556049777</v>
      </c>
      <c r="Q37" s="21">
        <f>O37*12/(پارامترها!$B$5/1000000)*100</f>
        <v>91.789181692094317</v>
      </c>
      <c r="R37" s="3" t="str">
        <f t="shared" si="1"/>
        <v>فشار شدید</v>
      </c>
      <c r="S37" s="21">
        <f>(1-NORMSDIST((LN(O37*12*1000000/پارامترها!$B$8)-پارامترها!$B$15)/پارامترها!$B$14))*100</f>
        <v>5.6191220605734893</v>
      </c>
      <c r="T37" s="21">
        <f>(1-NORMSDIST((LN(I37*1000000/5)-پارامترها!$B$15)/پارامترها!$B$14))*100</f>
        <v>1.1410330591915985</v>
      </c>
      <c r="U37" s="21">
        <f>MIN(100,پارامترها!$B$9/1000000/I37*100)</f>
        <v>6.4945608053255404</v>
      </c>
      <c r="V37" s="19">
        <f>MAX(0,I37-پارامترها!$B$9/1000000)</f>
        <v>28795</v>
      </c>
      <c r="W37" s="21">
        <f>V37/(G37*پارامترها!$B$7)</f>
        <v>60.508882093969426</v>
      </c>
      <c r="X37" s="21">
        <f>پارامترها!$B$12/1000000/(G37/12)*100</f>
        <v>30.467911729603813</v>
      </c>
      <c r="Y37" s="21">
        <f>ROUND(50*MIN(1,3/K37)+50*MIN(1,30/P37),1)</f>
        <v>34.4</v>
      </c>
      <c r="Z37" s="3">
        <f t="shared" si="2"/>
        <v>20</v>
      </c>
      <c r="AA37" s="19">
        <v>89</v>
      </c>
      <c r="AB37" s="19">
        <v>93</v>
      </c>
      <c r="AC37" s="3" t="s">
        <v>83</v>
      </c>
      <c r="AD37" s="3" t="s">
        <v>93</v>
      </c>
      <c r="AE37" s="3" t="s">
        <v>134</v>
      </c>
      <c r="AF37" s="23" t="s">
        <v>85</v>
      </c>
    </row>
    <row r="38" spans="1:32" ht="16.5" x14ac:dyDescent="0.3">
      <c r="A38" s="3">
        <v>37</v>
      </c>
      <c r="B38" s="3">
        <v>2</v>
      </c>
      <c r="C38" s="3" t="s">
        <v>136</v>
      </c>
      <c r="D38" s="19">
        <v>33619</v>
      </c>
      <c r="E38" s="19">
        <f>ROUND(D38/INDEX(مناطق!$D$2:$D$23,B38),0)</f>
        <v>11504</v>
      </c>
      <c r="F38" s="20">
        <v>1.6107</v>
      </c>
      <c r="G38" s="19">
        <f>پارامترها!$B$5*F38/1000000</f>
        <v>1567.7748450000001</v>
      </c>
      <c r="H38" s="21">
        <v>406</v>
      </c>
      <c r="I38" s="19">
        <f>H38*پارامترها!$B$6</f>
        <v>30450</v>
      </c>
      <c r="J38" s="22"/>
      <c r="K38" s="21">
        <f t="shared" si="0"/>
        <v>19.422431796958701</v>
      </c>
      <c r="L38" s="21">
        <f>I38/(پارامترها!$B$5/1000000)</f>
        <v>31.283710895361377</v>
      </c>
      <c r="M38" s="21">
        <f>K38/پارامترها!$B$7</f>
        <v>64.741439323195678</v>
      </c>
      <c r="N38" s="21">
        <v>39.96</v>
      </c>
      <c r="O38" s="21">
        <f>N38*پارامترها!$B$6*پارامترها!$B$16</f>
        <v>89.91</v>
      </c>
      <c r="P38" s="21">
        <f>O38*12/G38*100</f>
        <v>68.818555383824901</v>
      </c>
      <c r="Q38" s="21">
        <f>O38*12/(پارامترها!$B$5/1000000)*100</f>
        <v>110.84604715672677</v>
      </c>
      <c r="R38" s="3" t="str">
        <f t="shared" si="1"/>
        <v>فشار شدید</v>
      </c>
      <c r="S38" s="21">
        <f>(1-NORMSDIST((LN(O38*12*1000000/پارامترها!$B$8)-پارامترها!$B$15)/پارامترها!$B$14))*100</f>
        <v>3.8663173235374049</v>
      </c>
      <c r="T38" s="21">
        <f>(1-NORMSDIST((LN(I38*1000000/5)-پارامترها!$B$15)/پارامترها!$B$14))*100</f>
        <v>1.1733556675813772</v>
      </c>
      <c r="U38" s="21">
        <f>MIN(100,پارامترها!$B$9/1000000/I38*100)</f>
        <v>6.5681444991789819</v>
      </c>
      <c r="V38" s="19">
        <f>MAX(0,I38-پارامترها!$B$9/1000000)</f>
        <v>28450</v>
      </c>
      <c r="W38" s="21">
        <f>V38/(G38*پارامترها!$B$7)</f>
        <v>60.48912803759989</v>
      </c>
      <c r="X38" s="21">
        <f>پارامترها!$B$12/1000000/(G38/12)*100</f>
        <v>30.827314674200874</v>
      </c>
      <c r="Y38" s="21">
        <f>ROUND(50*MIN(1,3/K38)+50*MIN(1,30/P38),1)</f>
        <v>29.5</v>
      </c>
      <c r="Z38" s="3">
        <f t="shared" si="2"/>
        <v>194</v>
      </c>
      <c r="AA38" s="19">
        <v>0</v>
      </c>
      <c r="AB38" s="19">
        <v>0</v>
      </c>
      <c r="AC38" s="3" t="s">
        <v>103</v>
      </c>
      <c r="AD38" s="3" t="s">
        <v>104</v>
      </c>
      <c r="AE38" s="23" t="s">
        <v>105</v>
      </c>
      <c r="AF38" s="23" t="s">
        <v>106</v>
      </c>
    </row>
    <row r="39" spans="1:32" ht="16.5" x14ac:dyDescent="0.3">
      <c r="A39" s="3">
        <v>38</v>
      </c>
      <c r="B39" s="3">
        <v>2</v>
      </c>
      <c r="C39" s="3" t="s">
        <v>137</v>
      </c>
      <c r="D39" s="19">
        <v>29776</v>
      </c>
      <c r="E39" s="19">
        <f>ROUND(D39/INDEX(مناطق!$D$2:$D$23,B39),0)</f>
        <v>10189</v>
      </c>
      <c r="F39" s="20">
        <v>1.6107</v>
      </c>
      <c r="G39" s="19">
        <f>پارامترها!$B$5*F39/1000000</f>
        <v>1567.7748450000001</v>
      </c>
      <c r="H39" s="21">
        <v>406</v>
      </c>
      <c r="I39" s="19">
        <f>H39*پارامترها!$B$6</f>
        <v>30450</v>
      </c>
      <c r="J39" s="22"/>
      <c r="K39" s="21">
        <f t="shared" si="0"/>
        <v>19.422431796958701</v>
      </c>
      <c r="L39" s="21">
        <f>I39/(پارامترها!$B$5/1000000)</f>
        <v>31.283710895361377</v>
      </c>
      <c r="M39" s="21">
        <f>K39/پارامترها!$B$7</f>
        <v>64.741439323195678</v>
      </c>
      <c r="N39" s="21">
        <v>39.96</v>
      </c>
      <c r="O39" s="21">
        <f>N39*پارامترها!$B$6*پارامترها!$B$16</f>
        <v>89.91</v>
      </c>
      <c r="P39" s="21">
        <f>O39*12/G39*100</f>
        <v>68.818555383824901</v>
      </c>
      <c r="Q39" s="21">
        <f>O39*12/(پارامترها!$B$5/1000000)*100</f>
        <v>110.84604715672677</v>
      </c>
      <c r="R39" s="3" t="str">
        <f t="shared" si="1"/>
        <v>فشار شدید</v>
      </c>
      <c r="S39" s="21">
        <f>(1-NORMSDIST((LN(O39*12*1000000/پارامترها!$B$8)-پارامترها!$B$15)/پارامترها!$B$14))*100</f>
        <v>3.8663173235374049</v>
      </c>
      <c r="T39" s="21">
        <f>(1-NORMSDIST((LN(I39*1000000/5)-پارامترها!$B$15)/پارامترها!$B$14))*100</f>
        <v>1.1733556675813772</v>
      </c>
      <c r="U39" s="21">
        <f>MIN(100,پارامترها!$B$9/1000000/I39*100)</f>
        <v>6.5681444991789819</v>
      </c>
      <c r="V39" s="19">
        <f>MAX(0,I39-پارامترها!$B$9/1000000)</f>
        <v>28450</v>
      </c>
      <c r="W39" s="21">
        <f>V39/(G39*پارامترها!$B$7)</f>
        <v>60.48912803759989</v>
      </c>
      <c r="X39" s="21">
        <f>پارامترها!$B$12/1000000/(G39/12)*100</f>
        <v>30.827314674200874</v>
      </c>
      <c r="Y39" s="21">
        <f>ROUND(50*MIN(1,3/K39)+50*MIN(1,30/P39),1)</f>
        <v>29.5</v>
      </c>
      <c r="Z39" s="3">
        <f t="shared" si="2"/>
        <v>194</v>
      </c>
      <c r="AA39" s="19">
        <v>0</v>
      </c>
      <c r="AB39" s="19">
        <v>0</v>
      </c>
      <c r="AC39" s="3" t="s">
        <v>103</v>
      </c>
      <c r="AD39" s="3" t="s">
        <v>104</v>
      </c>
      <c r="AE39" s="23" t="s">
        <v>105</v>
      </c>
      <c r="AF39" s="23" t="s">
        <v>106</v>
      </c>
    </row>
    <row r="40" spans="1:32" ht="16.5" x14ac:dyDescent="0.3">
      <c r="A40" s="3">
        <v>39</v>
      </c>
      <c r="B40" s="3">
        <v>2</v>
      </c>
      <c r="C40" s="3" t="s">
        <v>138</v>
      </c>
      <c r="D40" s="19">
        <v>17555</v>
      </c>
      <c r="E40" s="19">
        <f>ROUND(D40/INDEX(مناطق!$D$2:$D$23,B40),0)</f>
        <v>6007</v>
      </c>
      <c r="F40" s="20">
        <v>1.6107</v>
      </c>
      <c r="G40" s="19">
        <f>پارامترها!$B$5*F40/1000000</f>
        <v>1567.7748450000001</v>
      </c>
      <c r="H40" s="21">
        <v>406</v>
      </c>
      <c r="I40" s="19">
        <f>H40*پارامترها!$B$6</f>
        <v>30450</v>
      </c>
      <c r="J40" s="22"/>
      <c r="K40" s="21">
        <f t="shared" si="0"/>
        <v>19.422431796958701</v>
      </c>
      <c r="L40" s="21">
        <f>I40/(پارامترها!$B$5/1000000)</f>
        <v>31.283710895361377</v>
      </c>
      <c r="M40" s="21">
        <f>K40/پارامترها!$B$7</f>
        <v>64.741439323195678</v>
      </c>
      <c r="N40" s="21">
        <v>39.96</v>
      </c>
      <c r="O40" s="21">
        <f>N40*پارامترها!$B$6*پارامترها!$B$16</f>
        <v>89.91</v>
      </c>
      <c r="P40" s="21">
        <f>O40*12/G40*100</f>
        <v>68.818555383824901</v>
      </c>
      <c r="Q40" s="21">
        <f>O40*12/(پارامترها!$B$5/1000000)*100</f>
        <v>110.84604715672677</v>
      </c>
      <c r="R40" s="3" t="str">
        <f t="shared" si="1"/>
        <v>فشار شدید</v>
      </c>
      <c r="S40" s="21">
        <f>(1-NORMSDIST((LN(O40*12*1000000/پارامترها!$B$8)-پارامترها!$B$15)/پارامترها!$B$14))*100</f>
        <v>3.8663173235374049</v>
      </c>
      <c r="T40" s="21">
        <f>(1-NORMSDIST((LN(I40*1000000/5)-پارامترها!$B$15)/پارامترها!$B$14))*100</f>
        <v>1.1733556675813772</v>
      </c>
      <c r="U40" s="21">
        <f>MIN(100,پارامترها!$B$9/1000000/I40*100)</f>
        <v>6.5681444991789819</v>
      </c>
      <c r="V40" s="19">
        <f>MAX(0,I40-پارامترها!$B$9/1000000)</f>
        <v>28450</v>
      </c>
      <c r="W40" s="21">
        <f>V40/(G40*پارامترها!$B$7)</f>
        <v>60.48912803759989</v>
      </c>
      <c r="X40" s="21">
        <f>پارامترها!$B$12/1000000/(G40/12)*100</f>
        <v>30.827314674200874</v>
      </c>
      <c r="Y40" s="21">
        <f>ROUND(50*MIN(1,3/K40)+50*MIN(1,30/P40),1)</f>
        <v>29.5</v>
      </c>
      <c r="Z40" s="3">
        <f t="shared" si="2"/>
        <v>194</v>
      </c>
      <c r="AA40" s="19">
        <v>0</v>
      </c>
      <c r="AB40" s="19">
        <v>0</v>
      </c>
      <c r="AC40" s="3" t="s">
        <v>103</v>
      </c>
      <c r="AD40" s="3" t="s">
        <v>104</v>
      </c>
      <c r="AE40" s="23" t="s">
        <v>105</v>
      </c>
      <c r="AF40" s="23" t="s">
        <v>106</v>
      </c>
    </row>
    <row r="41" spans="1:32" x14ac:dyDescent="0.2">
      <c r="A41" s="3">
        <v>40</v>
      </c>
      <c r="B41" s="3">
        <v>2</v>
      </c>
      <c r="C41" s="3" t="s">
        <v>139</v>
      </c>
      <c r="D41" s="19">
        <v>25981</v>
      </c>
      <c r="E41" s="19">
        <f>ROUND(D41/INDEX(مناطق!$D$2:$D$23,B41),0)</f>
        <v>8890</v>
      </c>
      <c r="F41" s="20">
        <v>1.51</v>
      </c>
      <c r="G41" s="19">
        <f>پارامترها!$B$5*F41/1000000</f>
        <v>1469.7585000000001</v>
      </c>
      <c r="H41" s="21">
        <v>381.5</v>
      </c>
      <c r="I41" s="19">
        <f>H41*پارامترها!$B$6</f>
        <v>28612.5</v>
      </c>
      <c r="J41" s="22">
        <v>87.5</v>
      </c>
      <c r="K41" s="21">
        <f t="shared" si="0"/>
        <v>19.467483943790764</v>
      </c>
      <c r="L41" s="21">
        <f>I41/(پارامترها!$B$5/1000000)</f>
        <v>29.395900755124053</v>
      </c>
      <c r="M41" s="21">
        <f>K41/پارامترها!$B$7</f>
        <v>64.891613145969217</v>
      </c>
      <c r="N41" s="21">
        <v>33.08</v>
      </c>
      <c r="O41" s="21">
        <f>N41*پارامترها!$B$6*پارامترها!$B$16</f>
        <v>74.429999999999993</v>
      </c>
      <c r="P41" s="21">
        <f>O41*12/G41*100</f>
        <v>60.769167179505999</v>
      </c>
      <c r="Q41" s="21">
        <f>O41*12/(پارامترها!$B$5/1000000)*100</f>
        <v>91.761442441054058</v>
      </c>
      <c r="R41" s="3" t="str">
        <f t="shared" si="1"/>
        <v>فشار شدید</v>
      </c>
      <c r="S41" s="21">
        <f>(1-NORMSDIST((LN(O41*12*1000000/پارامترها!$B$8)-پارامترها!$B$15)/پارامترها!$B$14))*100</f>
        <v>5.6223646503326012</v>
      </c>
      <c r="T41" s="21">
        <f>(1-NORMSDIST((LN(I41*1000000/5)-پارامترها!$B$15)/پارامترها!$B$14))*100</f>
        <v>1.3666216656902819</v>
      </c>
      <c r="U41" s="21">
        <f>MIN(100,پارامترها!$B$9/1000000/I41*100)</f>
        <v>6.9899519440803841</v>
      </c>
      <c r="V41" s="19">
        <f>MAX(0,I41-پارامترها!$B$9/1000000)</f>
        <v>26612.5</v>
      </c>
      <c r="W41" s="21">
        <f>V41/(G41*پارامترها!$B$7)</f>
        <v>60.355720571327417</v>
      </c>
      <c r="X41" s="21">
        <f>پارامترها!$B$12/1000000/(G41/12)*100</f>
        <v>32.883149500486986</v>
      </c>
      <c r="Y41" s="21">
        <f>ROUND(50*MIN(1,3/K41)+50*MIN(1,30/P41),1)</f>
        <v>32.4</v>
      </c>
      <c r="Z41" s="3">
        <f t="shared" si="2"/>
        <v>47</v>
      </c>
      <c r="AA41" s="19">
        <v>90</v>
      </c>
      <c r="AB41" s="19">
        <v>89</v>
      </c>
      <c r="AC41" s="3" t="s">
        <v>83</v>
      </c>
      <c r="AD41" s="3" t="s">
        <v>84</v>
      </c>
      <c r="AE41" s="3" t="s">
        <v>139</v>
      </c>
      <c r="AF41" s="23" t="s">
        <v>85</v>
      </c>
    </row>
    <row r="42" spans="1:32" ht="16.5" x14ac:dyDescent="0.3">
      <c r="A42" s="3">
        <v>41</v>
      </c>
      <c r="B42" s="3">
        <v>2</v>
      </c>
      <c r="C42" s="3" t="s">
        <v>140</v>
      </c>
      <c r="D42" s="19">
        <v>13348</v>
      </c>
      <c r="E42" s="19">
        <f>ROUND(D42/INDEX(مناطق!$D$2:$D$23,B42),0)</f>
        <v>4568</v>
      </c>
      <c r="F42" s="20">
        <v>1.3728</v>
      </c>
      <c r="G42" s="19">
        <f>پارامترها!$B$5*F42/1000000</f>
        <v>1336.2148800000002</v>
      </c>
      <c r="H42" s="21">
        <v>347.9</v>
      </c>
      <c r="I42" s="19">
        <f>H42*پارامترها!$B$6</f>
        <v>26092.5</v>
      </c>
      <c r="J42" s="22">
        <v>102</v>
      </c>
      <c r="K42" s="21">
        <f t="shared" si="0"/>
        <v>19.527173653387241</v>
      </c>
      <c r="L42" s="21">
        <f>I42/(پارامترها!$B$5/1000000)</f>
        <v>26.806903991370007</v>
      </c>
      <c r="M42" s="21">
        <f>K42/پارامترها!$B$7</f>
        <v>65.090578844624133</v>
      </c>
      <c r="N42" s="21">
        <v>41.16</v>
      </c>
      <c r="O42" s="21">
        <f>N42*پارامترها!$B$6*پارامترها!$B$16</f>
        <v>92.609999999999985</v>
      </c>
      <c r="P42" s="21">
        <f>O42*12/G42*100</f>
        <v>83.169257926539444</v>
      </c>
      <c r="Q42" s="21">
        <f>O42*12/(پارامترها!$B$5/1000000)*100</f>
        <v>114.17475728155335</v>
      </c>
      <c r="R42" s="3" t="str">
        <f t="shared" si="1"/>
        <v>فشار شدید</v>
      </c>
      <c r="S42" s="21">
        <f>(1-NORMSDIST((LN(O42*12*1000000/پارامترها!$B$8)-پارامترها!$B$15)/پارامترها!$B$14))*100</f>
        <v>3.6369570801364937</v>
      </c>
      <c r="T42" s="21">
        <f>(1-NORMSDIST((LN(I42*1000000/5)-پارامترها!$B$15)/پارامترها!$B$14))*100</f>
        <v>1.7031085628349985</v>
      </c>
      <c r="U42" s="21">
        <f>MIN(100,پارامترها!$B$9/1000000/I42*100)</f>
        <v>7.6650378461243642</v>
      </c>
      <c r="V42" s="19">
        <f>MAX(0,I42-پارامترها!$B$9/1000000)</f>
        <v>24092.5</v>
      </c>
      <c r="W42" s="21">
        <f>V42/(G42*پارامترها!$B$7)</f>
        <v>60.101361341922285</v>
      </c>
      <c r="X42" s="21">
        <f>پارامترها!$B$12/1000000/(G42/12)*100</f>
        <v>36.16954818308227</v>
      </c>
      <c r="Y42" s="21">
        <f>ROUND(50*MIN(1,3/K42)+50*MIN(1,30/P42),1)</f>
        <v>25.7</v>
      </c>
      <c r="Z42" s="3">
        <f t="shared" si="2"/>
        <v>313</v>
      </c>
      <c r="AA42" s="19">
        <v>25</v>
      </c>
      <c r="AB42" s="19">
        <v>30</v>
      </c>
      <c r="AC42" s="3" t="s">
        <v>83</v>
      </c>
      <c r="AD42" s="3" t="s">
        <v>93</v>
      </c>
      <c r="AE42" s="3" t="s">
        <v>140</v>
      </c>
      <c r="AF42" s="23" t="s">
        <v>90</v>
      </c>
    </row>
    <row r="43" spans="1:32" x14ac:dyDescent="0.2">
      <c r="A43" s="3">
        <v>42</v>
      </c>
      <c r="B43" s="3">
        <v>2</v>
      </c>
      <c r="C43" s="3" t="s">
        <v>141</v>
      </c>
      <c r="D43" s="19">
        <v>36305</v>
      </c>
      <c r="E43" s="19">
        <f>ROUND(D43/INDEX(مناطق!$D$2:$D$23,B43),0)</f>
        <v>12423</v>
      </c>
      <c r="F43" s="20">
        <v>1.3527</v>
      </c>
      <c r="G43" s="19">
        <f>پارامترها!$B$5*F43/1000000</f>
        <v>1316.6505450000002</v>
      </c>
      <c r="H43" s="21">
        <v>343</v>
      </c>
      <c r="I43" s="19">
        <f>H43*پارامترها!$B$6</f>
        <v>25725</v>
      </c>
      <c r="J43" s="22">
        <v>108</v>
      </c>
      <c r="K43" s="21">
        <f t="shared" si="0"/>
        <v>19.538213915371141</v>
      </c>
      <c r="L43" s="21">
        <f>I43/(پارامترها!$B$5/1000000)</f>
        <v>26.429341963322543</v>
      </c>
      <c r="M43" s="21">
        <f>K43/پارامترها!$B$7</f>
        <v>65.127379717903807</v>
      </c>
      <c r="N43" s="21">
        <v>27.03</v>
      </c>
      <c r="O43" s="21">
        <f>N43*پارامترها!$B$6*پارامترها!$B$16</f>
        <v>60.817499999999995</v>
      </c>
      <c r="P43" s="21">
        <f>O43*12/G43*100</f>
        <v>55.429286287957282</v>
      </c>
      <c r="Q43" s="21">
        <f>O43*12/(پارامترها!$B$5/1000000)*100</f>
        <v>74.97919556171982</v>
      </c>
      <c r="R43" s="3" t="str">
        <f t="shared" si="1"/>
        <v>فشار شدید</v>
      </c>
      <c r="S43" s="21">
        <f>(1-NORMSDIST((LN(O43*12*1000000/پارامترها!$B$8)-پارامترها!$B$15)/پارامترها!$B$14))*100</f>
        <v>8.1386020411266848</v>
      </c>
      <c r="T43" s="21">
        <f>(1-NORMSDIST((LN(I43*1000000/5)-پارامترها!$B$15)/پارامترها!$B$14))*100</f>
        <v>1.7607049144615861</v>
      </c>
      <c r="U43" s="21">
        <f>MIN(100,پارامترها!$B$9/1000000/I43*100)</f>
        <v>7.7745383867832851</v>
      </c>
      <c r="V43" s="19">
        <f>MAX(0,I43-پارامترها!$B$9/1000000)</f>
        <v>23725</v>
      </c>
      <c r="W43" s="21">
        <f>V43/(G43*پارامترها!$B$7)</f>
        <v>60.06402658142926</v>
      </c>
      <c r="X43" s="21">
        <f>پارامترها!$B$12/1000000/(G43/12)*100</f>
        <v>36.706997668171319</v>
      </c>
      <c r="Y43" s="21">
        <f>ROUND(50*MIN(1,3/K43)+50*MIN(1,30/P43),1)</f>
        <v>34.700000000000003</v>
      </c>
      <c r="Z43" s="3">
        <f t="shared" si="2"/>
        <v>14</v>
      </c>
      <c r="AA43" s="19">
        <v>93</v>
      </c>
      <c r="AB43" s="19">
        <v>88</v>
      </c>
      <c r="AC43" s="3" t="s">
        <v>83</v>
      </c>
      <c r="AD43" s="3" t="s">
        <v>84</v>
      </c>
      <c r="AE43" s="3" t="s">
        <v>142</v>
      </c>
      <c r="AF43" s="23" t="s">
        <v>85</v>
      </c>
    </row>
    <row r="44" spans="1:32" x14ac:dyDescent="0.2">
      <c r="A44" s="3">
        <v>43</v>
      </c>
      <c r="B44" s="3">
        <v>2</v>
      </c>
      <c r="C44" s="3" t="s">
        <v>143</v>
      </c>
      <c r="D44" s="19">
        <v>17173</v>
      </c>
      <c r="E44" s="19">
        <f>ROUND(D44/INDEX(مناطق!$D$2:$D$23,B44),0)</f>
        <v>5876</v>
      </c>
      <c r="F44" s="20">
        <v>1.2672000000000001</v>
      </c>
      <c r="G44" s="19">
        <f>پارامترها!$B$5*F44/1000000</f>
        <v>1233.4291200000002</v>
      </c>
      <c r="H44" s="21">
        <v>322</v>
      </c>
      <c r="I44" s="19">
        <f>H44*پارامترها!$B$6</f>
        <v>24150</v>
      </c>
      <c r="J44" s="22">
        <v>100</v>
      </c>
      <c r="K44" s="21">
        <f t="shared" si="0"/>
        <v>19.579560437165611</v>
      </c>
      <c r="L44" s="21">
        <f>I44/(پارامترها!$B$5/1000000)</f>
        <v>24.811218985976264</v>
      </c>
      <c r="M44" s="21">
        <f>K44/پارامترها!$B$7</f>
        <v>65.265201457218708</v>
      </c>
      <c r="N44" s="21">
        <v>27.91</v>
      </c>
      <c r="O44" s="21">
        <f>N44*پارامترها!$B$6*پارامترها!$B$16</f>
        <v>62.797499999999999</v>
      </c>
      <c r="P44" s="21">
        <f>O44*12/G44*100</f>
        <v>61.095525294554406</v>
      </c>
      <c r="Q44" s="21">
        <f>O44*12/(پارامترها!$B$5/1000000)*100</f>
        <v>77.420249653259347</v>
      </c>
      <c r="R44" s="3" t="str">
        <f t="shared" si="1"/>
        <v>فشار شدید</v>
      </c>
      <c r="S44" s="21">
        <f>(1-NORMSDIST((LN(O44*12*1000000/پارامترها!$B$8)-پارامترها!$B$15)/پارامترها!$B$14))*100</f>
        <v>7.6908073086429436</v>
      </c>
      <c r="T44" s="21">
        <f>(1-NORMSDIST((LN(I44*1000000/5)-پارامترها!$B$15)/پارامترها!$B$14))*100</f>
        <v>2.0378488481307744</v>
      </c>
      <c r="U44" s="21">
        <f>MIN(100,پارامترها!$B$9/1000000/I44*100)</f>
        <v>8.2815734989648035</v>
      </c>
      <c r="V44" s="19">
        <f>MAX(0,I44-پارامترها!$B$9/1000000)</f>
        <v>22150</v>
      </c>
      <c r="W44" s="21">
        <f>V44/(G44*پارامترها!$B$7)</f>
        <v>59.860215829291697</v>
      </c>
      <c r="X44" s="21">
        <f>پارامترها!$B$12/1000000/(G44/12)*100</f>
        <v>39.183677198339126</v>
      </c>
      <c r="Y44" s="21">
        <f>ROUND(50*MIN(1,3/K44)+50*MIN(1,30/P44),1)</f>
        <v>32.200000000000003</v>
      </c>
      <c r="Z44" s="3">
        <f t="shared" si="2"/>
        <v>53</v>
      </c>
      <c r="AA44" s="19">
        <v>93</v>
      </c>
      <c r="AB44" s="19">
        <v>80</v>
      </c>
      <c r="AC44" s="3" t="s">
        <v>83</v>
      </c>
      <c r="AD44" s="3" t="s">
        <v>84</v>
      </c>
      <c r="AE44" s="3" t="s">
        <v>144</v>
      </c>
      <c r="AF44" s="23" t="s">
        <v>85</v>
      </c>
    </row>
    <row r="45" spans="1:32" ht="16.5" x14ac:dyDescent="0.3">
      <c r="A45" s="3">
        <v>44</v>
      </c>
      <c r="B45" s="3">
        <v>2</v>
      </c>
      <c r="C45" s="3" t="s">
        <v>145</v>
      </c>
      <c r="D45" s="19">
        <v>26267</v>
      </c>
      <c r="E45" s="19">
        <f>ROUND(D45/INDEX(مناطق!$D$2:$D$23,B45),0)</f>
        <v>8988</v>
      </c>
      <c r="F45" s="20">
        <v>1.1891</v>
      </c>
      <c r="G45" s="19">
        <f>پارامترها!$B$5*F45/1000000</f>
        <v>1157.4104850000003</v>
      </c>
      <c r="H45" s="21">
        <v>302.8</v>
      </c>
      <c r="I45" s="19">
        <f>H45*پارامترها!$B$6</f>
        <v>22710</v>
      </c>
      <c r="J45" s="22">
        <v>102</v>
      </c>
      <c r="K45" s="21">
        <f t="shared" si="0"/>
        <v>19.621387825944911</v>
      </c>
      <c r="L45" s="21">
        <f>I45/(پارامترها!$B$5/1000000)</f>
        <v>23.331792263831094</v>
      </c>
      <c r="M45" s="21">
        <f>K45/پارامترها!$B$7</f>
        <v>65.404626086483034</v>
      </c>
      <c r="N45" s="21">
        <v>26.26</v>
      </c>
      <c r="O45" s="21">
        <f>N45*پارامترها!$B$6*پارامترها!$B$16</f>
        <v>59.085000000000008</v>
      </c>
      <c r="P45" s="21">
        <f>O45*12/G45*100</f>
        <v>61.259165109429603</v>
      </c>
      <c r="Q45" s="21">
        <f>O45*12/(پارامترها!$B$5/1000000)*100</f>
        <v>72.843273231622746</v>
      </c>
      <c r="R45" s="3" t="str">
        <f t="shared" si="1"/>
        <v>فشار شدید</v>
      </c>
      <c r="S45" s="21">
        <f>(1-NORMSDIST((LN(O45*12*1000000/پارامترها!$B$8)-پارامترها!$B$15)/پارامترها!$B$14))*100</f>
        <v>8.5591717478123002</v>
      </c>
      <c r="T45" s="21">
        <f>(1-NORMSDIST((LN(I45*1000000/5)-پارامترها!$B$15)/پارامترها!$B$14))*100</f>
        <v>2.3421811247780977</v>
      </c>
      <c r="U45" s="21">
        <f>MIN(100,پارامترها!$B$9/1000000/I45*100)</f>
        <v>8.806693086745927</v>
      </c>
      <c r="V45" s="19">
        <f>MAX(0,I45-پارامترها!$B$9/1000000)</f>
        <v>20710</v>
      </c>
      <c r="W45" s="21">
        <f>V45/(G45*پارامترها!$B$7)</f>
        <v>59.644641402512711</v>
      </c>
      <c r="X45" s="21">
        <f>پارامترها!$B$12/1000000/(G45/12)*100</f>
        <v>41.757258216916441</v>
      </c>
      <c r="Y45" s="21">
        <f>ROUND(50*MIN(1,3/K45)+50*MIN(1,30/P45),1)</f>
        <v>32.1</v>
      </c>
      <c r="Z45" s="3">
        <f t="shared" si="2"/>
        <v>58</v>
      </c>
      <c r="AA45" s="19">
        <v>95</v>
      </c>
      <c r="AB45" s="19">
        <v>86</v>
      </c>
      <c r="AC45" s="3" t="s">
        <v>83</v>
      </c>
      <c r="AD45" s="3" t="s">
        <v>146</v>
      </c>
      <c r="AE45" s="3" t="s">
        <v>147</v>
      </c>
      <c r="AF45" s="23" t="s">
        <v>90</v>
      </c>
    </row>
    <row r="46" spans="1:32" ht="16.5" x14ac:dyDescent="0.3">
      <c r="A46" s="3">
        <v>45</v>
      </c>
      <c r="B46" s="3">
        <v>2</v>
      </c>
      <c r="C46" s="3" t="s">
        <v>148</v>
      </c>
      <c r="D46" s="19">
        <v>42945</v>
      </c>
      <c r="E46" s="19">
        <f>ROUND(D46/INDEX(مناطق!$D$2:$D$23,B46),0)</f>
        <v>14695</v>
      </c>
      <c r="F46" s="20">
        <v>1.1211</v>
      </c>
      <c r="G46" s="19">
        <f>پارامترها!$B$5*F46/1000000</f>
        <v>1091.2226850000002</v>
      </c>
      <c r="H46" s="21">
        <v>286.10000000000002</v>
      </c>
      <c r="I46" s="19">
        <f>H46*پارامترها!$B$6</f>
        <v>21457.5</v>
      </c>
      <c r="J46" s="22">
        <v>98</v>
      </c>
      <c r="K46" s="21">
        <f t="shared" si="0"/>
        <v>19.663722441767234</v>
      </c>
      <c r="L46" s="21">
        <f>I46/(پارامترها!$B$5/1000000)</f>
        <v>22.044999229465247</v>
      </c>
      <c r="M46" s="21">
        <f>K46/پارامترها!$B$7</f>
        <v>65.545741472557452</v>
      </c>
      <c r="N46" s="21">
        <v>27.47</v>
      </c>
      <c r="O46" s="21">
        <f>N46*پارامترها!$B$6*پارامترها!$B$16</f>
        <v>61.807499999999997</v>
      </c>
      <c r="P46" s="21">
        <f>O46*12/G46*100</f>
        <v>67.968711629194161</v>
      </c>
      <c r="Q46" s="21">
        <f>O46*12/(پارامترها!$B$5/1000000)*100</f>
        <v>76.199722607489591</v>
      </c>
      <c r="R46" s="3" t="str">
        <f t="shared" si="1"/>
        <v>فشار شدید</v>
      </c>
      <c r="S46" s="21">
        <f>(1-NORMSDIST((LN(O46*12*1000000/پارامترها!$B$8)-پارامترها!$B$15)/پارامترها!$B$14))*100</f>
        <v>7.9105130637943333</v>
      </c>
      <c r="T46" s="21">
        <f>(1-NORMSDIST((LN(I46*1000000/5)-پارامترها!$B$15)/پارامترها!$B$14))*100</f>
        <v>2.656087303010235</v>
      </c>
      <c r="U46" s="21">
        <f>MIN(100,پارامترها!$B$9/1000000/I46*100)</f>
        <v>9.3207503204007924</v>
      </c>
      <c r="V46" s="19">
        <f>MAX(0,I46-پارامترها!$B$9/1000000)</f>
        <v>19457.5</v>
      </c>
      <c r="W46" s="21">
        <f>V46/(G46*پارامترها!$B$7)</f>
        <v>59.43638656424497</v>
      </c>
      <c r="X46" s="21">
        <f>پارامترها!$B$12/1000000/(G46/12)*100</f>
        <v>44.290032776501057</v>
      </c>
      <c r="Y46" s="21">
        <f>ROUND(50*MIN(1,3/K46)+50*MIN(1,30/P46),1)</f>
        <v>29.7</v>
      </c>
      <c r="Z46" s="3">
        <f t="shared" si="2"/>
        <v>179</v>
      </c>
      <c r="AA46" s="19">
        <v>92</v>
      </c>
      <c r="AB46" s="19">
        <v>83</v>
      </c>
      <c r="AC46" s="3" t="s">
        <v>83</v>
      </c>
      <c r="AD46" s="3" t="s">
        <v>93</v>
      </c>
      <c r="AE46" s="3" t="s">
        <v>148</v>
      </c>
      <c r="AF46" s="23" t="s">
        <v>85</v>
      </c>
    </row>
    <row r="47" spans="1:32" x14ac:dyDescent="0.2">
      <c r="A47" s="3">
        <v>46</v>
      </c>
      <c r="B47" s="3">
        <v>2</v>
      </c>
      <c r="C47" s="3" t="s">
        <v>149</v>
      </c>
      <c r="D47" s="19">
        <v>34358</v>
      </c>
      <c r="E47" s="19">
        <f>ROUND(D47/INDEX(مناطق!$D$2:$D$23,B47),0)</f>
        <v>11757</v>
      </c>
      <c r="F47" s="20">
        <v>1.0248999999999999</v>
      </c>
      <c r="G47" s="19">
        <f>پارامترها!$B$5*F47/1000000</f>
        <v>997.58641499999999</v>
      </c>
      <c r="H47" s="21">
        <v>262.3</v>
      </c>
      <c r="I47" s="19">
        <f>H47*پارامترها!$B$6</f>
        <v>19672.5</v>
      </c>
      <c r="J47" s="22">
        <v>93</v>
      </c>
      <c r="K47" s="21">
        <f t="shared" si="0"/>
        <v>19.720096128213616</v>
      </c>
      <c r="L47" s="21">
        <f>I47/(پارامترها!$B$5/1000000)</f>
        <v>20.211126521806129</v>
      </c>
      <c r="M47" s="21">
        <f>K47/پارامترها!$B$7</f>
        <v>65.733653760712059</v>
      </c>
      <c r="N47" s="21">
        <v>23.81</v>
      </c>
      <c r="O47" s="21">
        <f>N47*پارامترها!$B$6*پارامترها!$B$16</f>
        <v>53.572499999999998</v>
      </c>
      <c r="P47" s="21">
        <f>O47*12/G47*100</f>
        <v>64.442537541973238</v>
      </c>
      <c r="Q47" s="21">
        <f>O47*12/(پارامترها!$B$5/1000000)*100</f>
        <v>66.047156726768364</v>
      </c>
      <c r="R47" s="3" t="str">
        <f t="shared" si="1"/>
        <v>فشار شدید</v>
      </c>
      <c r="S47" s="21">
        <f>(1-NORMSDIST((LN(O47*12*1000000/پارامترها!$B$8)-پارامترها!$B$15)/پارامترها!$B$14))*100</f>
        <v>10.10551553520953</v>
      </c>
      <c r="T47" s="21">
        <f>(1-NORMSDIST((LN(I47*1000000/5)-پارامترها!$B$15)/پارامترها!$B$14))*100</f>
        <v>3.2042129684582199</v>
      </c>
      <c r="U47" s="21">
        <f>MIN(100,پارامترها!$B$9/1000000/I47*100)</f>
        <v>10.166476045240818</v>
      </c>
      <c r="V47" s="19">
        <f>MAX(0,I47-پارامترها!$B$9/1000000)</f>
        <v>17672.5</v>
      </c>
      <c r="W47" s="21">
        <f>V47/(G47*پارامترها!$B$7)</f>
        <v>59.050857597467726</v>
      </c>
      <c r="X47" s="21">
        <f>پارامترها!$B$12/1000000/(G47/12)*100</f>
        <v>48.447219968519221</v>
      </c>
      <c r="Y47" s="21">
        <f>ROUND(50*MIN(1,3/K47)+50*MIN(1,30/P47),1)</f>
        <v>30.9</v>
      </c>
      <c r="Z47" s="3">
        <f t="shared" si="2"/>
        <v>109</v>
      </c>
      <c r="AA47" s="19">
        <v>88</v>
      </c>
      <c r="AB47" s="19">
        <v>83</v>
      </c>
      <c r="AC47" s="3" t="s">
        <v>83</v>
      </c>
      <c r="AD47" s="3" t="s">
        <v>84</v>
      </c>
      <c r="AE47" s="3" t="s">
        <v>149</v>
      </c>
      <c r="AF47" s="23" t="s">
        <v>85</v>
      </c>
    </row>
    <row r="48" spans="1:32" x14ac:dyDescent="0.2">
      <c r="A48" s="3">
        <v>47</v>
      </c>
      <c r="B48" s="3">
        <v>2</v>
      </c>
      <c r="C48" s="3" t="s">
        <v>150</v>
      </c>
      <c r="D48" s="19">
        <v>25110</v>
      </c>
      <c r="E48" s="19">
        <f>ROUND(D48/INDEX(مناطق!$D$2:$D$23,B48),0)</f>
        <v>8592</v>
      </c>
      <c r="F48" s="20">
        <v>0.97499999999999998</v>
      </c>
      <c r="G48" s="19">
        <f>پارامترها!$B$5*F48/1000000</f>
        <v>949.01625000000013</v>
      </c>
      <c r="H48" s="21">
        <v>250</v>
      </c>
      <c r="I48" s="19">
        <f>H48*پارامترها!$B$6</f>
        <v>18750</v>
      </c>
      <c r="J48" s="22">
        <v>85</v>
      </c>
      <c r="K48" s="21">
        <f t="shared" si="0"/>
        <v>19.757301310699365</v>
      </c>
      <c r="L48" s="21">
        <f>I48/(پارامترها!$B$5/1000000)</f>
        <v>19.263368777931881</v>
      </c>
      <c r="M48" s="21">
        <f>K48/پارامترها!$B$7</f>
        <v>65.857671035664552</v>
      </c>
      <c r="N48" s="21">
        <v>23.77</v>
      </c>
      <c r="O48" s="21">
        <f>N48*پارامترها!$B$6*پارامترها!$B$16</f>
        <v>53.482499999999995</v>
      </c>
      <c r="P48" s="21">
        <f>O48*12/G48*100</f>
        <v>67.626871510366655</v>
      </c>
      <c r="Q48" s="21">
        <f>O48*12/(پارامترها!$B$5/1000000)*100</f>
        <v>65.936199722607483</v>
      </c>
      <c r="R48" s="3" t="str">
        <f t="shared" si="1"/>
        <v>فشار شدید</v>
      </c>
      <c r="S48" s="21">
        <f>(1-NORMSDIST((LN(O48*12*1000000/پارامترها!$B$8)-پارامترها!$B$15)/پارامترها!$B$14))*100</f>
        <v>10.1337329239659</v>
      </c>
      <c r="T48" s="21">
        <f>(1-NORMSDIST((LN(I48*1000000/5)-پارامترها!$B$15)/پارامترها!$B$14))*100</f>
        <v>3.5454296333492508</v>
      </c>
      <c r="U48" s="21">
        <f>MIN(100,پارامترها!$B$9/1000000/I48*100)</f>
        <v>10.666666666666668</v>
      </c>
      <c r="V48" s="19">
        <f>MAX(0,I48-پارامترها!$B$9/1000000)</f>
        <v>16750</v>
      </c>
      <c r="W48" s="21">
        <f>V48/(G48*پارامترها!$B$7)</f>
        <v>58.83285279186034</v>
      </c>
      <c r="X48" s="21">
        <f>پارامترها!$B$12/1000000/(G48/12)*100</f>
        <v>50.926723841779832</v>
      </c>
      <c r="Y48" s="21">
        <f>ROUND(50*MIN(1,3/K48)+50*MIN(1,30/P48),1)</f>
        <v>29.8</v>
      </c>
      <c r="Z48" s="3">
        <f t="shared" si="2"/>
        <v>172</v>
      </c>
      <c r="AA48" s="19">
        <v>87</v>
      </c>
      <c r="AB48" s="19">
        <v>86</v>
      </c>
      <c r="AC48" s="3" t="s">
        <v>83</v>
      </c>
      <c r="AD48" s="3" t="s">
        <v>84</v>
      </c>
      <c r="AE48" s="3" t="s">
        <v>150</v>
      </c>
      <c r="AF48" s="23" t="s">
        <v>85</v>
      </c>
    </row>
    <row r="49" spans="1:32" x14ac:dyDescent="0.2">
      <c r="A49" s="3">
        <v>48</v>
      </c>
      <c r="B49" s="3">
        <v>2</v>
      </c>
      <c r="C49" s="3" t="s">
        <v>151</v>
      </c>
      <c r="D49" s="19">
        <v>13807</v>
      </c>
      <c r="E49" s="19">
        <f>ROUND(D49/INDEX(مناطق!$D$2:$D$23,B49),0)</f>
        <v>4725</v>
      </c>
      <c r="F49" s="20">
        <v>0.96240000000000003</v>
      </c>
      <c r="G49" s="19">
        <f>پارامترها!$B$5*F49/1000000</f>
        <v>936.75204000000008</v>
      </c>
      <c r="H49" s="21">
        <v>246.8</v>
      </c>
      <c r="I49" s="19">
        <f>H49*پارامترها!$B$6</f>
        <v>18510</v>
      </c>
      <c r="J49" s="22">
        <v>106</v>
      </c>
      <c r="K49" s="21">
        <f t="shared" si="0"/>
        <v>19.759764814603443</v>
      </c>
      <c r="L49" s="21">
        <f>I49/(پارامترها!$B$5/1000000)</f>
        <v>19.016797657574354</v>
      </c>
      <c r="M49" s="21">
        <f>K49/پارامترها!$B$7</f>
        <v>65.86588271534481</v>
      </c>
      <c r="N49" s="21">
        <v>22.52</v>
      </c>
      <c r="O49" s="21">
        <f>N49*پارامترها!$B$6*پارامترها!$B$16</f>
        <v>50.669999999999995</v>
      </c>
      <c r="P49" s="21">
        <f>O49*12/G49*100</f>
        <v>64.909386266188434</v>
      </c>
      <c r="Q49" s="21">
        <f>O49*12/(پارامترها!$B$5/1000000)*100</f>
        <v>62.468793342579744</v>
      </c>
      <c r="R49" s="3" t="str">
        <f t="shared" si="1"/>
        <v>فشار شدید</v>
      </c>
      <c r="S49" s="21">
        <f>(1-NORMSDIST((LN(O49*12*1000000/پارامترها!$B$8)-پارامترها!$B$15)/پارامترها!$B$14))*100</f>
        <v>11.071083219598298</v>
      </c>
      <c r="T49" s="21">
        <f>(1-NORMSDIST((LN(I49*1000000/5)-پارامترها!$B$15)/پارامترها!$B$14))*100</f>
        <v>3.6418589140764679</v>
      </c>
      <c r="U49" s="21">
        <f>MIN(100,پارامترها!$B$9/1000000/I49*100)</f>
        <v>10.804970286331713</v>
      </c>
      <c r="V49" s="19">
        <f>MAX(0,I49-پارامترها!$B$9/1000000)</f>
        <v>16510</v>
      </c>
      <c r="W49" s="21">
        <f>V49/(G49*پارامترها!$B$7)</f>
        <v>58.749093659121712</v>
      </c>
      <c r="X49" s="21">
        <f>پارامترها!$B$12/1000000/(G49/12)*100</f>
        <v>51.593470226242047</v>
      </c>
      <c r="Y49" s="21">
        <f>ROUND(50*MIN(1,3/K49)+50*MIN(1,30/P49),1)</f>
        <v>30.7</v>
      </c>
      <c r="Z49" s="3">
        <f t="shared" si="2"/>
        <v>120</v>
      </c>
      <c r="AA49" s="19">
        <v>5</v>
      </c>
      <c r="AB49" s="19">
        <v>2</v>
      </c>
      <c r="AC49" s="3" t="s">
        <v>83</v>
      </c>
      <c r="AD49" s="3" t="s">
        <v>84</v>
      </c>
      <c r="AE49" s="3" t="s">
        <v>151</v>
      </c>
      <c r="AF49" s="23" t="s">
        <v>152</v>
      </c>
    </row>
    <row r="50" spans="1:32" x14ac:dyDescent="0.2">
      <c r="A50" s="3">
        <v>49</v>
      </c>
      <c r="B50" s="3">
        <v>3</v>
      </c>
      <c r="C50" s="3" t="s">
        <v>153</v>
      </c>
      <c r="D50" s="19">
        <v>32355</v>
      </c>
      <c r="E50" s="19">
        <f>ROUND(D50/INDEX(مناطق!$D$2:$D$23,B50),0)</f>
        <v>11648</v>
      </c>
      <c r="F50" s="20">
        <v>2.5535999999999999</v>
      </c>
      <c r="G50" s="19">
        <f>پارامترها!$B$5*F50/1000000</f>
        <v>2485.5465600000002</v>
      </c>
      <c r="H50" s="21">
        <v>665.6</v>
      </c>
      <c r="I50" s="19">
        <f>H50*پارامترها!$B$6</f>
        <v>49920</v>
      </c>
      <c r="J50" s="22">
        <v>191</v>
      </c>
      <c r="K50" s="21">
        <f t="shared" si="0"/>
        <v>20.084113813583116</v>
      </c>
      <c r="L50" s="21">
        <f>I50/(پارامترها!$B$5/1000000)</f>
        <v>51.286793034365843</v>
      </c>
      <c r="M50" s="21">
        <f>K50/پارامترها!$B$7</f>
        <v>66.947046045277062</v>
      </c>
      <c r="N50" s="21">
        <v>55.61</v>
      </c>
      <c r="O50" s="21">
        <f>N50*پارامترها!$B$6*پارامترها!$B$16</f>
        <v>125.1225</v>
      </c>
      <c r="P50" s="21">
        <f>O50*12/G50*100</f>
        <v>60.408041601924367</v>
      </c>
      <c r="Q50" s="21">
        <f>O50*12/(پارامترها!$B$5/1000000)*100</f>
        <v>154.25797503467405</v>
      </c>
      <c r="R50" s="3" t="str">
        <f t="shared" si="1"/>
        <v>فشار شدید</v>
      </c>
      <c r="S50" s="21">
        <f>(1-NORMSDIST((LN(O50*12*1000000/پارامترها!$B$8)-پارامترها!$B$15)/پارامترها!$B$14))*100</f>
        <v>1.8775825755674047</v>
      </c>
      <c r="T50" s="21">
        <f>(1-NORMSDIST((LN(I50*1000000/5)-پارامترها!$B$15)/پارامترها!$B$14))*100</f>
        <v>0.31249277383429419</v>
      </c>
      <c r="U50" s="21">
        <f>MIN(100,پارامترها!$B$9/1000000/I50*100)</f>
        <v>4.0064102564102564</v>
      </c>
      <c r="V50" s="19">
        <f>MAX(0,I50-پارامترها!$B$9/1000000)</f>
        <v>47920</v>
      </c>
      <c r="W50" s="21">
        <f>V50/(G50*پارامترها!$B$7)</f>
        <v>64.264872726155374</v>
      </c>
      <c r="X50" s="21">
        <f>پارامترها!$B$12/1000000/(G50/12)*100</f>
        <v>19.444531542032951</v>
      </c>
      <c r="Y50" s="21">
        <f>ROUND(50*MIN(1,3/K50)+50*MIN(1,30/P50),1)</f>
        <v>32.299999999999997</v>
      </c>
      <c r="Z50" s="3">
        <f t="shared" si="2"/>
        <v>49</v>
      </c>
      <c r="AA50" s="19">
        <v>92</v>
      </c>
      <c r="AB50" s="19">
        <v>92</v>
      </c>
      <c r="AC50" s="3" t="s">
        <v>83</v>
      </c>
      <c r="AD50" s="3" t="s">
        <v>84</v>
      </c>
      <c r="AE50" s="3" t="s">
        <v>153</v>
      </c>
      <c r="AF50" s="23" t="s">
        <v>85</v>
      </c>
    </row>
    <row r="51" spans="1:32" x14ac:dyDescent="0.2">
      <c r="A51" s="3">
        <v>50</v>
      </c>
      <c r="B51" s="3">
        <v>3</v>
      </c>
      <c r="C51" s="3" t="s">
        <v>154</v>
      </c>
      <c r="D51" s="19">
        <v>17192</v>
      </c>
      <c r="E51" s="19">
        <f>ROUND(D51/INDEX(مناطق!$D$2:$D$23,B51),0)</f>
        <v>6189</v>
      </c>
      <c r="F51" s="20">
        <v>1.8043</v>
      </c>
      <c r="G51" s="19">
        <f>پارامترها!$B$5*F51/1000000</f>
        <v>1756.2154050000001</v>
      </c>
      <c r="H51" s="21">
        <v>475.8</v>
      </c>
      <c r="I51" s="19">
        <f>H51*پارامترها!$B$6</f>
        <v>35685</v>
      </c>
      <c r="J51" s="22">
        <v>120</v>
      </c>
      <c r="K51" s="21">
        <f t="shared" si="0"/>
        <v>20.319261463259966</v>
      </c>
      <c r="L51" s="21">
        <f>I51/(پارامترها!$B$5/1000000)</f>
        <v>36.662043458159957</v>
      </c>
      <c r="M51" s="21">
        <f>K51/پارامترها!$B$7</f>
        <v>67.730871544199886</v>
      </c>
      <c r="N51" s="21">
        <v>41.22</v>
      </c>
      <c r="O51" s="21">
        <f>N51*پارامترها!$B$6*پارامترها!$B$16</f>
        <v>92.74499999999999</v>
      </c>
      <c r="P51" s="21">
        <f>O51*12/G51*100</f>
        <v>63.371497416058695</v>
      </c>
      <c r="Q51" s="21">
        <f>O51*12/(پارامترها!$B$5/1000000)*100</f>
        <v>114.34119278779468</v>
      </c>
      <c r="R51" s="3" t="str">
        <f t="shared" si="1"/>
        <v>فشار شدید</v>
      </c>
      <c r="S51" s="21">
        <f>(1-NORMSDIST((LN(O51*12*1000000/پارامترها!$B$8)-پارامترها!$B$15)/پارامترها!$B$14))*100</f>
        <v>3.6259592624085291</v>
      </c>
      <c r="T51" s="21">
        <f>(1-NORMSDIST((LN(I51*1000000/5)-پارامترها!$B$15)/پارامترها!$B$14))*100</f>
        <v>0.78430351332010595</v>
      </c>
      <c r="U51" s="21">
        <f>MIN(100,پارامترها!$B$9/1000000/I51*100)</f>
        <v>5.6045957685301948</v>
      </c>
      <c r="V51" s="19">
        <f>MAX(0,I51-پارامترها!$B$9/1000000)</f>
        <v>33685</v>
      </c>
      <c r="W51" s="21">
        <f>V51/(G51*پارامترها!$B$7)</f>
        <v>63.934829983645052</v>
      </c>
      <c r="X51" s="21">
        <f>پارامترها!$B$12/1000000/(G51/12)*100</f>
        <v>27.519567558463304</v>
      </c>
      <c r="Y51" s="21">
        <f>ROUND(50*MIN(1,3/K51)+50*MIN(1,30/P51),1)</f>
        <v>31.1</v>
      </c>
      <c r="Z51" s="3">
        <f t="shared" si="2"/>
        <v>95</v>
      </c>
      <c r="AA51" s="19">
        <v>92</v>
      </c>
      <c r="AB51" s="19">
        <v>91</v>
      </c>
      <c r="AC51" s="3" t="s">
        <v>83</v>
      </c>
      <c r="AD51" s="3" t="s">
        <v>84</v>
      </c>
      <c r="AE51" s="3" t="s">
        <v>154</v>
      </c>
      <c r="AF51" s="23" t="s">
        <v>85</v>
      </c>
    </row>
    <row r="52" spans="1:32" x14ac:dyDescent="0.2">
      <c r="A52" s="3">
        <v>51</v>
      </c>
      <c r="B52" s="3">
        <v>3</v>
      </c>
      <c r="C52" s="3" t="s">
        <v>155</v>
      </c>
      <c r="D52" s="19">
        <v>26745</v>
      </c>
      <c r="E52" s="19">
        <f>ROUND(D52/INDEX(مناطق!$D$2:$D$23,B52),0)</f>
        <v>9628</v>
      </c>
      <c r="F52" s="20">
        <v>1.7981</v>
      </c>
      <c r="G52" s="19">
        <f>پارامترها!$B$5*F52/1000000</f>
        <v>1750.1806350000002</v>
      </c>
      <c r="H52" s="21">
        <v>474.2</v>
      </c>
      <c r="I52" s="19">
        <f>H52*پارامترها!$B$6</f>
        <v>35565</v>
      </c>
      <c r="J52" s="22">
        <v>140</v>
      </c>
      <c r="K52" s="21">
        <f t="shared" si="0"/>
        <v>20.320759634047715</v>
      </c>
      <c r="L52" s="21">
        <f>I52/(پارامترها!$B$5/1000000)</f>
        <v>36.538757897981192</v>
      </c>
      <c r="M52" s="21">
        <f>K52/پارامترها!$B$7</f>
        <v>67.735865446825713</v>
      </c>
      <c r="N52" s="21">
        <v>40.85</v>
      </c>
      <c r="O52" s="21">
        <f>N52*پارامترها!$B$6*پارامترها!$B$16</f>
        <v>91.912499999999994</v>
      </c>
      <c r="P52" s="21">
        <f>O52*12/G52*100</f>
        <v>63.019209442915567</v>
      </c>
      <c r="Q52" s="21">
        <f>O52*12/(پارامترها!$B$5/1000000)*100</f>
        <v>113.31484049930648</v>
      </c>
      <c r="R52" s="3" t="str">
        <f t="shared" si="1"/>
        <v>فشار شدید</v>
      </c>
      <c r="S52" s="21">
        <f>(1-NORMSDIST((LN(O52*12*1000000/پارامترها!$B$8)-پارامترها!$B$15)/پارامترها!$B$14))*100</f>
        <v>3.6944751140405852</v>
      </c>
      <c r="T52" s="21">
        <f>(1-NORMSDIST((LN(I52*1000000/5)-پارامترها!$B$15)/پارامترها!$B$14))*100</f>
        <v>0.79120872760247707</v>
      </c>
      <c r="U52" s="21">
        <f>MIN(100,پارامترها!$B$9/1000000/I52*100)</f>
        <v>5.6235062561507103</v>
      </c>
      <c r="V52" s="19">
        <f>MAX(0,I52-پارامترها!$B$9/1000000)</f>
        <v>33565</v>
      </c>
      <c r="W52" s="21">
        <f>V52/(G52*پارامترها!$B$7)</f>
        <v>63.926734815765649</v>
      </c>
      <c r="X52" s="21">
        <f>پارامترها!$B$12/1000000/(G52/12)*100</f>
        <v>27.61445734149121</v>
      </c>
      <c r="Y52" s="21">
        <f>ROUND(50*MIN(1,3/K52)+50*MIN(1,30/P52),1)</f>
        <v>31.2</v>
      </c>
      <c r="Z52" s="3">
        <f t="shared" si="2"/>
        <v>94</v>
      </c>
      <c r="AA52" s="19">
        <v>93</v>
      </c>
      <c r="AB52" s="19">
        <v>88</v>
      </c>
      <c r="AC52" s="3" t="s">
        <v>83</v>
      </c>
      <c r="AD52" s="3" t="s">
        <v>84</v>
      </c>
      <c r="AE52" s="3" t="s">
        <v>155</v>
      </c>
      <c r="AF52" s="23" t="s">
        <v>85</v>
      </c>
    </row>
    <row r="53" spans="1:32" x14ac:dyDescent="0.2">
      <c r="A53" s="3">
        <v>52</v>
      </c>
      <c r="B53" s="3">
        <v>3</v>
      </c>
      <c r="C53" s="3" t="s">
        <v>156</v>
      </c>
      <c r="D53" s="19">
        <v>19143</v>
      </c>
      <c r="E53" s="19">
        <f>ROUND(D53/INDEX(مناطق!$D$2:$D$23,B53),0)</f>
        <v>6891</v>
      </c>
      <c r="F53" s="20">
        <v>1.7851999999999999</v>
      </c>
      <c r="G53" s="19">
        <f>پارامترها!$B$5*F53/1000000</f>
        <v>1737.6244200000001</v>
      </c>
      <c r="H53" s="21">
        <v>471</v>
      </c>
      <c r="I53" s="19">
        <f>H53*پارامترها!$B$6</f>
        <v>35325</v>
      </c>
      <c r="J53" s="22">
        <v>172.5</v>
      </c>
      <c r="K53" s="21">
        <f t="shared" si="0"/>
        <v>20.329479485561095</v>
      </c>
      <c r="L53" s="21">
        <f>I53/(پارامترها!$B$5/1000000)</f>
        <v>36.292186777623662</v>
      </c>
      <c r="M53" s="21">
        <f>K53/پارامترها!$B$7</f>
        <v>67.764931618536991</v>
      </c>
      <c r="N53" s="21">
        <v>41.6</v>
      </c>
      <c r="O53" s="21">
        <f>N53*پارامترها!$B$6*پارامترها!$B$16</f>
        <v>93.6</v>
      </c>
      <c r="P53" s="21">
        <f>O53*12/G53*100</f>
        <v>64.639975536255406</v>
      </c>
      <c r="Q53" s="21">
        <f>O53*12/(پارامترها!$B$5/1000000)*100</f>
        <v>115.39528432732314</v>
      </c>
      <c r="R53" s="3" t="str">
        <f t="shared" si="1"/>
        <v>فشار شدید</v>
      </c>
      <c r="S53" s="21">
        <f>(1-NORMSDIST((LN(O53*12*1000000/پارامترها!$B$8)-پارامترها!$B$15)/پارامترها!$B$14))*100</f>
        <v>3.5573004312093981</v>
      </c>
      <c r="T53" s="21">
        <f>(1-NORMSDIST((LN(I53*1000000/5)-پارامترها!$B$15)/پارامترها!$B$14))*100</f>
        <v>0.80525127233078697</v>
      </c>
      <c r="U53" s="21">
        <f>MIN(100,پارامترها!$B$9/1000000/I53*100)</f>
        <v>5.6617126680820942</v>
      </c>
      <c r="V53" s="19">
        <f>MAX(0,I53-پارامترها!$B$9/1000000)</f>
        <v>33325</v>
      </c>
      <c r="W53" s="21">
        <f>V53/(G53*پارامترها!$B$7)</f>
        <v>63.928275900573112</v>
      </c>
      <c r="X53" s="21">
        <f>پارامترها!$B$12/1000000/(G53/12)*100</f>
        <v>27.814001650087018</v>
      </c>
      <c r="Y53" s="21">
        <f>ROUND(50*MIN(1,3/K53)+50*MIN(1,30/P53),1)</f>
        <v>30.6</v>
      </c>
      <c r="Z53" s="3">
        <f t="shared" si="2"/>
        <v>123</v>
      </c>
      <c r="AA53" s="19">
        <v>86</v>
      </c>
      <c r="AB53" s="19">
        <v>82</v>
      </c>
      <c r="AC53" s="3" t="s">
        <v>83</v>
      </c>
      <c r="AD53" s="3" t="s">
        <v>84</v>
      </c>
      <c r="AE53" s="3" t="s">
        <v>156</v>
      </c>
      <c r="AF53" s="23" t="s">
        <v>85</v>
      </c>
    </row>
    <row r="54" spans="1:32" x14ac:dyDescent="0.2">
      <c r="A54" s="3">
        <v>53</v>
      </c>
      <c r="B54" s="3">
        <v>3</v>
      </c>
      <c r="C54" s="3" t="s">
        <v>157</v>
      </c>
      <c r="D54" s="19">
        <v>56697</v>
      </c>
      <c r="E54" s="19">
        <f>ROUND(D54/INDEX(مناطق!$D$2:$D$23,B54),0)</f>
        <v>20411</v>
      </c>
      <c r="F54" s="20">
        <v>1.7685999999999999</v>
      </c>
      <c r="G54" s="19">
        <f>پارامترها!$B$5*F54/1000000</f>
        <v>1721.4668100000004</v>
      </c>
      <c r="H54" s="21">
        <v>466.7</v>
      </c>
      <c r="I54" s="19">
        <f>H54*پارامترها!$B$6</f>
        <v>35002.5</v>
      </c>
      <c r="J54" s="22">
        <v>127</v>
      </c>
      <c r="K54" s="21">
        <f t="shared" si="0"/>
        <v>20.332950828137076</v>
      </c>
      <c r="L54" s="21">
        <f>I54/(پارامترها!$B$5/1000000)</f>
        <v>35.960856834643238</v>
      </c>
      <c r="M54" s="21">
        <f>K54/پارامترها!$B$7</f>
        <v>67.776502760456921</v>
      </c>
      <c r="N54" s="21">
        <v>39.83</v>
      </c>
      <c r="O54" s="21">
        <f>N54*پارامترها!$B$6*پارامترها!$B$16</f>
        <v>89.617499999999993</v>
      </c>
      <c r="P54" s="21">
        <f>O54*12/G54*100</f>
        <v>62.470562531496007</v>
      </c>
      <c r="Q54" s="21">
        <f>O54*12/(پارامترها!$B$5/1000000)*100</f>
        <v>110.48543689320385</v>
      </c>
      <c r="R54" s="3" t="str">
        <f t="shared" si="1"/>
        <v>فشار شدید</v>
      </c>
      <c r="S54" s="21">
        <f>(1-NORMSDIST((LN(O54*12*1000000/پارامترها!$B$8)-پارامترها!$B$15)/پارامترها!$B$14))*100</f>
        <v>3.8922820662782742</v>
      </c>
      <c r="T54" s="21">
        <f>(1-NORMSDIST((LN(I54*1000000/5)-پارامترها!$B$15)/پارامترها!$B$14))*100</f>
        <v>0.82462104287718274</v>
      </c>
      <c r="U54" s="21">
        <f>MIN(100,پارامترها!$B$9/1000000/I54*100)</f>
        <v>5.713877580172845</v>
      </c>
      <c r="V54" s="19">
        <f>MAX(0,I54-پارامترها!$B$9/1000000)</f>
        <v>33002.5</v>
      </c>
      <c r="W54" s="21">
        <f>V54/(G54*پارامترها!$B$7)</f>
        <v>63.90383636460195</v>
      </c>
      <c r="X54" s="21">
        <f>پارامترها!$B$12/1000000/(G54/12)*100</f>
        <v>28.075062617740208</v>
      </c>
      <c r="Y54" s="21">
        <f>ROUND(50*MIN(1,3/K54)+50*MIN(1,30/P54),1)</f>
        <v>31.4</v>
      </c>
      <c r="Z54" s="3">
        <f t="shared" si="2"/>
        <v>88</v>
      </c>
      <c r="AA54" s="19">
        <v>91</v>
      </c>
      <c r="AB54" s="19">
        <v>93</v>
      </c>
      <c r="AC54" s="3" t="s">
        <v>83</v>
      </c>
      <c r="AD54" s="3" t="s">
        <v>84</v>
      </c>
      <c r="AE54" s="3" t="s">
        <v>157</v>
      </c>
      <c r="AF54" s="23" t="s">
        <v>85</v>
      </c>
    </row>
    <row r="55" spans="1:32" x14ac:dyDescent="0.2">
      <c r="A55" s="3">
        <v>54</v>
      </c>
      <c r="B55" s="3">
        <v>3</v>
      </c>
      <c r="C55" s="3" t="s">
        <v>158</v>
      </c>
      <c r="D55" s="19">
        <v>18277</v>
      </c>
      <c r="E55" s="19">
        <f>ROUND(D55/INDEX(مناطق!$D$2:$D$23,B55),0)</f>
        <v>6580</v>
      </c>
      <c r="F55" s="20">
        <v>1.7493000000000001</v>
      </c>
      <c r="G55" s="19">
        <f>پارامترها!$B$5*F55/1000000</f>
        <v>1702.6811550000002</v>
      </c>
      <c r="H55" s="21">
        <v>461.8</v>
      </c>
      <c r="I55" s="19">
        <f>H55*پارامترها!$B$6</f>
        <v>34635</v>
      </c>
      <c r="J55" s="22">
        <v>142</v>
      </c>
      <c r="K55" s="21">
        <f t="shared" si="0"/>
        <v>20.341447897213612</v>
      </c>
      <c r="L55" s="21">
        <f>I55/(پارامترها!$B$5/1000000)</f>
        <v>35.583294806595774</v>
      </c>
      <c r="M55" s="21">
        <f>K55/پارامترها!$B$7</f>
        <v>67.804826324045379</v>
      </c>
      <c r="N55" s="21">
        <v>40.520000000000003</v>
      </c>
      <c r="O55" s="21">
        <f>N55*پارامترها!$B$6*پارامترها!$B$16</f>
        <v>91.170000000000016</v>
      </c>
      <c r="P55" s="21">
        <f>O55*12/G55*100</f>
        <v>64.25395599095593</v>
      </c>
      <c r="Q55" s="21">
        <f>O55*12/(پارامترها!$B$5/1000000)*100</f>
        <v>112.3994452149792</v>
      </c>
      <c r="R55" s="3" t="str">
        <f t="shared" si="1"/>
        <v>فشار شدید</v>
      </c>
      <c r="S55" s="21">
        <f>(1-NORMSDIST((LN(O55*12*1000000/پارامترها!$B$8)-پارامترها!$B$15)/پارامترها!$B$14))*100</f>
        <v>3.7570103542798883</v>
      </c>
      <c r="T55" s="21">
        <f>(1-NORMSDIST((LN(I55*1000000/5)-پارامترها!$B$15)/پارامترها!$B$14))*100</f>
        <v>0.84741778853408833</v>
      </c>
      <c r="U55" s="21">
        <f>MIN(100,پارامترها!$B$9/1000000/I55*100)</f>
        <v>5.7745055579616</v>
      </c>
      <c r="V55" s="19">
        <f>MAX(0,I55-پارامترها!$B$9/1000000)</f>
        <v>32635</v>
      </c>
      <c r="W55" s="21">
        <f>V55/(G55*پارامترها!$B$7)</f>
        <v>63.889432859397168</v>
      </c>
      <c r="X55" s="21">
        <f>پارامترها!$B$12/1000000/(G55/12)*100</f>
        <v>28.384814351875232</v>
      </c>
      <c r="Y55" s="21">
        <f>ROUND(50*MIN(1,3/K55)+50*MIN(1,30/P55),1)</f>
        <v>30.7</v>
      </c>
      <c r="Z55" s="3">
        <f t="shared" si="2"/>
        <v>120</v>
      </c>
      <c r="AA55" s="19">
        <v>93</v>
      </c>
      <c r="AB55" s="19">
        <v>92</v>
      </c>
      <c r="AC55" s="3" t="s">
        <v>83</v>
      </c>
      <c r="AD55" s="3" t="s">
        <v>84</v>
      </c>
      <c r="AE55" s="3" t="s">
        <v>158</v>
      </c>
      <c r="AF55" s="23" t="s">
        <v>85</v>
      </c>
    </row>
    <row r="56" spans="1:32" ht="16.5" x14ac:dyDescent="0.3">
      <c r="A56" s="3">
        <v>55</v>
      </c>
      <c r="B56" s="3">
        <v>3</v>
      </c>
      <c r="C56" s="3" t="s">
        <v>159</v>
      </c>
      <c r="D56" s="19">
        <v>24511</v>
      </c>
      <c r="E56" s="19">
        <f>ROUND(D56/INDEX(مناطق!$D$2:$D$23,B56),0)</f>
        <v>8824</v>
      </c>
      <c r="F56" s="20">
        <v>1.7387999999999999</v>
      </c>
      <c r="G56" s="19">
        <f>پارامترها!$B$5*F56/1000000</f>
        <v>1692.4609800000001</v>
      </c>
      <c r="H56" s="21">
        <v>459.1</v>
      </c>
      <c r="I56" s="19">
        <f>H56*پارامترها!$B$6</f>
        <v>34432.5</v>
      </c>
      <c r="J56" s="22"/>
      <c r="K56" s="21">
        <f t="shared" si="0"/>
        <v>20.344634474231718</v>
      </c>
      <c r="L56" s="21">
        <f>I56/(پارامترها!$B$5/1000000)</f>
        <v>35.375250423794107</v>
      </c>
      <c r="M56" s="21">
        <f>K56/پارامترها!$B$7</f>
        <v>67.815448247439065</v>
      </c>
      <c r="N56" s="21">
        <v>45.19</v>
      </c>
      <c r="O56" s="21">
        <f>N56*پارامترها!$B$6*پارامترها!$B$16</f>
        <v>101.67749999999999</v>
      </c>
      <c r="P56" s="21">
        <f>O56*12/G56*100</f>
        <v>72.09206087575501</v>
      </c>
      <c r="Q56" s="21">
        <f>O56*12/(پارامترها!$B$5/1000000)*100</f>
        <v>125.35367545076279</v>
      </c>
      <c r="R56" s="3" t="str">
        <f t="shared" si="1"/>
        <v>فشار شدید</v>
      </c>
      <c r="S56" s="21">
        <f>(1-NORMSDIST((LN(O56*12*1000000/پارامترها!$B$8)-پارامترها!$B$15)/پارامترها!$B$14))*100</f>
        <v>2.9849086435032035</v>
      </c>
      <c r="T56" s="21">
        <f>(1-NORMSDIST((LN(I56*1000000/5)-پارامترها!$B$15)/پارامترها!$B$14))*100</f>
        <v>0.86032033925258489</v>
      </c>
      <c r="U56" s="21">
        <f>MIN(100,پارامترها!$B$9/1000000/I56*100)</f>
        <v>5.8084658389602843</v>
      </c>
      <c r="V56" s="19">
        <f>MAX(0,I56-پارامترها!$B$9/1000000)</f>
        <v>32432.5</v>
      </c>
      <c r="W56" s="21">
        <f>V56/(G56*پارامترها!$B$7)</f>
        <v>63.876411102448778</v>
      </c>
      <c r="X56" s="21">
        <f>پارامترها!$B$12/1000000/(G56/12)*100</f>
        <v>28.556220235642591</v>
      </c>
      <c r="Y56" s="21">
        <f>ROUND(50*MIN(1,3/K56)+50*MIN(1,30/P56),1)</f>
        <v>28.2</v>
      </c>
      <c r="Z56" s="3">
        <f t="shared" si="2"/>
        <v>248</v>
      </c>
      <c r="AA56" s="19">
        <v>0</v>
      </c>
      <c r="AB56" s="19">
        <v>0</v>
      </c>
      <c r="AC56" s="3" t="s">
        <v>103</v>
      </c>
      <c r="AD56" s="3" t="s">
        <v>104</v>
      </c>
      <c r="AE56" s="23" t="s">
        <v>105</v>
      </c>
      <c r="AF56" s="23" t="s">
        <v>106</v>
      </c>
    </row>
    <row r="57" spans="1:32" ht="16.5" x14ac:dyDescent="0.3">
      <c r="A57" s="3">
        <v>56</v>
      </c>
      <c r="B57" s="3">
        <v>3</v>
      </c>
      <c r="C57" s="3" t="s">
        <v>160</v>
      </c>
      <c r="D57" s="19">
        <v>20626</v>
      </c>
      <c r="E57" s="19">
        <f>ROUND(D57/INDEX(مناطق!$D$2:$D$23,B57),0)</f>
        <v>7425</v>
      </c>
      <c r="F57" s="20">
        <v>1.7387999999999999</v>
      </c>
      <c r="G57" s="19">
        <f>پارامترها!$B$5*F57/1000000</f>
        <v>1692.4609800000001</v>
      </c>
      <c r="H57" s="21">
        <v>459.1</v>
      </c>
      <c r="I57" s="19">
        <f>H57*پارامترها!$B$6</f>
        <v>34432.5</v>
      </c>
      <c r="J57" s="22"/>
      <c r="K57" s="21">
        <f t="shared" si="0"/>
        <v>20.344634474231718</v>
      </c>
      <c r="L57" s="21">
        <f>I57/(پارامترها!$B$5/1000000)</f>
        <v>35.375250423794107</v>
      </c>
      <c r="M57" s="21">
        <f>K57/پارامترها!$B$7</f>
        <v>67.815448247439065</v>
      </c>
      <c r="N57" s="21">
        <v>45.19</v>
      </c>
      <c r="O57" s="21">
        <f>N57*پارامترها!$B$6*پارامترها!$B$16</f>
        <v>101.67749999999999</v>
      </c>
      <c r="P57" s="21">
        <f>O57*12/G57*100</f>
        <v>72.09206087575501</v>
      </c>
      <c r="Q57" s="21">
        <f>O57*12/(پارامترها!$B$5/1000000)*100</f>
        <v>125.35367545076279</v>
      </c>
      <c r="R57" s="3" t="str">
        <f t="shared" si="1"/>
        <v>فشار شدید</v>
      </c>
      <c r="S57" s="21">
        <f>(1-NORMSDIST((LN(O57*12*1000000/پارامترها!$B$8)-پارامترها!$B$15)/پارامترها!$B$14))*100</f>
        <v>2.9849086435032035</v>
      </c>
      <c r="T57" s="21">
        <f>(1-NORMSDIST((LN(I57*1000000/5)-پارامترها!$B$15)/پارامترها!$B$14))*100</f>
        <v>0.86032033925258489</v>
      </c>
      <c r="U57" s="21">
        <f>MIN(100,پارامترها!$B$9/1000000/I57*100)</f>
        <v>5.8084658389602843</v>
      </c>
      <c r="V57" s="19">
        <f>MAX(0,I57-پارامترها!$B$9/1000000)</f>
        <v>32432.5</v>
      </c>
      <c r="W57" s="21">
        <f>V57/(G57*پارامترها!$B$7)</f>
        <v>63.876411102448778</v>
      </c>
      <c r="X57" s="21">
        <f>پارامترها!$B$12/1000000/(G57/12)*100</f>
        <v>28.556220235642591</v>
      </c>
      <c r="Y57" s="21">
        <f>ROUND(50*MIN(1,3/K57)+50*MIN(1,30/P57),1)</f>
        <v>28.2</v>
      </c>
      <c r="Z57" s="3">
        <f t="shared" si="2"/>
        <v>248</v>
      </c>
      <c r="AA57" s="19">
        <v>0</v>
      </c>
      <c r="AB57" s="19">
        <v>0</v>
      </c>
      <c r="AC57" s="3" t="s">
        <v>103</v>
      </c>
      <c r="AD57" s="3" t="s">
        <v>104</v>
      </c>
      <c r="AE57" s="23" t="s">
        <v>105</v>
      </c>
      <c r="AF57" s="23" t="s">
        <v>106</v>
      </c>
    </row>
    <row r="58" spans="1:32" x14ac:dyDescent="0.2">
      <c r="A58" s="3">
        <v>57</v>
      </c>
      <c r="B58" s="3">
        <v>3</v>
      </c>
      <c r="C58" s="3" t="s">
        <v>161</v>
      </c>
      <c r="D58" s="19">
        <v>22963</v>
      </c>
      <c r="E58" s="19">
        <f>ROUND(D58/INDEX(مناطق!$D$2:$D$23,B58),0)</f>
        <v>8267</v>
      </c>
      <c r="F58" s="20">
        <v>1.6917</v>
      </c>
      <c r="G58" s="19">
        <f>پارامترها!$B$5*F58/1000000</f>
        <v>1646.6161950000003</v>
      </c>
      <c r="H58" s="21">
        <v>447.1</v>
      </c>
      <c r="I58" s="19">
        <f>H58*پارامترها!$B$6</f>
        <v>33532.5</v>
      </c>
      <c r="J58" s="22">
        <v>122</v>
      </c>
      <c r="K58" s="21">
        <f t="shared" si="0"/>
        <v>20.364490584887022</v>
      </c>
      <c r="L58" s="21">
        <f>I58/(پارامترها!$B$5/1000000)</f>
        <v>34.450608722453374</v>
      </c>
      <c r="M58" s="21">
        <f>K58/پارامترها!$B$7</f>
        <v>67.881635282956751</v>
      </c>
      <c r="N58" s="21">
        <v>38.950000000000003</v>
      </c>
      <c r="O58" s="21">
        <f>N58*پارامترها!$B$6*پارامترها!$B$16</f>
        <v>87.637500000000003</v>
      </c>
      <c r="P58" s="21">
        <f>O58*12/G58*100</f>
        <v>63.867342201137525</v>
      </c>
      <c r="Q58" s="21">
        <f>O58*12/(پارامترها!$B$5/1000000)*100</f>
        <v>108.04438280166436</v>
      </c>
      <c r="R58" s="3" t="str">
        <f t="shared" si="1"/>
        <v>فشار شدید</v>
      </c>
      <c r="S58" s="21">
        <f>(1-NORMSDIST((LN(O58*12*1000000/پارامترها!$B$8)-پارامترها!$B$15)/پارامترها!$B$14))*100</f>
        <v>4.0741511212509458</v>
      </c>
      <c r="T58" s="21">
        <f>(1-NORMSDIST((LN(I58*1000000/5)-پارامترها!$B$15)/پارامترها!$B$14))*100</f>
        <v>0.92076912007467149</v>
      </c>
      <c r="U58" s="21">
        <f>MIN(100,پارامترها!$B$9/1000000/I58*100)</f>
        <v>5.9643629314843807</v>
      </c>
      <c r="V58" s="19">
        <f>MAX(0,I58-پارامترها!$B$9/1000000)</f>
        <v>31532.5</v>
      </c>
      <c r="W58" s="21">
        <f>V58/(G58*پارامترها!$B$7)</f>
        <v>63.832928190854645</v>
      </c>
      <c r="X58" s="21">
        <f>پارامترها!$B$12/1000000/(G58/12)*100</f>
        <v>29.351277262951669</v>
      </c>
      <c r="Y58" s="21">
        <f>ROUND(50*MIN(1,3/K58)+50*MIN(1,30/P58),1)</f>
        <v>30.9</v>
      </c>
      <c r="Z58" s="3">
        <f t="shared" si="2"/>
        <v>109</v>
      </c>
      <c r="AA58" s="19">
        <v>91</v>
      </c>
      <c r="AB58" s="19">
        <v>91</v>
      </c>
      <c r="AC58" s="3" t="s">
        <v>83</v>
      </c>
      <c r="AD58" s="3" t="s">
        <v>84</v>
      </c>
      <c r="AE58" s="3" t="s">
        <v>161</v>
      </c>
      <c r="AF58" s="23" t="s">
        <v>85</v>
      </c>
    </row>
    <row r="59" spans="1:32" x14ac:dyDescent="0.2">
      <c r="A59" s="3">
        <v>58</v>
      </c>
      <c r="B59" s="3">
        <v>3</v>
      </c>
      <c r="C59" s="3" t="s">
        <v>162</v>
      </c>
      <c r="D59" s="19">
        <v>21009</v>
      </c>
      <c r="E59" s="19">
        <f>ROUND(D59/INDEX(مناطق!$D$2:$D$23,B59),0)</f>
        <v>7563</v>
      </c>
      <c r="F59" s="20">
        <v>1.6096999999999999</v>
      </c>
      <c r="G59" s="19">
        <f>پارامترها!$B$5*F59/1000000</f>
        <v>1566.8014949999999</v>
      </c>
      <c r="H59" s="21">
        <v>426.2</v>
      </c>
      <c r="I59" s="19">
        <f>H59*پارامترها!$B$6</f>
        <v>31965</v>
      </c>
      <c r="J59" s="22">
        <v>113</v>
      </c>
      <c r="K59" s="21">
        <f t="shared" si="0"/>
        <v>20.40143572878069</v>
      </c>
      <c r="L59" s="21">
        <f>I59/(پارامترها!$B$5/1000000)</f>
        <v>32.840191092618269</v>
      </c>
      <c r="M59" s="21">
        <f>K59/پارامترها!$B$7</f>
        <v>68.00478576260231</v>
      </c>
      <c r="N59" s="21">
        <v>39.64</v>
      </c>
      <c r="O59" s="21">
        <f>N59*پارامترها!$B$6*پارامترها!$B$16</f>
        <v>89.19</v>
      </c>
      <c r="P59" s="21">
        <f>O59*12/G59*100</f>
        <v>68.309865890190508</v>
      </c>
      <c r="Q59" s="21">
        <f>O59*12/(پارامترها!$B$5/1000000)*100</f>
        <v>109.95839112343965</v>
      </c>
      <c r="R59" s="3" t="str">
        <f t="shared" si="1"/>
        <v>فشار شدید</v>
      </c>
      <c r="S59" s="21">
        <f>(1-NORMSDIST((LN(O59*12*1000000/پارامترها!$B$8)-پارامترها!$B$15)/پارامترها!$B$14))*100</f>
        <v>3.9306402766107418</v>
      </c>
      <c r="T59" s="21">
        <f>(1-NORMSDIST((LN(I59*1000000/5)-پارامترها!$B$15)/پارامترها!$B$14))*100</f>
        <v>1.0395067102693889</v>
      </c>
      <c r="U59" s="21">
        <f>MIN(100,پارامترها!$B$9/1000000/I59*100)</f>
        <v>6.2568434224933522</v>
      </c>
      <c r="V59" s="19">
        <f>MAX(0,I59-پارامترها!$B$9/1000000)</f>
        <v>29965</v>
      </c>
      <c r="W59" s="21">
        <f>V59/(G59*پارامترها!$B$7)</f>
        <v>63.749832797634227</v>
      </c>
      <c r="X59" s="21">
        <f>پارامترها!$B$12/1000000/(G59/12)*100</f>
        <v>30.84646564312316</v>
      </c>
      <c r="Y59" s="21">
        <f>ROUND(50*MIN(1,3/K59)+50*MIN(1,30/P59),1)</f>
        <v>29.3</v>
      </c>
      <c r="Z59" s="3">
        <f t="shared" si="2"/>
        <v>200</v>
      </c>
      <c r="AA59" s="19">
        <v>5</v>
      </c>
      <c r="AB59" s="19">
        <v>8</v>
      </c>
      <c r="AC59" s="3" t="s">
        <v>83</v>
      </c>
      <c r="AD59" s="3" t="s">
        <v>84</v>
      </c>
      <c r="AE59" s="3" t="s">
        <v>162</v>
      </c>
      <c r="AF59" s="23" t="s">
        <v>152</v>
      </c>
    </row>
    <row r="60" spans="1:32" ht="16.5" x14ac:dyDescent="0.3">
      <c r="A60" s="3">
        <v>59</v>
      </c>
      <c r="B60" s="3">
        <v>3</v>
      </c>
      <c r="C60" s="3" t="s">
        <v>163</v>
      </c>
      <c r="D60" s="19">
        <v>39828</v>
      </c>
      <c r="E60" s="19">
        <f>ROUND(D60/INDEX(مناطق!$D$2:$D$23,B60),0)</f>
        <v>14338</v>
      </c>
      <c r="F60" s="20">
        <v>1.5134000000000001</v>
      </c>
      <c r="G60" s="19">
        <f>پارامترها!$B$5*F60/1000000</f>
        <v>1473.0678900000003</v>
      </c>
      <c r="H60" s="21">
        <v>401.5</v>
      </c>
      <c r="I60" s="19">
        <f>H60*پارامترها!$B$6</f>
        <v>30112.5</v>
      </c>
      <c r="J60" s="22">
        <v>107.75</v>
      </c>
      <c r="K60" s="21">
        <f t="shared" si="0"/>
        <v>20.442031358106647</v>
      </c>
      <c r="L60" s="21">
        <f>I60/(پارامترها!$B$5/1000000)</f>
        <v>30.936970257358603</v>
      </c>
      <c r="M60" s="21">
        <f>K60/پارامترها!$B$7</f>
        <v>68.14010452702216</v>
      </c>
      <c r="N60" s="21">
        <v>33.130000000000003</v>
      </c>
      <c r="O60" s="21">
        <f>N60*پارامترها!$B$6*پارامترها!$B$16</f>
        <v>74.542500000000004</v>
      </c>
      <c r="P60" s="21">
        <f>O60*12/G60*100</f>
        <v>60.724288817401337</v>
      </c>
      <c r="Q60" s="21">
        <f>O60*12/(پارامترها!$B$5/1000000)*100</f>
        <v>91.900138696255183</v>
      </c>
      <c r="R60" s="3" t="str">
        <f t="shared" si="1"/>
        <v>فشار شدید</v>
      </c>
      <c r="S60" s="21">
        <f>(1-NORMSDIST((LN(O60*12*1000000/پارامترها!$B$8)-پارامترها!$B$15)/پارامترها!$B$14))*100</f>
        <v>5.6061762165022238</v>
      </c>
      <c r="T60" s="21">
        <f>(1-NORMSDIST((LN(I60*1000000/5)-پارامترها!$B$15)/پارامترها!$B$14))*100</f>
        <v>1.2061109272429427</v>
      </c>
      <c r="U60" s="21">
        <f>MIN(100,پارامترها!$B$9/1000000/I60*100)</f>
        <v>6.6417600664176017</v>
      </c>
      <c r="V60" s="19">
        <f>MAX(0,I60-پارامترها!$B$9/1000000)</f>
        <v>28112.5</v>
      </c>
      <c r="W60" s="21">
        <f>V60/(G60*پارامترها!$B$7)</f>
        <v>63.614402275331194</v>
      </c>
      <c r="X60" s="21">
        <f>پارامترها!$B$12/1000000/(G60/12)*100</f>
        <v>32.809274313291489</v>
      </c>
      <c r="Y60" s="21">
        <f>ROUND(50*MIN(1,3/K60)+50*MIN(1,30/P60),1)</f>
        <v>32</v>
      </c>
      <c r="Z60" s="3">
        <f t="shared" si="2"/>
        <v>63</v>
      </c>
      <c r="AA60" s="19">
        <v>90</v>
      </c>
      <c r="AB60" s="19">
        <v>88</v>
      </c>
      <c r="AC60" s="3" t="s">
        <v>83</v>
      </c>
      <c r="AD60" s="3" t="s">
        <v>93</v>
      </c>
      <c r="AE60" s="3" t="s">
        <v>164</v>
      </c>
      <c r="AF60" s="23" t="s">
        <v>85</v>
      </c>
    </row>
    <row r="61" spans="1:32" ht="16.5" x14ac:dyDescent="0.3">
      <c r="A61" s="3">
        <v>60</v>
      </c>
      <c r="B61" s="3">
        <v>3</v>
      </c>
      <c r="C61" s="3" t="s">
        <v>165</v>
      </c>
      <c r="D61" s="19">
        <v>30658</v>
      </c>
      <c r="E61" s="19">
        <f>ROUND(D61/INDEX(مناطق!$D$2:$D$23,B61),0)</f>
        <v>11037</v>
      </c>
      <c r="F61" s="20">
        <v>1.3552</v>
      </c>
      <c r="G61" s="19">
        <f>پارامترها!$B$5*F61/1000000</f>
        <v>1319.0839200000003</v>
      </c>
      <c r="H61" s="21">
        <v>360.9</v>
      </c>
      <c r="I61" s="19">
        <f>H61*پارامترها!$B$6</f>
        <v>27067.5</v>
      </c>
      <c r="J61" s="22">
        <v>110</v>
      </c>
      <c r="K61" s="21">
        <f t="shared" si="0"/>
        <v>20.519922644497097</v>
      </c>
      <c r="L61" s="21">
        <f>I61/(پارامترها!$B$5/1000000)</f>
        <v>27.808599167822464</v>
      </c>
      <c r="M61" s="21">
        <f>K61/پارامترها!$B$7</f>
        <v>68.399742148323654</v>
      </c>
      <c r="N61" s="21">
        <v>32.17</v>
      </c>
      <c r="O61" s="21">
        <f>N61*پارامترها!$B$6*پارامترها!$B$16</f>
        <v>72.382499999999993</v>
      </c>
      <c r="P61" s="21">
        <f>O61*12/G61*100</f>
        <v>65.847971219298913</v>
      </c>
      <c r="Q61" s="21">
        <f>O61*12/(پارامترها!$B$5/1000000)*100</f>
        <v>89.237170596393881</v>
      </c>
      <c r="R61" s="3" t="str">
        <f t="shared" si="1"/>
        <v>فشار شدید</v>
      </c>
      <c r="S61" s="21">
        <f>(1-NORMSDIST((LN(O61*12*1000000/پارامترها!$B$8)-پارامترها!$B$15)/پارامترها!$B$14))*100</f>
        <v>5.9280230468053308</v>
      </c>
      <c r="T61" s="21">
        <f>(1-NORMSDIST((LN(I61*1000000/5)-پارامترها!$B$15)/پارامترها!$B$14))*100</f>
        <v>1.5615643042262151</v>
      </c>
      <c r="U61" s="21">
        <f>MIN(100,پارامترها!$B$9/1000000/I61*100)</f>
        <v>7.3889350697330745</v>
      </c>
      <c r="V61" s="19">
        <f>MAX(0,I61-پارامترها!$B$9/1000000)</f>
        <v>25067.5</v>
      </c>
      <c r="W61" s="21">
        <f>V61/(G61*پارامترها!$B$7)</f>
        <v>63.345729613119168</v>
      </c>
      <c r="X61" s="21">
        <f>پارامترها!$B$12/1000000/(G61/12)*100</f>
        <v>36.639282575070347</v>
      </c>
      <c r="Y61" s="21">
        <f>ROUND(50*MIN(1,3/K61)+50*MIN(1,30/P61),1)</f>
        <v>30.1</v>
      </c>
      <c r="Z61" s="3">
        <f t="shared" si="2"/>
        <v>158</v>
      </c>
      <c r="AA61" s="19">
        <v>172</v>
      </c>
      <c r="AB61" s="19">
        <v>162</v>
      </c>
      <c r="AC61" s="3" t="s">
        <v>83</v>
      </c>
      <c r="AD61" s="3" t="s">
        <v>84</v>
      </c>
      <c r="AE61" s="3" t="s">
        <v>166</v>
      </c>
      <c r="AF61" s="23" t="s">
        <v>85</v>
      </c>
    </row>
    <row r="62" spans="1:32" ht="16.5" x14ac:dyDescent="0.3">
      <c r="A62" s="3">
        <v>61</v>
      </c>
      <c r="B62" s="3">
        <v>4</v>
      </c>
      <c r="C62" s="3" t="s">
        <v>167</v>
      </c>
      <c r="D62" s="19">
        <v>19326</v>
      </c>
      <c r="E62" s="19">
        <f>ROUND(D62/INDEX(مناطق!$D$2:$D$23,B62),0)</f>
        <v>6399</v>
      </c>
      <c r="F62" s="20">
        <v>2.2280000000000002</v>
      </c>
      <c r="G62" s="19">
        <f>پارامترها!$B$5*F62/1000000</f>
        <v>2168.6238000000003</v>
      </c>
      <c r="H62" s="21">
        <v>538.1</v>
      </c>
      <c r="I62" s="19">
        <f>H62*پارامترها!$B$6</f>
        <v>40357.5</v>
      </c>
      <c r="J62" s="22">
        <v>150</v>
      </c>
      <c r="K62" s="21">
        <f t="shared" si="0"/>
        <v>18.60972843699308</v>
      </c>
      <c r="L62" s="21">
        <f>I62/(پارامترها!$B$5/1000000)</f>
        <v>41.462474957620586</v>
      </c>
      <c r="M62" s="21">
        <f>K62/پارامترها!$B$7</f>
        <v>62.032428123310268</v>
      </c>
      <c r="N62" s="21">
        <v>49.98</v>
      </c>
      <c r="O62" s="21">
        <f>N62*پارامترها!$B$6*پارامترها!$B$16</f>
        <v>112.45499999999998</v>
      </c>
      <c r="P62" s="21">
        <f>O62*12/G62*100</f>
        <v>62.226560457373914</v>
      </c>
      <c r="Q62" s="21">
        <f>O62*12/(پارامترها!$B$5/1000000)*100</f>
        <v>138.64077669902909</v>
      </c>
      <c r="R62" s="3" t="str">
        <f t="shared" si="1"/>
        <v>فشار شدید</v>
      </c>
      <c r="S62" s="21">
        <f>(1-NORMSDIST((LN(O62*12*1000000/پارامترها!$B$8)-پارامترها!$B$15)/پارامترها!$B$14))*100</f>
        <v>2.3934752454850994</v>
      </c>
      <c r="T62" s="21">
        <f>(1-NORMSDIST((LN(I62*1000000/5)-پارامترها!$B$15)/پارامترها!$B$14))*100</f>
        <v>0.56579658120307075</v>
      </c>
      <c r="U62" s="21">
        <f>MIN(100,پارامترها!$B$9/1000000/I62*100)</f>
        <v>4.9557083565632158</v>
      </c>
      <c r="V62" s="19">
        <f>MAX(0,I62-پارامترها!$B$9/1000000)</f>
        <v>38357.5</v>
      </c>
      <c r="W62" s="21">
        <f>V62/(G62*پارامترها!$B$7)</f>
        <v>58.958281899024307</v>
      </c>
      <c r="X62" s="21">
        <f>پارامترها!$B$12/1000000/(G62/12)*100</f>
        <v>22.286156079773491</v>
      </c>
      <c r="Y62" s="21">
        <f>ROUND(50*MIN(1,3/K62)+50*MIN(1,30/P62),1)</f>
        <v>32.200000000000003</v>
      </c>
      <c r="Z62" s="3">
        <f t="shared" si="2"/>
        <v>53</v>
      </c>
      <c r="AA62" s="19">
        <v>93</v>
      </c>
      <c r="AB62" s="19">
        <v>91</v>
      </c>
      <c r="AC62" s="3" t="s">
        <v>83</v>
      </c>
      <c r="AD62" s="3" t="s">
        <v>146</v>
      </c>
      <c r="AE62" s="3" t="s">
        <v>168</v>
      </c>
      <c r="AF62" s="23" t="s">
        <v>90</v>
      </c>
    </row>
    <row r="63" spans="1:32" ht="16.5" x14ac:dyDescent="0.3">
      <c r="A63" s="3">
        <v>62</v>
      </c>
      <c r="B63" s="3">
        <v>4</v>
      </c>
      <c r="C63" s="3" t="s">
        <v>169</v>
      </c>
      <c r="D63" s="19">
        <v>62773</v>
      </c>
      <c r="E63" s="19">
        <f>ROUND(D63/INDEX(مناطق!$D$2:$D$23,B63),0)</f>
        <v>20786</v>
      </c>
      <c r="F63" s="20">
        <v>1.5105999999999999</v>
      </c>
      <c r="G63" s="19">
        <f>پارامترها!$B$5*F63/1000000</f>
        <v>1470.3425100000002</v>
      </c>
      <c r="H63" s="21">
        <v>369.7</v>
      </c>
      <c r="I63" s="19">
        <f>H63*پارامترها!$B$6</f>
        <v>27727.5</v>
      </c>
      <c r="J63" s="22">
        <v>118.5</v>
      </c>
      <c r="K63" s="21">
        <f t="shared" si="0"/>
        <v>18.85785101867183</v>
      </c>
      <c r="L63" s="21">
        <f>I63/(پارامترها!$B$5/1000000)</f>
        <v>28.486669748805667</v>
      </c>
      <c r="M63" s="21">
        <f>K63/پارامترها!$B$7</f>
        <v>62.859503395572773</v>
      </c>
      <c r="N63" s="21">
        <v>33.89</v>
      </c>
      <c r="O63" s="21">
        <f>N63*پارامترها!$B$6*پارامترها!$B$16</f>
        <v>76.252499999999998</v>
      </c>
      <c r="P63" s="21">
        <f>O63*12/G63*100</f>
        <v>62.232438617312354</v>
      </c>
      <c r="Q63" s="21">
        <f>O63*12/(پارامترها!$B$5/1000000)*100</f>
        <v>94.008321775312055</v>
      </c>
      <c r="R63" s="3" t="str">
        <f t="shared" si="1"/>
        <v>فشار شدید</v>
      </c>
      <c r="S63" s="21">
        <f>(1-NORMSDIST((LN(O63*12*1000000/پارامترها!$B$8)-پارامترها!$B$15)/پارامترها!$B$14))*100</f>
        <v>5.3674707123600012</v>
      </c>
      <c r="T63" s="21">
        <f>(1-NORMSDIST((LN(I63*1000000/5)-پارامترها!$B$15)/پارامترها!$B$14))*100</f>
        <v>1.4742086031000801</v>
      </c>
      <c r="U63" s="21">
        <f>MIN(100,پارامترها!$B$9/1000000/I63*100)</f>
        <v>7.2130556306915521</v>
      </c>
      <c r="V63" s="19">
        <f>MAX(0,I63-پارامترها!$B$9/1000000)</f>
        <v>25727.5</v>
      </c>
      <c r="W63" s="21">
        <f>V63/(G63*پارامترها!$B$7)</f>
        <v>58.325412446473656</v>
      </c>
      <c r="X63" s="21">
        <f>پارامترها!$B$12/1000000/(G63/12)*100</f>
        <v>32.870088538153944</v>
      </c>
      <c r="Y63" s="21">
        <f>ROUND(50*MIN(1,3/K63)+50*MIN(1,30/P63),1)</f>
        <v>32.1</v>
      </c>
      <c r="Z63" s="3">
        <f t="shared" si="2"/>
        <v>58</v>
      </c>
      <c r="AA63" s="19">
        <v>86</v>
      </c>
      <c r="AB63" s="19">
        <v>90</v>
      </c>
      <c r="AC63" s="3" t="s">
        <v>83</v>
      </c>
      <c r="AD63" s="3" t="s">
        <v>93</v>
      </c>
      <c r="AE63" s="3" t="s">
        <v>170</v>
      </c>
      <c r="AF63" s="23" t="s">
        <v>85</v>
      </c>
    </row>
    <row r="64" spans="1:32" ht="16.5" x14ac:dyDescent="0.3">
      <c r="A64" s="3">
        <v>63</v>
      </c>
      <c r="B64" s="3">
        <v>4</v>
      </c>
      <c r="C64" s="3" t="s">
        <v>171</v>
      </c>
      <c r="D64" s="19">
        <v>29497</v>
      </c>
      <c r="E64" s="19">
        <f>ROUND(D64/INDEX(مناطق!$D$2:$D$23,B64),0)</f>
        <v>9767</v>
      </c>
      <c r="F64" s="20">
        <v>1.4763999999999999</v>
      </c>
      <c r="G64" s="19">
        <f>پارامترها!$B$5*F64/1000000</f>
        <v>1437.05394</v>
      </c>
      <c r="H64" s="21">
        <v>361.6</v>
      </c>
      <c r="I64" s="19">
        <f>H64*پارامترها!$B$6</f>
        <v>27120</v>
      </c>
      <c r="J64" s="22">
        <v>120</v>
      </c>
      <c r="K64" s="21">
        <f t="shared" si="0"/>
        <v>18.871942969656377</v>
      </c>
      <c r="L64" s="21">
        <f>I64/(پارامترها!$B$5/1000000)</f>
        <v>27.862536600400674</v>
      </c>
      <c r="M64" s="21">
        <f>K64/پارامترها!$B$7</f>
        <v>62.90647656552126</v>
      </c>
      <c r="N64" s="21">
        <v>33.22</v>
      </c>
      <c r="O64" s="21">
        <f>N64*پارامترها!$B$6*پارامترها!$B$16</f>
        <v>74.74499999999999</v>
      </c>
      <c r="P64" s="21">
        <f>O64*12/G64*100</f>
        <v>62.415193684379012</v>
      </c>
      <c r="Q64" s="21">
        <f>O64*12/(پارامترها!$B$5/1000000)*100</f>
        <v>92.149791955617161</v>
      </c>
      <c r="R64" s="3" t="str">
        <f t="shared" si="1"/>
        <v>فشار شدید</v>
      </c>
      <c r="S64" s="21">
        <f>(1-NORMSDIST((LN(O64*12*1000000/پارامترها!$B$8)-پارامترها!$B$15)/پارامترها!$B$14))*100</f>
        <v>5.5771908458677411</v>
      </c>
      <c r="T64" s="21">
        <f>(1-NORMSDIST((LN(I64*1000000/5)-پارامترها!$B$15)/پارامترها!$B$14))*100</f>
        <v>1.5543773527293858</v>
      </c>
      <c r="U64" s="21">
        <f>MIN(100,پارامترها!$B$9/1000000/I64*100)</f>
        <v>7.3746312684365778</v>
      </c>
      <c r="V64" s="19">
        <f>MAX(0,I64-پارامترها!$B$9/1000000)</f>
        <v>25120</v>
      </c>
      <c r="W64" s="21">
        <f>V64/(G64*پارامترها!$B$7)</f>
        <v>58.267355874848604</v>
      </c>
      <c r="X64" s="21">
        <f>پارامترها!$B$12/1000000/(G64/12)*100</f>
        <v>33.6315061946189</v>
      </c>
      <c r="Y64" s="21">
        <f>ROUND(50*MIN(1,3/K64)+50*MIN(1,30/P64),1)</f>
        <v>32</v>
      </c>
      <c r="Z64" s="3">
        <f t="shared" si="2"/>
        <v>63</v>
      </c>
      <c r="AA64" s="19">
        <v>89</v>
      </c>
      <c r="AB64" s="19">
        <v>87</v>
      </c>
      <c r="AC64" s="3" t="s">
        <v>83</v>
      </c>
      <c r="AD64" s="3" t="s">
        <v>93</v>
      </c>
      <c r="AE64" s="3" t="s">
        <v>172</v>
      </c>
      <c r="AF64" s="23" t="s">
        <v>85</v>
      </c>
    </row>
    <row r="65" spans="1:32" ht="16.5" x14ac:dyDescent="0.3">
      <c r="A65" s="3">
        <v>64</v>
      </c>
      <c r="B65" s="3">
        <v>4</v>
      </c>
      <c r="C65" s="3" t="s">
        <v>173</v>
      </c>
      <c r="D65" s="19">
        <v>25723</v>
      </c>
      <c r="E65" s="19">
        <f>ROUND(D65/INDEX(مناطق!$D$2:$D$23,B65),0)</f>
        <v>8518</v>
      </c>
      <c r="F65" s="20">
        <v>1.3032999999999999</v>
      </c>
      <c r="G65" s="19">
        <f>پارامترها!$B$5*F65/1000000</f>
        <v>1268.567055</v>
      </c>
      <c r="H65" s="21">
        <v>320.60000000000002</v>
      </c>
      <c r="I65" s="19">
        <f>H65*پارامترها!$B$6</f>
        <v>24045</v>
      </c>
      <c r="J65" s="22">
        <v>103.75</v>
      </c>
      <c r="K65" s="21">
        <f t="shared" si="0"/>
        <v>18.954457239944642</v>
      </c>
      <c r="L65" s="21">
        <f>I65/(پارامترها!$B$5/1000000)</f>
        <v>24.703344120819846</v>
      </c>
      <c r="M65" s="21">
        <f>K65/پارامترها!$B$7</f>
        <v>63.181524133148805</v>
      </c>
      <c r="N65" s="21">
        <v>28.08</v>
      </c>
      <c r="O65" s="21">
        <f>N65*پارامترها!$B$6*پارامترها!$B$16</f>
        <v>63.18</v>
      </c>
      <c r="P65" s="21">
        <f>O65*12/G65*100</f>
        <v>59.765070913023202</v>
      </c>
      <c r="Q65" s="21">
        <f>O65*12/(پارامترها!$B$5/1000000)*100</f>
        <v>77.891816920943128</v>
      </c>
      <c r="R65" s="3" t="str">
        <f t="shared" si="1"/>
        <v>فشار شدید</v>
      </c>
      <c r="S65" s="21">
        <f>(1-NORMSDIST((LN(O65*12*1000000/پارامترها!$B$8)-پارامترها!$B$15)/پارامترها!$B$14))*100</f>
        <v>7.6080833661771425</v>
      </c>
      <c r="T65" s="21">
        <f>(1-NORMSDIST((LN(I65*1000000/5)-پارامترها!$B$15)/پارامترها!$B$14))*100</f>
        <v>2.058255716351165</v>
      </c>
      <c r="U65" s="21">
        <f>MIN(100,پارامترها!$B$9/1000000/I65*100)</f>
        <v>8.3177375753794962</v>
      </c>
      <c r="V65" s="19">
        <f>MAX(0,I65-پارامترها!$B$9/1000000)</f>
        <v>22045</v>
      </c>
      <c r="W65" s="21">
        <f>V65/(G65*پارامترها!$B$7)</f>
        <v>57.926250759628417</v>
      </c>
      <c r="X65" s="21">
        <f>پارامترها!$B$12/1000000/(G65/12)*100</f>
        <v>38.098331731554786</v>
      </c>
      <c r="Y65" s="21">
        <f>ROUND(50*MIN(1,3/K65)+50*MIN(1,30/P65),1)</f>
        <v>33</v>
      </c>
      <c r="Z65" s="3">
        <f t="shared" si="2"/>
        <v>32</v>
      </c>
      <c r="AA65" s="19">
        <v>118</v>
      </c>
      <c r="AB65" s="19">
        <v>103</v>
      </c>
      <c r="AC65" s="3" t="s">
        <v>83</v>
      </c>
      <c r="AD65" s="3" t="s">
        <v>93</v>
      </c>
      <c r="AE65" s="3" t="s">
        <v>174</v>
      </c>
      <c r="AF65" s="23" t="s">
        <v>85</v>
      </c>
    </row>
    <row r="66" spans="1:32" x14ac:dyDescent="0.2">
      <c r="A66" s="3">
        <v>65</v>
      </c>
      <c r="B66" s="3">
        <v>4</v>
      </c>
      <c r="C66" s="3" t="s">
        <v>175</v>
      </c>
      <c r="D66" s="19">
        <v>124634</v>
      </c>
      <c r="E66" s="19">
        <f>ROUND(D66/INDEX(مناطق!$D$2:$D$23,B66),0)</f>
        <v>41270</v>
      </c>
      <c r="F66" s="20">
        <v>1.1617999999999999</v>
      </c>
      <c r="G66" s="19">
        <f>پارامترها!$B$5*F66/1000000</f>
        <v>1130.8380299999999</v>
      </c>
      <c r="H66" s="21">
        <v>286.8</v>
      </c>
      <c r="I66" s="19">
        <f>H66*پارامترها!$B$6</f>
        <v>21510</v>
      </c>
      <c r="J66" s="22">
        <v>95</v>
      </c>
      <c r="K66" s="21">
        <f t="shared" ref="K66:K129" si="3">I66/G66</f>
        <v>19.021291669860098</v>
      </c>
      <c r="L66" s="21">
        <f>I66/(پارامترها!$B$5/1000000)</f>
        <v>22.098936662043457</v>
      </c>
      <c r="M66" s="21">
        <f>K66/پارامترها!$B$7</f>
        <v>63.404305566200328</v>
      </c>
      <c r="N66" s="21">
        <v>27.43</v>
      </c>
      <c r="O66" s="21">
        <f>N66*پارامترها!$B$6*پارامترها!$B$16</f>
        <v>61.717500000000001</v>
      </c>
      <c r="P66" s="21">
        <f>O66*12/G66*100</f>
        <v>65.492137720200304</v>
      </c>
      <c r="Q66" s="21">
        <f>O66*12/(پارامترها!$B$5/1000000)*100</f>
        <v>76.088765603328696</v>
      </c>
      <c r="R66" s="3" t="str">
        <f t="shared" ref="R66:R129" si="4">IF(P66&lt;=30,"قابل استطاعت",IF(P66&lt;=50,"زیر فشار","فشار شدید"))</f>
        <v>فشار شدید</v>
      </c>
      <c r="S66" s="21">
        <f>(1-NORMSDIST((LN(O66*12*1000000/پارامترها!$B$8)-پارامترها!$B$15)/پارامترها!$B$14))*100</f>
        <v>7.9308960446964116</v>
      </c>
      <c r="T66" s="21">
        <f>(1-NORMSDIST((LN(I66*1000000/5)-پارامترها!$B$15)/پارامترها!$B$14))*100</f>
        <v>2.6418755199160815</v>
      </c>
      <c r="U66" s="21">
        <f>MIN(100,پارامترها!$B$9/1000000/I66*100)</f>
        <v>9.298000929800093</v>
      </c>
      <c r="V66" s="19">
        <f>MAX(0,I66-پارامترها!$B$9/1000000)</f>
        <v>19510</v>
      </c>
      <c r="W66" s="21">
        <f>V66/(G66*پارامترها!$B$7)</f>
        <v>57.508972645121723</v>
      </c>
      <c r="X66" s="21">
        <f>پارامترها!$B$12/1000000/(G66/12)*100</f>
        <v>42.738471118725556</v>
      </c>
      <c r="Y66" s="21">
        <f>ROUND(50*MIN(1,3/K66)+50*MIN(1,30/P66),1)</f>
        <v>30.8</v>
      </c>
      <c r="Z66" s="3">
        <f t="shared" ref="Z66:Z129" si="5">RANK(Y66,$Y$2:$Y$350,0)</f>
        <v>113</v>
      </c>
      <c r="AA66" s="19">
        <v>89</v>
      </c>
      <c r="AB66" s="19">
        <v>88</v>
      </c>
      <c r="AC66" s="3" t="s">
        <v>83</v>
      </c>
      <c r="AD66" s="3" t="s">
        <v>84</v>
      </c>
      <c r="AE66" s="3" t="s">
        <v>175</v>
      </c>
      <c r="AF66" s="23" t="s">
        <v>85</v>
      </c>
    </row>
    <row r="67" spans="1:32" x14ac:dyDescent="0.2">
      <c r="A67" s="3">
        <v>66</v>
      </c>
      <c r="B67" s="3">
        <v>4</v>
      </c>
      <c r="C67" s="3" t="s">
        <v>176</v>
      </c>
      <c r="D67" s="19">
        <v>24138</v>
      </c>
      <c r="E67" s="19">
        <f>ROUND(D67/INDEX(مناطق!$D$2:$D$23,B67),0)</f>
        <v>7993</v>
      </c>
      <c r="F67" s="20">
        <v>1.1597</v>
      </c>
      <c r="G67" s="19">
        <f>پارامترها!$B$5*F67/1000000</f>
        <v>1128.793995</v>
      </c>
      <c r="H67" s="21">
        <v>286.3</v>
      </c>
      <c r="I67" s="19">
        <f>H67*پارامترها!$B$6</f>
        <v>21472.5</v>
      </c>
      <c r="J67" s="22">
        <v>90</v>
      </c>
      <c r="K67" s="21">
        <f t="shared" si="3"/>
        <v>19.022514378276792</v>
      </c>
      <c r="L67" s="21">
        <f>I67/(پارامترها!$B$5/1000000)</f>
        <v>22.06040992448759</v>
      </c>
      <c r="M67" s="21">
        <f>K67/پارامترها!$B$7</f>
        <v>63.408381260922646</v>
      </c>
      <c r="N67" s="21">
        <v>26.31</v>
      </c>
      <c r="O67" s="21">
        <f>N67*پارامترها!$B$6*پارامترها!$B$16</f>
        <v>59.197499999999998</v>
      </c>
      <c r="P67" s="21">
        <f>O67*12/G67*100</f>
        <v>62.931766393743082</v>
      </c>
      <c r="Q67" s="21">
        <f>O67*12/(پارامترها!$B$5/1000000)*100</f>
        <v>72.981969486823857</v>
      </c>
      <c r="R67" s="3" t="str">
        <f t="shared" si="4"/>
        <v>فشار شدید</v>
      </c>
      <c r="S67" s="21">
        <f>(1-NORMSDIST((LN(O67*12*1000000/پارامترها!$B$8)-پارامترها!$B$15)/پارامترها!$B$14))*100</f>
        <v>8.5309990457720701</v>
      </c>
      <c r="T67" s="21">
        <f>(1-NORMSDIST((LN(I67*1000000/5)-پارامترها!$B$15)/پارامترها!$B$14))*100</f>
        <v>2.6520167425167052</v>
      </c>
      <c r="U67" s="21">
        <f>MIN(100,پارامترها!$B$9/1000000/I67*100)</f>
        <v>9.3142391430899991</v>
      </c>
      <c r="V67" s="19">
        <f>MAX(0,I67-پارامترها!$B$9/1000000)</f>
        <v>19472.5</v>
      </c>
      <c r="W67" s="21">
        <f>V67/(G67*پارامترها!$B$7)</f>
        <v>57.502372993518037</v>
      </c>
      <c r="X67" s="21">
        <f>پارامترها!$B$12/1000000/(G67/12)*100</f>
        <v>42.815862503867677</v>
      </c>
      <c r="Y67" s="21">
        <f>ROUND(50*MIN(1,3/K67)+50*MIN(1,30/P67),1)</f>
        <v>31.7</v>
      </c>
      <c r="Z67" s="3">
        <f t="shared" si="5"/>
        <v>78</v>
      </c>
      <c r="AA67" s="19">
        <v>77</v>
      </c>
      <c r="AB67" s="19">
        <v>60</v>
      </c>
      <c r="AC67" s="3" t="s">
        <v>83</v>
      </c>
      <c r="AD67" s="3" t="s">
        <v>84</v>
      </c>
      <c r="AE67" s="3" t="s">
        <v>177</v>
      </c>
      <c r="AF67" s="23" t="s">
        <v>85</v>
      </c>
    </row>
    <row r="68" spans="1:32" ht="16.5" x14ac:dyDescent="0.3">
      <c r="A68" s="3">
        <v>67</v>
      </c>
      <c r="B68" s="3">
        <v>4</v>
      </c>
      <c r="C68" s="3" t="s">
        <v>178</v>
      </c>
      <c r="D68" s="19">
        <v>29784</v>
      </c>
      <c r="E68" s="19">
        <f>ROUND(D68/INDEX(مناطق!$D$2:$D$23,B68),0)</f>
        <v>9862</v>
      </c>
      <c r="F68" s="20">
        <v>1.0932999999999999</v>
      </c>
      <c r="G68" s="19">
        <f>پارامترها!$B$5*F68/1000000</f>
        <v>1064.1635550000001</v>
      </c>
      <c r="H68" s="21">
        <v>270.5</v>
      </c>
      <c r="I68" s="19">
        <f>H68*پارامترها!$B$6</f>
        <v>20287.5</v>
      </c>
      <c r="J68" s="22">
        <v>81</v>
      </c>
      <c r="K68" s="21">
        <f t="shared" si="3"/>
        <v>19.064268743915026</v>
      </c>
      <c r="L68" s="21">
        <f>I68/(پارامترها!$B$5/1000000)</f>
        <v>20.842965017722296</v>
      </c>
      <c r="M68" s="21">
        <f>K68/پارامترها!$B$7</f>
        <v>63.547562479716753</v>
      </c>
      <c r="N68" s="21">
        <v>23.36</v>
      </c>
      <c r="O68" s="21">
        <f>N68*پارامترها!$B$6*پارامترها!$B$16</f>
        <v>52.559999999999995</v>
      </c>
      <c r="P68" s="21">
        <f>O68*12/G68*100</f>
        <v>59.269084816572196</v>
      </c>
      <c r="Q68" s="21">
        <f>O68*12/(پارامترها!$B$5/1000000)*100</f>
        <v>64.798890429958377</v>
      </c>
      <c r="R68" s="3" t="str">
        <f t="shared" si="4"/>
        <v>فشار شدید</v>
      </c>
      <c r="S68" s="21">
        <f>(1-NORMSDIST((LN(O68*12*1000000/پارامترها!$B$8)-پارامترها!$B$15)/پارامترها!$B$14))*100</f>
        <v>10.429105929382921</v>
      </c>
      <c r="T68" s="21">
        <f>(1-NORMSDIST((LN(I68*1000000/5)-پارامترها!$B$15)/پارامترها!$B$14))*100</f>
        <v>3.0001206595205554</v>
      </c>
      <c r="U68" s="21">
        <f>MIN(100,پارامترها!$B$9/1000000/I68*100)</f>
        <v>9.8582871226124453</v>
      </c>
      <c r="V68" s="19">
        <f>MAX(0,I68-پارامترها!$B$9/1000000)</f>
        <v>18287.5</v>
      </c>
      <c r="W68" s="21">
        <f>V68/(G68*پارامترها!$B$7)</f>
        <v>57.282861311044741</v>
      </c>
      <c r="X68" s="21">
        <f>پارامترها!$B$12/1000000/(G68/12)*100</f>
        <v>45.41622221324004</v>
      </c>
      <c r="Y68" s="21">
        <f>ROUND(50*MIN(1,3/K68)+50*MIN(1,30/P68),1)</f>
        <v>33.200000000000003</v>
      </c>
      <c r="Z68" s="3">
        <f t="shared" si="5"/>
        <v>29</v>
      </c>
      <c r="AA68" s="19">
        <v>92</v>
      </c>
      <c r="AB68" s="19">
        <v>81</v>
      </c>
      <c r="AC68" s="3" t="s">
        <v>83</v>
      </c>
      <c r="AD68" s="3" t="s">
        <v>93</v>
      </c>
      <c r="AE68" s="3" t="s">
        <v>179</v>
      </c>
      <c r="AF68" s="23" t="s">
        <v>85</v>
      </c>
    </row>
    <row r="69" spans="1:32" ht="16.5" x14ac:dyDescent="0.3">
      <c r="A69" s="3">
        <v>68</v>
      </c>
      <c r="B69" s="3">
        <v>4</v>
      </c>
      <c r="C69" s="3" t="s">
        <v>180</v>
      </c>
      <c r="D69" s="19">
        <v>68003</v>
      </c>
      <c r="E69" s="19">
        <f>ROUND(D69/INDEX(مناطق!$D$2:$D$23,B69),0)</f>
        <v>22518</v>
      </c>
      <c r="F69" s="20">
        <v>1.0650999999999999</v>
      </c>
      <c r="G69" s="19">
        <f>پارامترها!$B$5*F69/1000000</f>
        <v>1036.715085</v>
      </c>
      <c r="H69" s="21">
        <v>263.7</v>
      </c>
      <c r="I69" s="19">
        <f>H69*پارامترها!$B$6</f>
        <v>19777.5</v>
      </c>
      <c r="J69" s="22">
        <v>75.25</v>
      </c>
      <c r="K69" s="21">
        <f t="shared" si="3"/>
        <v>19.077083266324806</v>
      </c>
      <c r="L69" s="21">
        <f>I69/(پارامترها!$B$5/1000000)</f>
        <v>20.319001386962547</v>
      </c>
      <c r="M69" s="21">
        <f>K69/پارامترها!$B$7</f>
        <v>63.590277554416019</v>
      </c>
      <c r="N69" s="21">
        <v>25.45</v>
      </c>
      <c r="O69" s="21">
        <f>N69*پارامترها!$B$6*پارامترها!$B$16</f>
        <v>57.262499999999996</v>
      </c>
      <c r="P69" s="21">
        <f>O69*12/G69*100</f>
        <v>66.281470188118263</v>
      </c>
      <c r="Q69" s="21">
        <f>O69*12/(پارامترها!$B$5/1000000)*100</f>
        <v>70.596393897364763</v>
      </c>
      <c r="R69" s="3" t="str">
        <f t="shared" si="4"/>
        <v>فشار شدید</v>
      </c>
      <c r="S69" s="21">
        <f>(1-NORMSDIST((LN(O69*12*1000000/پارامترها!$B$8)-پارامترها!$B$15)/پارامترها!$B$14))*100</f>
        <v>9.0332713553415207</v>
      </c>
      <c r="T69" s="21">
        <f>(1-NORMSDIST((LN(I69*1000000/5)-پارامترها!$B$15)/پارامترها!$B$14))*100</f>
        <v>3.1681220312138936</v>
      </c>
      <c r="U69" s="21">
        <f>MIN(100,پارامترها!$B$9/1000000/I69*100)</f>
        <v>10.112501580078371</v>
      </c>
      <c r="V69" s="19">
        <f>MAX(0,I69-پارامترها!$B$9/1000000)</f>
        <v>17777.5</v>
      </c>
      <c r="W69" s="21">
        <f>V69/(G69*پارامترها!$B$7)</f>
        <v>57.159709731949484</v>
      </c>
      <c r="X69" s="21">
        <f>پارامترها!$B$12/1000000/(G69/12)*100</f>
        <v>46.618679697432484</v>
      </c>
      <c r="Y69" s="21">
        <f>ROUND(50*MIN(1,3/K69)+50*MIN(1,30/P69),1)</f>
        <v>30.5</v>
      </c>
      <c r="Z69" s="3">
        <f t="shared" si="5"/>
        <v>128</v>
      </c>
      <c r="AA69" s="19">
        <v>176</v>
      </c>
      <c r="AB69" s="19">
        <v>176</v>
      </c>
      <c r="AC69" s="3" t="s">
        <v>83</v>
      </c>
      <c r="AD69" s="3" t="s">
        <v>93</v>
      </c>
      <c r="AE69" s="3" t="s">
        <v>181</v>
      </c>
      <c r="AF69" s="23" t="s">
        <v>85</v>
      </c>
    </row>
    <row r="70" spans="1:32" x14ac:dyDescent="0.2">
      <c r="A70" s="3">
        <v>69</v>
      </c>
      <c r="B70" s="3">
        <v>4</v>
      </c>
      <c r="C70" s="3" t="s">
        <v>182</v>
      </c>
      <c r="D70" s="19">
        <v>51698</v>
      </c>
      <c r="E70" s="19">
        <f>ROUND(D70/INDEX(مناطق!$D$2:$D$23,B70),0)</f>
        <v>17119</v>
      </c>
      <c r="F70" s="20">
        <v>1.0494000000000001</v>
      </c>
      <c r="G70" s="19">
        <f>پارامترها!$B$5*F70/1000000</f>
        <v>1021.4334900000002</v>
      </c>
      <c r="H70" s="21">
        <v>260</v>
      </c>
      <c r="I70" s="19">
        <f>H70*پارامترها!$B$6</f>
        <v>19500</v>
      </c>
      <c r="J70" s="22">
        <v>95</v>
      </c>
      <c r="K70" s="21">
        <f t="shared" si="3"/>
        <v>19.090817161281834</v>
      </c>
      <c r="L70" s="21">
        <f>I70/(پارامترها!$B$5/1000000)</f>
        <v>20.033903529049159</v>
      </c>
      <c r="M70" s="21">
        <f>K70/پارامترها!$B$7</f>
        <v>63.636057204272781</v>
      </c>
      <c r="N70" s="21">
        <v>21.4</v>
      </c>
      <c r="O70" s="21">
        <f>N70*پارامترها!$B$6*پارامترها!$B$16</f>
        <v>48.15</v>
      </c>
      <c r="P70" s="21">
        <f>O70*12/G70*100</f>
        <v>56.567559773275086</v>
      </c>
      <c r="Q70" s="21">
        <f>O70*12/(پارامترها!$B$5/1000000)*100</f>
        <v>59.361997226074884</v>
      </c>
      <c r="R70" s="3" t="str">
        <f t="shared" si="4"/>
        <v>فشار شدید</v>
      </c>
      <c r="S70" s="21">
        <f>(1-NORMSDIST((LN(O70*12*1000000/پارامترها!$B$8)-پارامترها!$B$15)/پارامترها!$B$14))*100</f>
        <v>12.011821869869143</v>
      </c>
      <c r="T70" s="21">
        <f>(1-NORMSDIST((LN(I70*1000000/5)-پارامترها!$B$15)/پارامترها!$B$14))*100</f>
        <v>3.2646705808327958</v>
      </c>
      <c r="U70" s="21">
        <f>MIN(100,پارامترها!$B$9/1000000/I70*100)</f>
        <v>10.256410256410255</v>
      </c>
      <c r="V70" s="19">
        <f>MAX(0,I70-پارامترها!$B$9/1000000)</f>
        <v>17500</v>
      </c>
      <c r="W70" s="21">
        <f>V70/(G70*پارامترها!$B$7)</f>
        <v>57.109282106398645</v>
      </c>
      <c r="X70" s="21">
        <f>پارامترها!$B$12/1000000/(G70/12)*100</f>
        <v>47.316138503654784</v>
      </c>
      <c r="Y70" s="21">
        <f>ROUND(50*MIN(1,3/K70)+50*MIN(1,30/P70),1)</f>
        <v>34.4</v>
      </c>
      <c r="Z70" s="3">
        <f t="shared" si="5"/>
        <v>20</v>
      </c>
      <c r="AA70" s="19">
        <v>81</v>
      </c>
      <c r="AB70" s="19">
        <v>77</v>
      </c>
      <c r="AC70" s="3" t="s">
        <v>83</v>
      </c>
      <c r="AD70" s="3" t="s">
        <v>84</v>
      </c>
      <c r="AE70" s="3" t="s">
        <v>182</v>
      </c>
      <c r="AF70" s="23" t="s">
        <v>85</v>
      </c>
    </row>
    <row r="71" spans="1:32" ht="16.5" x14ac:dyDescent="0.3">
      <c r="A71" s="3">
        <v>70</v>
      </c>
      <c r="B71" s="3">
        <v>4</v>
      </c>
      <c r="C71" s="3" t="s">
        <v>183</v>
      </c>
      <c r="D71" s="19">
        <v>57312</v>
      </c>
      <c r="E71" s="19">
        <f>ROUND(D71/INDEX(مناطق!$D$2:$D$23,B71),0)</f>
        <v>18978</v>
      </c>
      <c r="F71" s="20">
        <v>0.99270000000000003</v>
      </c>
      <c r="G71" s="19">
        <f>پارامترها!$B$5*F71/1000000</f>
        <v>966.24454500000013</v>
      </c>
      <c r="H71" s="21">
        <v>246.4</v>
      </c>
      <c r="I71" s="19">
        <f>H71*پارامترها!$B$6</f>
        <v>18480</v>
      </c>
      <c r="J71" s="22"/>
      <c r="K71" s="21">
        <f t="shared" si="3"/>
        <v>19.125593097138776</v>
      </c>
      <c r="L71" s="21">
        <f>I71/(پارامترها!$B$5/1000000)</f>
        <v>18.985976267529661</v>
      </c>
      <c r="M71" s="21">
        <f>K71/پارامترها!$B$7</f>
        <v>63.751976990462587</v>
      </c>
      <c r="N71" s="21">
        <v>24.25</v>
      </c>
      <c r="O71" s="21">
        <f>N71*پارامترها!$B$6*پارامترها!$B$16</f>
        <v>54.5625</v>
      </c>
      <c r="P71" s="21">
        <f>O71*12/G71*100</f>
        <v>67.7623489196516</v>
      </c>
      <c r="Q71" s="21">
        <f>O71*12/(پارامترها!$B$5/1000000)*100</f>
        <v>67.267683772538135</v>
      </c>
      <c r="R71" s="3" t="str">
        <f t="shared" si="4"/>
        <v>فشار شدید</v>
      </c>
      <c r="S71" s="21">
        <f>(1-NORMSDIST((LN(O71*12*1000000/پارامترها!$B$8)-پارامترها!$B$15)/پارامترها!$B$14))*100</f>
        <v>9.8019168767889511</v>
      </c>
      <c r="T71" s="21">
        <f>(1-NORMSDIST((LN(I71*1000000/5)-پارامترها!$B$15)/پارامترها!$B$14))*100</f>
        <v>3.6541511193307619</v>
      </c>
      <c r="U71" s="21">
        <f>MIN(100,پارامترها!$B$9/1000000/I71*100)</f>
        <v>10.822510822510822</v>
      </c>
      <c r="V71" s="19">
        <f>MAX(0,I71-پارامترها!$B$9/1000000)</f>
        <v>16480</v>
      </c>
      <c r="W71" s="21">
        <f>V71/(G71*پارامترها!$B$7)</f>
        <v>56.852412381105161</v>
      </c>
      <c r="X71" s="21">
        <f>پارامترها!$B$12/1000000/(G71/12)*100</f>
        <v>50.018692198786482</v>
      </c>
      <c r="Y71" s="21">
        <f>ROUND(50*MIN(1,3/K71)+50*MIN(1,30/P71),1)</f>
        <v>30</v>
      </c>
      <c r="Z71" s="3">
        <f t="shared" si="5"/>
        <v>162</v>
      </c>
      <c r="AA71" s="19">
        <v>0</v>
      </c>
      <c r="AB71" s="19">
        <v>0</v>
      </c>
      <c r="AC71" s="3" t="s">
        <v>103</v>
      </c>
      <c r="AD71" s="3" t="s">
        <v>104</v>
      </c>
      <c r="AE71" s="23" t="s">
        <v>105</v>
      </c>
      <c r="AF71" s="23" t="s">
        <v>106</v>
      </c>
    </row>
    <row r="72" spans="1:32" ht="16.5" x14ac:dyDescent="0.3">
      <c r="A72" s="3">
        <v>71</v>
      </c>
      <c r="B72" s="3">
        <v>4</v>
      </c>
      <c r="C72" s="3" t="s">
        <v>107</v>
      </c>
      <c r="D72" s="19">
        <v>40336</v>
      </c>
      <c r="E72" s="19">
        <f>ROUND(D72/INDEX(مناطق!$D$2:$D$23,B72),0)</f>
        <v>13356</v>
      </c>
      <c r="F72" s="20">
        <v>0.99270000000000003</v>
      </c>
      <c r="G72" s="19">
        <f>پارامترها!$B$5*F72/1000000</f>
        <v>966.24454500000013</v>
      </c>
      <c r="H72" s="21">
        <v>246.4</v>
      </c>
      <c r="I72" s="19">
        <f>H72*پارامترها!$B$6</f>
        <v>18480</v>
      </c>
      <c r="J72" s="22"/>
      <c r="K72" s="21">
        <f t="shared" si="3"/>
        <v>19.125593097138776</v>
      </c>
      <c r="L72" s="21">
        <f>I72/(پارامترها!$B$5/1000000)</f>
        <v>18.985976267529661</v>
      </c>
      <c r="M72" s="21">
        <f>K72/پارامترها!$B$7</f>
        <v>63.751976990462587</v>
      </c>
      <c r="N72" s="21">
        <v>24.25</v>
      </c>
      <c r="O72" s="21">
        <f>N72*پارامترها!$B$6*پارامترها!$B$16</f>
        <v>54.5625</v>
      </c>
      <c r="P72" s="21">
        <f>O72*12/G72*100</f>
        <v>67.7623489196516</v>
      </c>
      <c r="Q72" s="21">
        <f>O72*12/(پارامترها!$B$5/1000000)*100</f>
        <v>67.267683772538135</v>
      </c>
      <c r="R72" s="3" t="str">
        <f t="shared" si="4"/>
        <v>فشار شدید</v>
      </c>
      <c r="S72" s="21">
        <f>(1-NORMSDIST((LN(O72*12*1000000/پارامترها!$B$8)-پارامترها!$B$15)/پارامترها!$B$14))*100</f>
        <v>9.8019168767889511</v>
      </c>
      <c r="T72" s="21">
        <f>(1-NORMSDIST((LN(I72*1000000/5)-پارامترها!$B$15)/پارامترها!$B$14))*100</f>
        <v>3.6541511193307619</v>
      </c>
      <c r="U72" s="21">
        <f>MIN(100,پارامترها!$B$9/1000000/I72*100)</f>
        <v>10.822510822510822</v>
      </c>
      <c r="V72" s="19">
        <f>MAX(0,I72-پارامترها!$B$9/1000000)</f>
        <v>16480</v>
      </c>
      <c r="W72" s="21">
        <f>V72/(G72*پارامترها!$B$7)</f>
        <v>56.852412381105161</v>
      </c>
      <c r="X72" s="21">
        <f>پارامترها!$B$12/1000000/(G72/12)*100</f>
        <v>50.018692198786482</v>
      </c>
      <c r="Y72" s="21">
        <f>ROUND(50*MIN(1,3/K72)+50*MIN(1,30/P72),1)</f>
        <v>30</v>
      </c>
      <c r="Z72" s="3">
        <f t="shared" si="5"/>
        <v>162</v>
      </c>
      <c r="AA72" s="19">
        <v>0</v>
      </c>
      <c r="AB72" s="19">
        <v>0</v>
      </c>
      <c r="AC72" s="3" t="s">
        <v>103</v>
      </c>
      <c r="AD72" s="3" t="s">
        <v>104</v>
      </c>
      <c r="AE72" s="23" t="s">
        <v>105</v>
      </c>
      <c r="AF72" s="23" t="s">
        <v>106</v>
      </c>
    </row>
    <row r="73" spans="1:32" ht="16.5" x14ac:dyDescent="0.3">
      <c r="A73" s="3">
        <v>72</v>
      </c>
      <c r="B73" s="3">
        <v>4</v>
      </c>
      <c r="C73" s="3" t="s">
        <v>184</v>
      </c>
      <c r="D73" s="19">
        <v>30228</v>
      </c>
      <c r="E73" s="19">
        <f>ROUND(D73/INDEX(مناطق!$D$2:$D$23,B73),0)</f>
        <v>10009</v>
      </c>
      <c r="F73" s="20">
        <v>0.99270000000000003</v>
      </c>
      <c r="G73" s="19">
        <f>پارامترها!$B$5*F73/1000000</f>
        <v>966.24454500000013</v>
      </c>
      <c r="H73" s="21">
        <v>246.4</v>
      </c>
      <c r="I73" s="19">
        <f>H73*پارامترها!$B$6</f>
        <v>18480</v>
      </c>
      <c r="J73" s="22"/>
      <c r="K73" s="21">
        <f t="shared" si="3"/>
        <v>19.125593097138776</v>
      </c>
      <c r="L73" s="21">
        <f>I73/(پارامترها!$B$5/1000000)</f>
        <v>18.985976267529661</v>
      </c>
      <c r="M73" s="21">
        <f>K73/پارامترها!$B$7</f>
        <v>63.751976990462587</v>
      </c>
      <c r="N73" s="21">
        <v>24.25</v>
      </c>
      <c r="O73" s="21">
        <f>N73*پارامترها!$B$6*پارامترها!$B$16</f>
        <v>54.5625</v>
      </c>
      <c r="P73" s="21">
        <f>O73*12/G73*100</f>
        <v>67.7623489196516</v>
      </c>
      <c r="Q73" s="21">
        <f>O73*12/(پارامترها!$B$5/1000000)*100</f>
        <v>67.267683772538135</v>
      </c>
      <c r="R73" s="3" t="str">
        <f t="shared" si="4"/>
        <v>فشار شدید</v>
      </c>
      <c r="S73" s="21">
        <f>(1-NORMSDIST((LN(O73*12*1000000/پارامترها!$B$8)-پارامترها!$B$15)/پارامترها!$B$14))*100</f>
        <v>9.8019168767889511</v>
      </c>
      <c r="T73" s="21">
        <f>(1-NORMSDIST((LN(I73*1000000/5)-پارامترها!$B$15)/پارامترها!$B$14))*100</f>
        <v>3.6541511193307619</v>
      </c>
      <c r="U73" s="21">
        <f>MIN(100,پارامترها!$B$9/1000000/I73*100)</f>
        <v>10.822510822510822</v>
      </c>
      <c r="V73" s="19">
        <f>MAX(0,I73-پارامترها!$B$9/1000000)</f>
        <v>16480</v>
      </c>
      <c r="W73" s="21">
        <f>V73/(G73*پارامترها!$B$7)</f>
        <v>56.852412381105161</v>
      </c>
      <c r="X73" s="21">
        <f>پارامترها!$B$12/1000000/(G73/12)*100</f>
        <v>50.018692198786482</v>
      </c>
      <c r="Y73" s="21">
        <f>ROUND(50*MIN(1,3/K73)+50*MIN(1,30/P73),1)</f>
        <v>30</v>
      </c>
      <c r="Z73" s="3">
        <f t="shared" si="5"/>
        <v>162</v>
      </c>
      <c r="AA73" s="19">
        <v>0</v>
      </c>
      <c r="AB73" s="19">
        <v>0</v>
      </c>
      <c r="AC73" s="3" t="s">
        <v>103</v>
      </c>
      <c r="AD73" s="3" t="s">
        <v>104</v>
      </c>
      <c r="AE73" s="23" t="s">
        <v>105</v>
      </c>
      <c r="AF73" s="23" t="s">
        <v>106</v>
      </c>
    </row>
    <row r="74" spans="1:32" ht="16.5" x14ac:dyDescent="0.3">
      <c r="A74" s="3">
        <v>73</v>
      </c>
      <c r="B74" s="3">
        <v>4</v>
      </c>
      <c r="C74" s="3" t="s">
        <v>185</v>
      </c>
      <c r="D74" s="19">
        <v>21603</v>
      </c>
      <c r="E74" s="19">
        <f>ROUND(D74/INDEX(مناطق!$D$2:$D$23,B74),0)</f>
        <v>7153</v>
      </c>
      <c r="F74" s="20">
        <v>0.99270000000000003</v>
      </c>
      <c r="G74" s="19">
        <f>پارامترها!$B$5*F74/1000000</f>
        <v>966.24454500000013</v>
      </c>
      <c r="H74" s="21">
        <v>246.4</v>
      </c>
      <c r="I74" s="19">
        <f>H74*پارامترها!$B$6</f>
        <v>18480</v>
      </c>
      <c r="J74" s="22"/>
      <c r="K74" s="21">
        <f t="shared" si="3"/>
        <v>19.125593097138776</v>
      </c>
      <c r="L74" s="21">
        <f>I74/(پارامترها!$B$5/1000000)</f>
        <v>18.985976267529661</v>
      </c>
      <c r="M74" s="21">
        <f>K74/پارامترها!$B$7</f>
        <v>63.751976990462587</v>
      </c>
      <c r="N74" s="21">
        <v>24.25</v>
      </c>
      <c r="O74" s="21">
        <f>N74*پارامترها!$B$6*پارامترها!$B$16</f>
        <v>54.5625</v>
      </c>
      <c r="P74" s="21">
        <f>O74*12/G74*100</f>
        <v>67.7623489196516</v>
      </c>
      <c r="Q74" s="21">
        <f>O74*12/(پارامترها!$B$5/1000000)*100</f>
        <v>67.267683772538135</v>
      </c>
      <c r="R74" s="3" t="str">
        <f t="shared" si="4"/>
        <v>فشار شدید</v>
      </c>
      <c r="S74" s="21">
        <f>(1-NORMSDIST((LN(O74*12*1000000/پارامترها!$B$8)-پارامترها!$B$15)/پارامترها!$B$14))*100</f>
        <v>9.8019168767889511</v>
      </c>
      <c r="T74" s="21">
        <f>(1-NORMSDIST((LN(I74*1000000/5)-پارامترها!$B$15)/پارامترها!$B$14))*100</f>
        <v>3.6541511193307619</v>
      </c>
      <c r="U74" s="21">
        <f>MIN(100,پارامترها!$B$9/1000000/I74*100)</f>
        <v>10.822510822510822</v>
      </c>
      <c r="V74" s="19">
        <f>MAX(0,I74-پارامترها!$B$9/1000000)</f>
        <v>16480</v>
      </c>
      <c r="W74" s="21">
        <f>V74/(G74*پارامترها!$B$7)</f>
        <v>56.852412381105161</v>
      </c>
      <c r="X74" s="21">
        <f>پارامترها!$B$12/1000000/(G74/12)*100</f>
        <v>50.018692198786482</v>
      </c>
      <c r="Y74" s="21">
        <f>ROUND(50*MIN(1,3/K74)+50*MIN(1,30/P74),1)</f>
        <v>30</v>
      </c>
      <c r="Z74" s="3">
        <f t="shared" si="5"/>
        <v>162</v>
      </c>
      <c r="AA74" s="19">
        <v>0</v>
      </c>
      <c r="AB74" s="19">
        <v>0</v>
      </c>
      <c r="AC74" s="3" t="s">
        <v>103</v>
      </c>
      <c r="AD74" s="3" t="s">
        <v>104</v>
      </c>
      <c r="AE74" s="23" t="s">
        <v>105</v>
      </c>
      <c r="AF74" s="23" t="s">
        <v>106</v>
      </c>
    </row>
    <row r="75" spans="1:32" x14ac:dyDescent="0.2">
      <c r="A75" s="3">
        <v>74</v>
      </c>
      <c r="B75" s="3">
        <v>4</v>
      </c>
      <c r="C75" s="3" t="s">
        <v>186</v>
      </c>
      <c r="D75" s="19">
        <v>46880</v>
      </c>
      <c r="E75" s="19">
        <f>ROUND(D75/INDEX(مناطق!$D$2:$D$23,B75),0)</f>
        <v>15523</v>
      </c>
      <c r="F75" s="20">
        <v>0.97240000000000004</v>
      </c>
      <c r="G75" s="19">
        <f>پارامترها!$B$5*F75/1000000</f>
        <v>946.48554000000013</v>
      </c>
      <c r="H75" s="21">
        <v>241.5</v>
      </c>
      <c r="I75" s="19">
        <f>H75*پارامترها!$B$6</f>
        <v>18112.5</v>
      </c>
      <c r="J75" s="22">
        <v>85</v>
      </c>
      <c r="K75" s="21">
        <f t="shared" si="3"/>
        <v>19.136583956686753</v>
      </c>
      <c r="L75" s="21">
        <f>I75/(پارامترها!$B$5/1000000)</f>
        <v>18.608414239482197</v>
      </c>
      <c r="M75" s="21">
        <f>K75/پارامترها!$B$7</f>
        <v>63.788613188955843</v>
      </c>
      <c r="N75" s="21">
        <v>22.28</v>
      </c>
      <c r="O75" s="21">
        <f>N75*پارامترها!$B$6*پارامترها!$B$16</f>
        <v>50.129999999999995</v>
      </c>
      <c r="P75" s="21">
        <f>O75*12/G75*100</f>
        <v>63.557230890183469</v>
      </c>
      <c r="Q75" s="21">
        <f>O75*12/(پارامترها!$B$5/1000000)*100</f>
        <v>61.803051317614411</v>
      </c>
      <c r="R75" s="3" t="str">
        <f t="shared" si="4"/>
        <v>فشار شدید</v>
      </c>
      <c r="S75" s="21">
        <f>(1-NORMSDIST((LN(O75*12*1000000/پارامترها!$B$8)-پارامترها!$B$15)/پارامترها!$B$14))*100</f>
        <v>11.264154045508889</v>
      </c>
      <c r="T75" s="21">
        <f>(1-NORMSDIST((LN(I75*1000000/5)-پارامترها!$B$15)/پارامترها!$B$14))*100</f>
        <v>3.809202975896897</v>
      </c>
      <c r="U75" s="21">
        <f>MIN(100,پارامترها!$B$9/1000000/I75*100)</f>
        <v>11.042097998619738</v>
      </c>
      <c r="V75" s="19">
        <f>MAX(0,I75-پارامترها!$B$9/1000000)</f>
        <v>16112.5</v>
      </c>
      <c r="W75" s="21">
        <f>V75/(G75*پارامترها!$B$7)</f>
        <v>56.745012008670862</v>
      </c>
      <c r="X75" s="21">
        <f>پارامترها!$B$12/1000000/(G75/12)*100</f>
        <v>51.062891552586734</v>
      </c>
      <c r="Y75" s="21">
        <f>ROUND(50*MIN(1,3/K75)+50*MIN(1,30/P75),1)</f>
        <v>31.4</v>
      </c>
      <c r="Z75" s="3">
        <f t="shared" si="5"/>
        <v>88</v>
      </c>
      <c r="AA75" s="19">
        <v>87</v>
      </c>
      <c r="AB75" s="19">
        <v>75</v>
      </c>
      <c r="AC75" s="3" t="s">
        <v>83</v>
      </c>
      <c r="AD75" s="3" t="s">
        <v>84</v>
      </c>
      <c r="AE75" s="3" t="s">
        <v>186</v>
      </c>
      <c r="AF75" s="23" t="s">
        <v>85</v>
      </c>
    </row>
    <row r="76" spans="1:32" x14ac:dyDescent="0.2">
      <c r="A76" s="3">
        <v>75</v>
      </c>
      <c r="B76" s="3">
        <v>4</v>
      </c>
      <c r="C76" s="3" t="s">
        <v>187</v>
      </c>
      <c r="D76" s="19">
        <v>32569</v>
      </c>
      <c r="E76" s="19">
        <f>ROUND(D76/INDEX(مناطق!$D$2:$D$23,B76),0)</f>
        <v>10784</v>
      </c>
      <c r="F76" s="20">
        <v>0.94679999999999997</v>
      </c>
      <c r="G76" s="19">
        <f>پارامترها!$B$5*F76/1000000</f>
        <v>921.56778000000008</v>
      </c>
      <c r="H76" s="21">
        <v>235.4</v>
      </c>
      <c r="I76" s="19">
        <f>H76*پارامترها!$B$6</f>
        <v>17655</v>
      </c>
      <c r="J76" s="22">
        <v>71</v>
      </c>
      <c r="K76" s="21">
        <f t="shared" si="3"/>
        <v>19.157570808302346</v>
      </c>
      <c r="L76" s="21">
        <f>I76/(پارامترها!$B$5/1000000)</f>
        <v>18.138388041300662</v>
      </c>
      <c r="M76" s="21">
        <f>K76/پارامترها!$B$7</f>
        <v>63.858569361007824</v>
      </c>
      <c r="N76" s="21">
        <v>22.06</v>
      </c>
      <c r="O76" s="21">
        <f>N76*پارامترها!$B$6*پارامترها!$B$16</f>
        <v>49.634999999999998</v>
      </c>
      <c r="P76" s="21">
        <f>O76*12/G76*100</f>
        <v>64.631165816148652</v>
      </c>
      <c r="Q76" s="21">
        <f>O76*12/(پارامترها!$B$5/1000000)*100</f>
        <v>61.192787794729533</v>
      </c>
      <c r="R76" s="3" t="str">
        <f t="shared" si="4"/>
        <v>فشار شدید</v>
      </c>
      <c r="S76" s="21">
        <f>(1-NORMSDIST((LN(O76*12*1000000/پارامترها!$B$8)-پارامترها!$B$15)/پارامترها!$B$14))*100</f>
        <v>11.445105510091269</v>
      </c>
      <c r="T76" s="21">
        <f>(1-NORMSDIST((LN(I76*1000000/5)-پارامترها!$B$15)/پارامترها!$B$14))*100</f>
        <v>4.0144091922229119</v>
      </c>
      <c r="U76" s="21">
        <f>MIN(100,پارامترها!$B$9/1000000/I76*100)</f>
        <v>11.328235627301048</v>
      </c>
      <c r="V76" s="19">
        <f>MAX(0,I76-پارامترها!$B$9/1000000)</f>
        <v>15655</v>
      </c>
      <c r="W76" s="21">
        <f>V76/(G76*پارامترها!$B$7)</f>
        <v>56.624520155569378</v>
      </c>
      <c r="X76" s="21">
        <f>پارامترها!$B$12/1000000/(G76/12)*100</f>
        <v>52.443552752149699</v>
      </c>
      <c r="Y76" s="21">
        <f>ROUND(50*MIN(1,3/K76)+50*MIN(1,30/P76),1)</f>
        <v>31</v>
      </c>
      <c r="Z76" s="3">
        <f t="shared" si="5"/>
        <v>103</v>
      </c>
      <c r="AA76" s="19">
        <v>85</v>
      </c>
      <c r="AB76" s="19">
        <v>79</v>
      </c>
      <c r="AC76" s="3" t="s">
        <v>83</v>
      </c>
      <c r="AD76" s="3" t="s">
        <v>84</v>
      </c>
      <c r="AE76" s="3" t="s">
        <v>188</v>
      </c>
      <c r="AF76" s="23" t="s">
        <v>85</v>
      </c>
    </row>
    <row r="77" spans="1:32" x14ac:dyDescent="0.2">
      <c r="A77" s="3">
        <v>76</v>
      </c>
      <c r="B77" s="3">
        <v>4</v>
      </c>
      <c r="C77" s="3" t="s">
        <v>189</v>
      </c>
      <c r="D77" s="19">
        <v>49864</v>
      </c>
      <c r="E77" s="19">
        <f>ROUND(D77/INDEX(مناطق!$D$2:$D$23,B77),0)</f>
        <v>16511</v>
      </c>
      <c r="F77" s="20">
        <v>0.87490000000000001</v>
      </c>
      <c r="G77" s="19">
        <f>پارامترها!$B$5*F77/1000000</f>
        <v>851.58391500000016</v>
      </c>
      <c r="H77" s="21">
        <v>218.1</v>
      </c>
      <c r="I77" s="19">
        <f>H77*پارامترها!$B$6</f>
        <v>16357.5</v>
      </c>
      <c r="J77" s="22">
        <v>85</v>
      </c>
      <c r="K77" s="21">
        <f t="shared" si="3"/>
        <v>19.208324290624955</v>
      </c>
      <c r="L77" s="21">
        <f>I77/(پارامترها!$B$5/1000000)</f>
        <v>16.805362921867776</v>
      </c>
      <c r="M77" s="21">
        <f>K77/پارامترها!$B$7</f>
        <v>64.027747635416517</v>
      </c>
      <c r="N77" s="21">
        <v>18.920000000000002</v>
      </c>
      <c r="O77" s="21">
        <f>N77*پارامترها!$B$6*پارامترها!$B$16</f>
        <v>42.570000000000007</v>
      </c>
      <c r="P77" s="21">
        <f>O77*12/G77*100</f>
        <v>59.987041911189685</v>
      </c>
      <c r="Q77" s="21">
        <f>O77*12/(پارامترها!$B$5/1000000)*100</f>
        <v>52.482662968099859</v>
      </c>
      <c r="R77" s="3" t="str">
        <f t="shared" si="4"/>
        <v>فشار شدید</v>
      </c>
      <c r="S77" s="21">
        <f>(1-NORMSDIST((LN(O77*12*1000000/پارامترها!$B$8)-پارامترها!$B$15)/پارامترها!$B$14))*100</f>
        <v>14.511234537500739</v>
      </c>
      <c r="T77" s="21">
        <f>(1-NORMSDIST((LN(I77*1000000/5)-پارامترها!$B$15)/پارامترها!$B$14))*100</f>
        <v>4.6805205982173748</v>
      </c>
      <c r="U77" s="21">
        <f>MIN(100,پارامترها!$B$9/1000000/I77*100)</f>
        <v>12.226807274950328</v>
      </c>
      <c r="V77" s="19">
        <f>MAX(0,I77-پارامترها!$B$9/1000000)</f>
        <v>14357.5</v>
      </c>
      <c r="W77" s="21">
        <f>V77/(G77*پارامترها!$B$7)</f>
        <v>56.199198329542575</v>
      </c>
      <c r="X77" s="21">
        <f>پارامترها!$B$12/1000000/(G77/12)*100</f>
        <v>56.753406955921058</v>
      </c>
      <c r="Y77" s="21">
        <f>ROUND(50*MIN(1,3/K77)+50*MIN(1,30/P77),1)</f>
        <v>32.799999999999997</v>
      </c>
      <c r="Z77" s="3">
        <f t="shared" si="5"/>
        <v>36</v>
      </c>
      <c r="AA77" s="19">
        <v>86</v>
      </c>
      <c r="AB77" s="19">
        <v>82</v>
      </c>
      <c r="AC77" s="3" t="s">
        <v>83</v>
      </c>
      <c r="AD77" s="3" t="s">
        <v>84</v>
      </c>
      <c r="AE77" s="3" t="s">
        <v>189</v>
      </c>
      <c r="AF77" s="23" t="s">
        <v>85</v>
      </c>
    </row>
    <row r="78" spans="1:32" ht="16.5" x14ac:dyDescent="0.3">
      <c r="A78" s="3">
        <v>77</v>
      </c>
      <c r="B78" s="3">
        <v>4</v>
      </c>
      <c r="C78" s="3" t="s">
        <v>190</v>
      </c>
      <c r="D78" s="19">
        <v>21787</v>
      </c>
      <c r="E78" s="19">
        <f>ROUND(D78/INDEX(مناطق!$D$2:$D$23,B78),0)</f>
        <v>7214</v>
      </c>
      <c r="F78" s="20">
        <v>0.872</v>
      </c>
      <c r="G78" s="19">
        <f>پارامترها!$B$5*F78/1000000</f>
        <v>848.76120000000014</v>
      </c>
      <c r="H78" s="21">
        <v>217.4</v>
      </c>
      <c r="I78" s="19">
        <f>H78*پارامترها!$B$6</f>
        <v>16305</v>
      </c>
      <c r="J78" s="22">
        <v>85</v>
      </c>
      <c r="K78" s="21">
        <f t="shared" si="3"/>
        <v>19.210350331754086</v>
      </c>
      <c r="L78" s="21">
        <f>I78/(پارامترها!$B$5/1000000)</f>
        <v>16.751425489289563</v>
      </c>
      <c r="M78" s="21">
        <f>K78/پارامترها!$B$7</f>
        <v>64.034501105846957</v>
      </c>
      <c r="N78" s="21">
        <v>21.64</v>
      </c>
      <c r="O78" s="21">
        <f>N78*پارامترها!$B$6*پارامترها!$B$16</f>
        <v>48.69</v>
      </c>
      <c r="P78" s="21">
        <f>O78*12/G78*100</f>
        <v>68.839150517247944</v>
      </c>
      <c r="Q78" s="21">
        <f>O78*12/(پارامترها!$B$5/1000000)*100</f>
        <v>60.027739251040217</v>
      </c>
      <c r="R78" s="3" t="str">
        <f t="shared" si="4"/>
        <v>فشار شدید</v>
      </c>
      <c r="S78" s="21">
        <f>(1-NORMSDIST((LN(O78*12*1000000/پارامترها!$B$8)-پارامترها!$B$15)/پارامترها!$B$14))*100</f>
        <v>11.80149131689403</v>
      </c>
      <c r="T78" s="21">
        <f>(1-NORMSDIST((LN(I78*1000000/5)-پارامترها!$B$15)/پارامترها!$B$14))*100</f>
        <v>4.710411167084116</v>
      </c>
      <c r="U78" s="21">
        <f>MIN(100,پارامترها!$B$9/1000000/I78*100)</f>
        <v>12.266176019625881</v>
      </c>
      <c r="V78" s="19">
        <f>MAX(0,I78-پارامترها!$B$9/1000000)</f>
        <v>14305</v>
      </c>
      <c r="W78" s="21">
        <f>V78/(G78*پارامترها!$B$7)</f>
        <v>56.179916486914486</v>
      </c>
      <c r="X78" s="21">
        <f>پارامترها!$B$12/1000000/(G78/12)*100</f>
        <v>56.94215108455888</v>
      </c>
      <c r="Y78" s="21">
        <f>ROUND(50*MIN(1,3/K78)+50*MIN(1,30/P78),1)</f>
        <v>29.6</v>
      </c>
      <c r="Z78" s="3">
        <f t="shared" si="5"/>
        <v>185</v>
      </c>
      <c r="AA78" s="19">
        <v>90</v>
      </c>
      <c r="AB78" s="19">
        <v>86</v>
      </c>
      <c r="AC78" s="3" t="s">
        <v>83</v>
      </c>
      <c r="AD78" s="3" t="s">
        <v>93</v>
      </c>
      <c r="AE78" s="3" t="s">
        <v>191</v>
      </c>
      <c r="AF78" s="23" t="s">
        <v>85</v>
      </c>
    </row>
    <row r="79" spans="1:32" x14ac:dyDescent="0.2">
      <c r="A79" s="3">
        <v>78</v>
      </c>
      <c r="B79" s="3">
        <v>4</v>
      </c>
      <c r="C79" s="3" t="s">
        <v>192</v>
      </c>
      <c r="D79" s="19">
        <v>66818</v>
      </c>
      <c r="E79" s="19">
        <f>ROUND(D79/INDEX(مناطق!$D$2:$D$23,B79),0)</f>
        <v>22125</v>
      </c>
      <c r="F79" s="20">
        <v>0.82489999999999997</v>
      </c>
      <c r="G79" s="19">
        <f>پارامترها!$B$5*F79/1000000</f>
        <v>802.91641500000014</v>
      </c>
      <c r="H79" s="21">
        <v>206.1</v>
      </c>
      <c r="I79" s="19">
        <f>H79*پارامترها!$B$6</f>
        <v>15457.5</v>
      </c>
      <c r="J79" s="22">
        <v>72</v>
      </c>
      <c r="K79" s="21">
        <f t="shared" si="3"/>
        <v>19.251692593680499</v>
      </c>
      <c r="L79" s="21">
        <f>I79/(پارامترها!$B$5/1000000)</f>
        <v>15.880721220527043</v>
      </c>
      <c r="M79" s="21">
        <f>K79/پارامترها!$B$7</f>
        <v>64.17230864560166</v>
      </c>
      <c r="N79" s="21">
        <v>19.14</v>
      </c>
      <c r="O79" s="21">
        <f>N79*پارامترها!$B$6*پارامترها!$B$16</f>
        <v>43.064999999999998</v>
      </c>
      <c r="P79" s="21">
        <f>O79*12/G79*100</f>
        <v>64.362863972584222</v>
      </c>
      <c r="Q79" s="21">
        <f>O79*12/(پارامترها!$B$5/1000000)*100</f>
        <v>53.092926490984738</v>
      </c>
      <c r="R79" s="3" t="str">
        <f t="shared" si="4"/>
        <v>فشار شدید</v>
      </c>
      <c r="S79" s="21">
        <f>(1-NORMSDIST((LN(O79*12*1000000/پارامترها!$B$8)-پارامترها!$B$15)/پارامترها!$B$14))*100</f>
        <v>14.262755171146157</v>
      </c>
      <c r="T79" s="21">
        <f>(1-NORMSDIST((LN(I79*1000000/5)-پارامترها!$B$15)/پارامترها!$B$14))*100</f>
        <v>5.2294383479815743</v>
      </c>
      <c r="U79" s="21">
        <f>MIN(100,پارامترها!$B$9/1000000/I79*100)</f>
        <v>12.938702895034773</v>
      </c>
      <c r="V79" s="19">
        <f>MAX(0,I79-پارامترها!$B$9/1000000)</f>
        <v>13457.5</v>
      </c>
      <c r="W79" s="21">
        <f>V79/(G79*پارامترها!$B$7)</f>
        <v>55.869244289062557</v>
      </c>
      <c r="X79" s="21">
        <f>پارامترها!$B$12/1000000/(G79/12)*100</f>
        <v>60.193424349297295</v>
      </c>
      <c r="Y79" s="21">
        <f>ROUND(50*MIN(1,3/K79)+50*MIN(1,30/P79),1)</f>
        <v>31.1</v>
      </c>
      <c r="Z79" s="3">
        <f t="shared" si="5"/>
        <v>95</v>
      </c>
      <c r="AA79" s="19">
        <v>85</v>
      </c>
      <c r="AB79" s="19">
        <v>84</v>
      </c>
      <c r="AC79" s="3" t="s">
        <v>83</v>
      </c>
      <c r="AD79" s="3" t="s">
        <v>84</v>
      </c>
      <c r="AE79" s="3" t="s">
        <v>192</v>
      </c>
      <c r="AF79" s="23" t="s">
        <v>85</v>
      </c>
    </row>
    <row r="80" spans="1:32" ht="16.5" x14ac:dyDescent="0.3">
      <c r="A80" s="3">
        <v>79</v>
      </c>
      <c r="B80" s="3">
        <v>4</v>
      </c>
      <c r="C80" s="3" t="s">
        <v>193</v>
      </c>
      <c r="D80" s="19">
        <v>58768</v>
      </c>
      <c r="E80" s="19">
        <f>ROUND(D80/INDEX(مناطق!$D$2:$D$23,B80),0)</f>
        <v>19460</v>
      </c>
      <c r="F80" s="20">
        <v>0.62549999999999994</v>
      </c>
      <c r="G80" s="19">
        <f>پارامترها!$B$5*F80/1000000</f>
        <v>608.83042499999999</v>
      </c>
      <c r="H80" s="21">
        <v>157.69999999999999</v>
      </c>
      <c r="I80" s="19">
        <f>H80*پارامترها!$B$6</f>
        <v>11827.5</v>
      </c>
      <c r="J80" s="22">
        <v>70</v>
      </c>
      <c r="K80" s="21">
        <f t="shared" si="3"/>
        <v>19.426591566937542</v>
      </c>
      <c r="L80" s="21">
        <f>I80/(پارامترها!$B$5/1000000)</f>
        <v>12.151333025119431</v>
      </c>
      <c r="M80" s="21">
        <f>K80/پارامترها!$B$7</f>
        <v>64.755305223125148</v>
      </c>
      <c r="N80" s="21">
        <v>14.99</v>
      </c>
      <c r="O80" s="21">
        <f>N80*پارامترها!$B$6*پارامترها!$B$16</f>
        <v>33.727499999999999</v>
      </c>
      <c r="P80" s="21">
        <f>O80*12/G80*100</f>
        <v>66.476638384160907</v>
      </c>
      <c r="Q80" s="21">
        <f>O80*12/(پارامترها!$B$5/1000000)*100</f>
        <v>41.581137309292643</v>
      </c>
      <c r="R80" s="3" t="str">
        <f t="shared" si="4"/>
        <v>فشار شدید</v>
      </c>
      <c r="S80" s="21">
        <f>(1-NORMSDIST((LN(O80*12*1000000/پارامترها!$B$8)-پارامترها!$B$15)/پارامترها!$B$14))*100</f>
        <v>20.13247635843549</v>
      </c>
      <c r="T80" s="21">
        <f>(1-NORMSDIST((LN(I80*1000000/5)-پارامترها!$B$15)/پارامترها!$B$14))*100</f>
        <v>8.5460091595911827</v>
      </c>
      <c r="U80" s="21">
        <f>MIN(100,پارامترها!$B$9/1000000/I80*100)</f>
        <v>16.909744240118368</v>
      </c>
      <c r="V80" s="19">
        <f>MAX(0,I80-پارامترها!$B$9/1000000)</f>
        <v>9827.5</v>
      </c>
      <c r="W80" s="21">
        <f>V80/(G80*پارامترها!$B$7)</f>
        <v>53.805348727986669</v>
      </c>
      <c r="X80" s="21">
        <f>پارامترها!$B$12/1000000/(G80/12)*100</f>
        <v>79.382183446419418</v>
      </c>
      <c r="Y80" s="21">
        <f>ROUND(50*MIN(1,3/K80)+50*MIN(1,30/P80),1)</f>
        <v>30.3</v>
      </c>
      <c r="Z80" s="3">
        <f t="shared" si="5"/>
        <v>151</v>
      </c>
      <c r="AA80" s="19">
        <v>79</v>
      </c>
      <c r="AB80" s="19">
        <v>74</v>
      </c>
      <c r="AC80" s="3" t="s">
        <v>83</v>
      </c>
      <c r="AD80" s="3" t="s">
        <v>93</v>
      </c>
      <c r="AE80" s="3" t="s">
        <v>194</v>
      </c>
      <c r="AF80" s="23" t="s">
        <v>85</v>
      </c>
    </row>
    <row r="81" spans="1:32" x14ac:dyDescent="0.2">
      <c r="A81" s="3">
        <v>80</v>
      </c>
      <c r="B81" s="3">
        <v>4</v>
      </c>
      <c r="C81" s="3" t="s">
        <v>195</v>
      </c>
      <c r="D81" s="19">
        <v>44857</v>
      </c>
      <c r="E81" s="19">
        <f>ROUND(D81/INDEX(مناطق!$D$2:$D$23,B81),0)</f>
        <v>14853</v>
      </c>
      <c r="F81" s="20">
        <v>0.3846</v>
      </c>
      <c r="G81" s="19">
        <f>پارامترها!$B$5*F81/1000000</f>
        <v>374.35041000000007</v>
      </c>
      <c r="H81" s="21">
        <v>98.6</v>
      </c>
      <c r="I81" s="19">
        <f>H81*پارامترها!$B$6</f>
        <v>7395</v>
      </c>
      <c r="J81" s="22">
        <v>60</v>
      </c>
      <c r="K81" s="21">
        <f t="shared" si="3"/>
        <v>19.754219048404405</v>
      </c>
      <c r="L81" s="21">
        <f>I81/(پارامترها!$B$5/1000000)</f>
        <v>7.5974726460163344</v>
      </c>
      <c r="M81" s="21">
        <f>K81/پارامترها!$B$7</f>
        <v>65.847396828014681</v>
      </c>
      <c r="N81" s="21">
        <v>11.46</v>
      </c>
      <c r="O81" s="21">
        <f>N81*پارامترها!$B$6*پارامترها!$B$16</f>
        <v>25.785000000000004</v>
      </c>
      <c r="P81" s="21">
        <f>O81*12/G81*100</f>
        <v>82.655178606589487</v>
      </c>
      <c r="Q81" s="21">
        <f>O81*12/(پارامترها!$B$5/1000000)*100</f>
        <v>31.789181692094314</v>
      </c>
      <c r="R81" s="3" t="str">
        <f t="shared" si="4"/>
        <v>فشار شدید</v>
      </c>
      <c r="S81" s="21">
        <f>(1-NORMSDIST((LN(O81*12*1000000/پارامترها!$B$8)-پارامترها!$B$15)/پارامترها!$B$14))*100</f>
        <v>28.016900208224893</v>
      </c>
      <c r="T81" s="21">
        <f>(1-NORMSDIST((LN(I81*1000000/5)-پارامترها!$B$15)/پارامترها!$B$14))*100</f>
        <v>17.773081286232028</v>
      </c>
      <c r="U81" s="21">
        <f>MIN(100,پارامترها!$B$9/1000000/I81*100)</f>
        <v>27.045300878972277</v>
      </c>
      <c r="V81" s="19">
        <f>MAX(0,I81-پارامترها!$B$9/1000000)</f>
        <v>5395</v>
      </c>
      <c r="W81" s="21">
        <f>V81/(G81*پارامترها!$B$7)</f>
        <v>48.038770234907261</v>
      </c>
      <c r="X81" s="21">
        <f>پارامترها!$B$12/1000000/(G81/12)*100</f>
        <v>129.1044091152765</v>
      </c>
      <c r="Y81" s="21">
        <f>ROUND(50*MIN(1,3/K81)+50*MIN(1,30/P81),1)</f>
        <v>25.7</v>
      </c>
      <c r="Z81" s="3">
        <f t="shared" si="5"/>
        <v>313</v>
      </c>
      <c r="AA81" s="19">
        <v>65</v>
      </c>
      <c r="AB81" s="19">
        <v>63</v>
      </c>
      <c r="AC81" s="3" t="s">
        <v>83</v>
      </c>
      <c r="AD81" s="3" t="s">
        <v>84</v>
      </c>
      <c r="AE81" s="3" t="s">
        <v>196</v>
      </c>
      <c r="AF81" s="23" t="s">
        <v>85</v>
      </c>
    </row>
    <row r="82" spans="1:32" ht="16.5" x14ac:dyDescent="0.3">
      <c r="A82" s="3">
        <v>81</v>
      </c>
      <c r="B82" s="3">
        <v>5</v>
      </c>
      <c r="C82" s="3" t="s">
        <v>197</v>
      </c>
      <c r="D82" s="19">
        <v>35408</v>
      </c>
      <c r="E82" s="19">
        <f>ROUND(D82/INDEX(مناطق!$D$2:$D$23,B82),0)</f>
        <v>12057</v>
      </c>
      <c r="F82" s="20">
        <v>1.5125</v>
      </c>
      <c r="G82" s="19">
        <f>پارامترها!$B$5*F82/1000000</f>
        <v>1472.1918750000002</v>
      </c>
      <c r="H82" s="21">
        <v>380.3</v>
      </c>
      <c r="I82" s="19">
        <f>H82*پارامترها!$B$6</f>
        <v>28522.5</v>
      </c>
      <c r="J82" s="22">
        <v>87.5</v>
      </c>
      <c r="K82" s="21">
        <f t="shared" si="3"/>
        <v>19.374172948753706</v>
      </c>
      <c r="L82" s="21">
        <f>I82/(پارامترها!$B$5/1000000)</f>
        <v>29.303436584989978</v>
      </c>
      <c r="M82" s="21">
        <f>K82/پارامترها!$B$7</f>
        <v>64.58057649584569</v>
      </c>
      <c r="N82" s="21">
        <v>33.07</v>
      </c>
      <c r="O82" s="21">
        <f>N82*پارامترها!$B$6*پارامترها!$B$16</f>
        <v>74.407499999999999</v>
      </c>
      <c r="P82" s="21">
        <f>O82*12/G82*100</f>
        <v>60.650382274389322</v>
      </c>
      <c r="Q82" s="21">
        <f>O82*12/(پارامترها!$B$5/1000000)*100</f>
        <v>91.733703190013856</v>
      </c>
      <c r="R82" s="3" t="str">
        <f t="shared" si="4"/>
        <v>فشار شدید</v>
      </c>
      <c r="S82" s="21">
        <f>(1-NORMSDIST((LN(O82*12*1000000/پارامترها!$B$8)-پارامترها!$B$15)/پارامترها!$B$14))*100</f>
        <v>5.6256096962531643</v>
      </c>
      <c r="T82" s="21">
        <f>(1-NORMSDIST((LN(I82*1000000/5)-پارامترها!$B$15)/پارامترها!$B$14))*100</f>
        <v>1.3770949683120315</v>
      </c>
      <c r="U82" s="21">
        <f>MIN(100,پارامترها!$B$9/1000000/I82*100)</f>
        <v>7.0120080638092732</v>
      </c>
      <c r="V82" s="19">
        <f>MAX(0,I82-پارامترها!$B$9/1000000)</f>
        <v>26522.5</v>
      </c>
      <c r="W82" s="21">
        <f>V82/(G82*پارامترها!$B$7)</f>
        <v>60.052181264302469</v>
      </c>
      <c r="X82" s="21">
        <f>پارامترها!$B$12/1000000/(G82/12)*100</f>
        <v>32.828797187263035</v>
      </c>
      <c r="Y82" s="21">
        <f>ROUND(50*MIN(1,3/K82)+50*MIN(1,30/P82),1)</f>
        <v>32.5</v>
      </c>
      <c r="Z82" s="3">
        <f t="shared" si="5"/>
        <v>42</v>
      </c>
      <c r="AA82" s="19">
        <v>90</v>
      </c>
      <c r="AB82" s="19">
        <v>89</v>
      </c>
      <c r="AC82" s="3" t="s">
        <v>83</v>
      </c>
      <c r="AD82" s="3" t="s">
        <v>93</v>
      </c>
      <c r="AE82" s="3" t="s">
        <v>139</v>
      </c>
      <c r="AF82" s="23" t="s">
        <v>85</v>
      </c>
    </row>
    <row r="83" spans="1:32" ht="16.5" x14ac:dyDescent="0.3">
      <c r="A83" s="3">
        <v>82</v>
      </c>
      <c r="B83" s="3">
        <v>5</v>
      </c>
      <c r="C83" s="3" t="s">
        <v>198</v>
      </c>
      <c r="D83" s="19">
        <v>29387</v>
      </c>
      <c r="E83" s="19">
        <f>ROUND(D83/INDEX(مناطق!$D$2:$D$23,B83),0)</f>
        <v>10006</v>
      </c>
      <c r="F83" s="20">
        <v>1.5125</v>
      </c>
      <c r="G83" s="19">
        <f>پارامترها!$B$5*F83/1000000</f>
        <v>1472.1918750000002</v>
      </c>
      <c r="H83" s="21">
        <v>380.3</v>
      </c>
      <c r="I83" s="19">
        <f>H83*پارامترها!$B$6</f>
        <v>28522.5</v>
      </c>
      <c r="J83" s="22">
        <v>87.5</v>
      </c>
      <c r="K83" s="21">
        <f t="shared" si="3"/>
        <v>19.374172948753706</v>
      </c>
      <c r="L83" s="21">
        <f>I83/(پارامترها!$B$5/1000000)</f>
        <v>29.303436584989978</v>
      </c>
      <c r="M83" s="21">
        <f>K83/پارامترها!$B$7</f>
        <v>64.58057649584569</v>
      </c>
      <c r="N83" s="21">
        <v>33.07</v>
      </c>
      <c r="O83" s="21">
        <f>N83*پارامترها!$B$6*پارامترها!$B$16</f>
        <v>74.407499999999999</v>
      </c>
      <c r="P83" s="21">
        <f>O83*12/G83*100</f>
        <v>60.650382274389322</v>
      </c>
      <c r="Q83" s="21">
        <f>O83*12/(پارامترها!$B$5/1000000)*100</f>
        <v>91.733703190013856</v>
      </c>
      <c r="R83" s="3" t="str">
        <f t="shared" si="4"/>
        <v>فشار شدید</v>
      </c>
      <c r="S83" s="21">
        <f>(1-NORMSDIST((LN(O83*12*1000000/پارامترها!$B$8)-پارامترها!$B$15)/پارامترها!$B$14))*100</f>
        <v>5.6256096962531643</v>
      </c>
      <c r="T83" s="21">
        <f>(1-NORMSDIST((LN(I83*1000000/5)-پارامترها!$B$15)/پارامترها!$B$14))*100</f>
        <v>1.3770949683120315</v>
      </c>
      <c r="U83" s="21">
        <f>MIN(100,پارامترها!$B$9/1000000/I83*100)</f>
        <v>7.0120080638092732</v>
      </c>
      <c r="V83" s="19">
        <f>MAX(0,I83-پارامترها!$B$9/1000000)</f>
        <v>26522.5</v>
      </c>
      <c r="W83" s="21">
        <f>V83/(G83*پارامترها!$B$7)</f>
        <v>60.052181264302469</v>
      </c>
      <c r="X83" s="21">
        <f>پارامترها!$B$12/1000000/(G83/12)*100</f>
        <v>32.828797187263035</v>
      </c>
      <c r="Y83" s="21">
        <f>ROUND(50*MIN(1,3/K83)+50*MIN(1,30/P83),1)</f>
        <v>32.5</v>
      </c>
      <c r="Z83" s="3">
        <f t="shared" si="5"/>
        <v>42</v>
      </c>
      <c r="AA83" s="19">
        <v>90</v>
      </c>
      <c r="AB83" s="19">
        <v>89</v>
      </c>
      <c r="AC83" s="3" t="s">
        <v>83</v>
      </c>
      <c r="AD83" s="3" t="s">
        <v>93</v>
      </c>
      <c r="AE83" s="3" t="s">
        <v>139</v>
      </c>
      <c r="AF83" s="23" t="s">
        <v>85</v>
      </c>
    </row>
    <row r="84" spans="1:32" x14ac:dyDescent="0.2">
      <c r="A84" s="3">
        <v>83</v>
      </c>
      <c r="B84" s="3">
        <v>5</v>
      </c>
      <c r="C84" s="3" t="s">
        <v>199</v>
      </c>
      <c r="D84" s="19">
        <v>28191</v>
      </c>
      <c r="E84" s="19">
        <f>ROUND(D84/INDEX(مناطق!$D$2:$D$23,B84),0)</f>
        <v>9599</v>
      </c>
      <c r="F84" s="20">
        <v>1.4809000000000001</v>
      </c>
      <c r="G84" s="19">
        <f>پارامترها!$B$5*F84/1000000</f>
        <v>1441.4340150000003</v>
      </c>
      <c r="H84" s="21">
        <v>372.6</v>
      </c>
      <c r="I84" s="19">
        <f>H84*پارامترها!$B$6</f>
        <v>27945</v>
      </c>
      <c r="J84" s="22">
        <v>110</v>
      </c>
      <c r="K84" s="21">
        <f t="shared" si="3"/>
        <v>19.38694363335112</v>
      </c>
      <c r="L84" s="21">
        <f>I84/(پارامترها!$B$5/1000000)</f>
        <v>28.710124826629677</v>
      </c>
      <c r="M84" s="21">
        <f>K84/پارامترها!$B$7</f>
        <v>64.623145444503734</v>
      </c>
      <c r="N84" s="21">
        <v>31.99</v>
      </c>
      <c r="O84" s="21">
        <f>N84*پارامترها!$B$6*پارامترها!$B$16</f>
        <v>71.977499999999992</v>
      </c>
      <c r="P84" s="21">
        <f>O84*12/G84*100</f>
        <v>59.921577471584762</v>
      </c>
      <c r="Q84" s="21">
        <f>O84*12/(پارامترها!$B$5/1000000)*100</f>
        <v>88.737864077669883</v>
      </c>
      <c r="R84" s="3" t="str">
        <f t="shared" si="4"/>
        <v>فشار شدید</v>
      </c>
      <c r="S84" s="21">
        <f>(1-NORMSDIST((LN(O84*12*1000000/پارامترها!$B$8)-پارامترها!$B$15)/پارامترها!$B$14))*100</f>
        <v>5.9910520908944109</v>
      </c>
      <c r="T84" s="21">
        <f>(1-NORMSDIST((LN(I84*1000000/5)-پارامترها!$B$15)/پارامترها!$B$14))*100</f>
        <v>1.4467938387913937</v>
      </c>
      <c r="U84" s="21">
        <f>MIN(100,پارامترها!$B$9/1000000/I84*100)</f>
        <v>7.1569153694757555</v>
      </c>
      <c r="V84" s="19">
        <f>MAX(0,I84-پارامترها!$B$9/1000000)</f>
        <v>25945</v>
      </c>
      <c r="W84" s="21">
        <f>V84/(G84*پارامترها!$B$7)</f>
        <v>59.998121615947383</v>
      </c>
      <c r="X84" s="21">
        <f>پارامترها!$B$12/1000000/(G84/12)*100</f>
        <v>33.529310382696558</v>
      </c>
      <c r="Y84" s="21">
        <f>ROUND(50*MIN(1,3/K84)+50*MIN(1,30/P84),1)</f>
        <v>32.799999999999997</v>
      </c>
      <c r="Z84" s="3">
        <f t="shared" si="5"/>
        <v>36</v>
      </c>
      <c r="AA84" s="19">
        <v>91</v>
      </c>
      <c r="AB84" s="19">
        <v>91</v>
      </c>
      <c r="AC84" s="3" t="s">
        <v>83</v>
      </c>
      <c r="AD84" s="3" t="s">
        <v>84</v>
      </c>
      <c r="AE84" s="3" t="s">
        <v>199</v>
      </c>
      <c r="AF84" s="23" t="s">
        <v>85</v>
      </c>
    </row>
    <row r="85" spans="1:32" ht="16.5" x14ac:dyDescent="0.3">
      <c r="A85" s="3">
        <v>84</v>
      </c>
      <c r="B85" s="3">
        <v>5</v>
      </c>
      <c r="C85" s="3" t="s">
        <v>171</v>
      </c>
      <c r="D85" s="19">
        <v>34036</v>
      </c>
      <c r="E85" s="19">
        <f>ROUND(D85/INDEX(مناطق!$D$2:$D$23,B85),0)</f>
        <v>11589</v>
      </c>
      <c r="F85" s="20">
        <v>1.454</v>
      </c>
      <c r="G85" s="19">
        <f>پارامترها!$B$5*F85/1000000</f>
        <v>1415.2509000000002</v>
      </c>
      <c r="H85" s="21">
        <v>366</v>
      </c>
      <c r="I85" s="19">
        <f>H85*پارامترها!$B$6</f>
        <v>27450</v>
      </c>
      <c r="J85" s="22">
        <v>104</v>
      </c>
      <c r="K85" s="21">
        <f t="shared" si="3"/>
        <v>19.395854120283545</v>
      </c>
      <c r="L85" s="21">
        <f>I85/(پارامترها!$B$5/1000000)</f>
        <v>28.201571890892275</v>
      </c>
      <c r="M85" s="21">
        <f>K85/پارامترها!$B$7</f>
        <v>64.652847067611816</v>
      </c>
      <c r="N85" s="21">
        <v>32.1</v>
      </c>
      <c r="O85" s="21">
        <f>N85*پارامترها!$B$6*پارامترها!$B$16</f>
        <v>72.224999999999994</v>
      </c>
      <c r="P85" s="21">
        <f>O85*12/G85*100</f>
        <v>61.240024648632961</v>
      </c>
      <c r="Q85" s="21">
        <f>O85*12/(پارامترها!$B$5/1000000)*100</f>
        <v>89.042995839112322</v>
      </c>
      <c r="R85" s="3" t="str">
        <f t="shared" si="4"/>
        <v>فشار شدید</v>
      </c>
      <c r="S85" s="21">
        <f>(1-NORMSDIST((LN(O85*12*1000000/پارامترها!$B$8)-پارامترها!$B$15)/پارامترها!$B$14))*100</f>
        <v>5.9524303093042459</v>
      </c>
      <c r="T85" s="21">
        <f>(1-NORMSDIST((LN(I85*1000000/5)-پارامترها!$B$15)/پارامترها!$B$14))*100</f>
        <v>1.5101568780118368</v>
      </c>
      <c r="U85" s="21">
        <f>MIN(100,پارامترها!$B$9/1000000/I85*100)</f>
        <v>7.2859744990892539</v>
      </c>
      <c r="V85" s="19">
        <f>MAX(0,I85-پارامترها!$B$9/1000000)</f>
        <v>25450</v>
      </c>
      <c r="W85" s="21">
        <f>V85/(G85*پارامترها!$B$7)</f>
        <v>59.942257117330449</v>
      </c>
      <c r="X85" s="21">
        <f>پارامترها!$B$12/1000000/(G85/12)*100</f>
        <v>34.149625684824855</v>
      </c>
      <c r="Y85" s="21">
        <f>ROUND(50*MIN(1,3/K85)+50*MIN(1,30/P85),1)</f>
        <v>32.200000000000003</v>
      </c>
      <c r="Z85" s="3">
        <f t="shared" si="5"/>
        <v>53</v>
      </c>
      <c r="AA85" s="19">
        <v>90</v>
      </c>
      <c r="AB85" s="19">
        <v>90</v>
      </c>
      <c r="AC85" s="3" t="s">
        <v>83</v>
      </c>
      <c r="AD85" s="3" t="s">
        <v>93</v>
      </c>
      <c r="AE85" s="3" t="s">
        <v>171</v>
      </c>
      <c r="AF85" s="23" t="s">
        <v>85</v>
      </c>
    </row>
    <row r="86" spans="1:32" ht="16.5" x14ac:dyDescent="0.3">
      <c r="A86" s="3">
        <v>85</v>
      </c>
      <c r="B86" s="3">
        <v>5</v>
      </c>
      <c r="C86" s="3" t="s">
        <v>116</v>
      </c>
      <c r="D86" s="19">
        <v>14997</v>
      </c>
      <c r="E86" s="19">
        <f>ROUND(D86/INDEX(مناطق!$D$2:$D$23,B86),0)</f>
        <v>5107</v>
      </c>
      <c r="F86" s="20">
        <v>1.4026000000000001</v>
      </c>
      <c r="G86" s="19">
        <f>پارامترها!$B$5*F86/1000000</f>
        <v>1365.2207100000003</v>
      </c>
      <c r="H86" s="21">
        <v>353.5</v>
      </c>
      <c r="I86" s="19">
        <f>H86*پارامترها!$B$6</f>
        <v>26512.5</v>
      </c>
      <c r="J86" s="22">
        <v>83</v>
      </c>
      <c r="K86" s="21">
        <f t="shared" si="3"/>
        <v>19.419936868669385</v>
      </c>
      <c r="L86" s="21">
        <f>I86/(پارامترها!$B$5/1000000)</f>
        <v>27.23840345199568</v>
      </c>
      <c r="M86" s="21">
        <f>K86/پارامترها!$B$7</f>
        <v>64.73312289556462</v>
      </c>
      <c r="N86" s="21">
        <v>31.55</v>
      </c>
      <c r="O86" s="21">
        <f>N86*پارامترها!$B$6*پارامترها!$B$16</f>
        <v>70.987499999999997</v>
      </c>
      <c r="P86" s="21">
        <f>O86*12/G86*100</f>
        <v>62.396504371809577</v>
      </c>
      <c r="Q86" s="21">
        <f>O86*12/(پارامترها!$B$5/1000000)*100</f>
        <v>87.517337031900126</v>
      </c>
      <c r="R86" s="3" t="str">
        <f t="shared" si="4"/>
        <v>فشار شدید</v>
      </c>
      <c r="S86" s="21">
        <f>(1-NORMSDIST((LN(O86*12*1000000/پارامترها!$B$8)-پارامترها!$B$15)/پارامترها!$B$14))*100</f>
        <v>6.1488754514747885</v>
      </c>
      <c r="T86" s="21">
        <f>(1-NORMSDIST((LN(I86*1000000/5)-پارامترها!$B$15)/پارامترها!$B$14))*100</f>
        <v>1.6402037612203046</v>
      </c>
      <c r="U86" s="21">
        <f>MIN(100,پارامترها!$B$9/1000000/I86*100)</f>
        <v>7.5436115040075444</v>
      </c>
      <c r="V86" s="19">
        <f>MAX(0,I86-پارامترها!$B$9/1000000)</f>
        <v>24512.5</v>
      </c>
      <c r="W86" s="21">
        <f>V86/(G86*پارامترها!$B$7)</f>
        <v>59.849907589911467</v>
      </c>
      <c r="X86" s="21">
        <f>پارامترها!$B$12/1000000/(G86/12)*100</f>
        <v>35.401080668569328</v>
      </c>
      <c r="Y86" s="21">
        <f>ROUND(50*MIN(1,3/K86)+50*MIN(1,30/P86),1)</f>
        <v>31.8</v>
      </c>
      <c r="Z86" s="3">
        <f t="shared" si="5"/>
        <v>75</v>
      </c>
      <c r="AA86" s="19">
        <v>89</v>
      </c>
      <c r="AB86" s="19">
        <v>89</v>
      </c>
      <c r="AC86" s="3" t="s">
        <v>83</v>
      </c>
      <c r="AD86" s="3" t="s">
        <v>93</v>
      </c>
      <c r="AE86" s="3" t="s">
        <v>116</v>
      </c>
      <c r="AF86" s="23" t="s">
        <v>85</v>
      </c>
    </row>
    <row r="87" spans="1:32" x14ac:dyDescent="0.2">
      <c r="A87" s="3">
        <v>86</v>
      </c>
      <c r="B87" s="3">
        <v>5</v>
      </c>
      <c r="C87" s="3" t="s">
        <v>200</v>
      </c>
      <c r="D87" s="19">
        <v>29223</v>
      </c>
      <c r="E87" s="19">
        <f>ROUND(D87/INDEX(مناطق!$D$2:$D$23,B87),0)</f>
        <v>9951</v>
      </c>
      <c r="F87" s="20">
        <v>1.3656999999999999</v>
      </c>
      <c r="G87" s="19">
        <f>پارامترها!$B$5*F87/1000000</f>
        <v>1329.304095</v>
      </c>
      <c r="H87" s="21">
        <v>344.5</v>
      </c>
      <c r="I87" s="19">
        <f>H87*پارامترها!$B$6</f>
        <v>25837.5</v>
      </c>
      <c r="J87" s="22">
        <v>110</v>
      </c>
      <c r="K87" s="21">
        <f t="shared" si="3"/>
        <v>19.436861811518003</v>
      </c>
      <c r="L87" s="21">
        <f>I87/(پارامترها!$B$5/1000000)</f>
        <v>26.544922175990134</v>
      </c>
      <c r="M87" s="21">
        <f>K87/پارامترها!$B$7</f>
        <v>64.789539371726676</v>
      </c>
      <c r="N87" s="21">
        <v>30.56</v>
      </c>
      <c r="O87" s="21">
        <f>N87*پارامترها!$B$6*پارامترها!$B$16</f>
        <v>68.759999999999991</v>
      </c>
      <c r="P87" s="21">
        <f>O87*12/G87*100</f>
        <v>62.071575879708696</v>
      </c>
      <c r="Q87" s="21">
        <f>O87*12/(پارامترها!$B$5/1000000)*100</f>
        <v>84.771151178918146</v>
      </c>
      <c r="R87" s="3" t="str">
        <f t="shared" si="4"/>
        <v>فشار شدید</v>
      </c>
      <c r="S87" s="21">
        <f>(1-NORMSDIST((LN(O87*12*1000000/پارامترها!$B$8)-پارامترها!$B$15)/پارامترها!$B$14))*100</f>
        <v>6.5245113209976608</v>
      </c>
      <c r="T87" s="21">
        <f>(1-NORMSDIST((LN(I87*1000000/5)-پارامترها!$B$15)/پارامترها!$B$14))*100</f>
        <v>1.7428119546662679</v>
      </c>
      <c r="U87" s="21">
        <f>MIN(100,پارامترها!$B$9/1000000/I87*100)</f>
        <v>7.7406869859700054</v>
      </c>
      <c r="V87" s="19">
        <f>MAX(0,I87-پارامترها!$B$9/1000000)</f>
        <v>23837.5</v>
      </c>
      <c r="W87" s="21">
        <f>V87/(G87*پارامترها!$B$7)</f>
        <v>59.774383929309522</v>
      </c>
      <c r="X87" s="21">
        <f>پارامترها!$B$12/1000000/(G87/12)*100</f>
        <v>36.357586399454753</v>
      </c>
      <c r="Y87" s="21">
        <f>ROUND(50*MIN(1,3/K87)+50*MIN(1,30/P87),1)</f>
        <v>31.9</v>
      </c>
      <c r="Z87" s="3">
        <f t="shared" si="5"/>
        <v>72</v>
      </c>
      <c r="AA87" s="19">
        <v>86</v>
      </c>
      <c r="AB87" s="19">
        <v>92</v>
      </c>
      <c r="AC87" s="3" t="s">
        <v>83</v>
      </c>
      <c r="AD87" s="3" t="s">
        <v>84</v>
      </c>
      <c r="AE87" s="3" t="s">
        <v>200</v>
      </c>
      <c r="AF87" s="23" t="s">
        <v>85</v>
      </c>
    </row>
    <row r="88" spans="1:32" ht="16.5" x14ac:dyDescent="0.3">
      <c r="A88" s="3">
        <v>87</v>
      </c>
      <c r="B88" s="3">
        <v>5</v>
      </c>
      <c r="C88" s="3" t="s">
        <v>201</v>
      </c>
      <c r="D88" s="19">
        <v>28758</v>
      </c>
      <c r="E88" s="19">
        <f>ROUND(D88/INDEX(مناطق!$D$2:$D$23,B88),0)</f>
        <v>9792</v>
      </c>
      <c r="F88" s="20">
        <v>1.3656999999999999</v>
      </c>
      <c r="G88" s="19">
        <f>پارامترها!$B$5*F88/1000000</f>
        <v>1329.304095</v>
      </c>
      <c r="H88" s="21">
        <v>344.5</v>
      </c>
      <c r="I88" s="19">
        <f>H88*پارامترها!$B$6</f>
        <v>25837.5</v>
      </c>
      <c r="J88" s="22">
        <v>110</v>
      </c>
      <c r="K88" s="21">
        <f t="shared" si="3"/>
        <v>19.436861811518003</v>
      </c>
      <c r="L88" s="21">
        <f>I88/(پارامترها!$B$5/1000000)</f>
        <v>26.544922175990134</v>
      </c>
      <c r="M88" s="21">
        <f>K88/پارامترها!$B$7</f>
        <v>64.789539371726676</v>
      </c>
      <c r="N88" s="21">
        <v>30.56</v>
      </c>
      <c r="O88" s="21">
        <f>N88*پارامترها!$B$6*پارامترها!$B$16</f>
        <v>68.759999999999991</v>
      </c>
      <c r="P88" s="21">
        <f>O88*12/G88*100</f>
        <v>62.071575879708696</v>
      </c>
      <c r="Q88" s="21">
        <f>O88*12/(پارامترها!$B$5/1000000)*100</f>
        <v>84.771151178918146</v>
      </c>
      <c r="R88" s="3" t="str">
        <f t="shared" si="4"/>
        <v>فشار شدید</v>
      </c>
      <c r="S88" s="21">
        <f>(1-NORMSDIST((LN(O88*12*1000000/پارامترها!$B$8)-پارامترها!$B$15)/پارامترها!$B$14))*100</f>
        <v>6.5245113209976608</v>
      </c>
      <c r="T88" s="21">
        <f>(1-NORMSDIST((LN(I88*1000000/5)-پارامترها!$B$15)/پارامترها!$B$14))*100</f>
        <v>1.7428119546662679</v>
      </c>
      <c r="U88" s="21">
        <f>MIN(100,پارامترها!$B$9/1000000/I88*100)</f>
        <v>7.7406869859700054</v>
      </c>
      <c r="V88" s="19">
        <f>MAX(0,I88-پارامترها!$B$9/1000000)</f>
        <v>23837.5</v>
      </c>
      <c r="W88" s="21">
        <f>V88/(G88*پارامترها!$B$7)</f>
        <v>59.774383929309522</v>
      </c>
      <c r="X88" s="21">
        <f>پارامترها!$B$12/1000000/(G88/12)*100</f>
        <v>36.357586399454753</v>
      </c>
      <c r="Y88" s="21">
        <f>ROUND(50*MIN(1,3/K88)+50*MIN(1,30/P88),1)</f>
        <v>31.9</v>
      </c>
      <c r="Z88" s="3">
        <f t="shared" si="5"/>
        <v>72</v>
      </c>
      <c r="AA88" s="19">
        <v>86</v>
      </c>
      <c r="AB88" s="19">
        <v>92</v>
      </c>
      <c r="AC88" s="3" t="s">
        <v>83</v>
      </c>
      <c r="AD88" s="3" t="s">
        <v>146</v>
      </c>
      <c r="AE88" s="3" t="s">
        <v>200</v>
      </c>
      <c r="AF88" s="23" t="s">
        <v>90</v>
      </c>
    </row>
    <row r="89" spans="1:32" x14ac:dyDescent="0.2">
      <c r="A89" s="3">
        <v>88</v>
      </c>
      <c r="B89" s="3">
        <v>5</v>
      </c>
      <c r="C89" s="3" t="s">
        <v>202</v>
      </c>
      <c r="D89" s="19">
        <v>40641</v>
      </c>
      <c r="E89" s="19">
        <f>ROUND(D89/INDEX(مناطق!$D$2:$D$23,B89),0)</f>
        <v>13838</v>
      </c>
      <c r="F89" s="20">
        <v>1.3389</v>
      </c>
      <c r="G89" s="19">
        <f>پارامترها!$B$5*F89/1000000</f>
        <v>1303.2183150000003</v>
      </c>
      <c r="H89" s="21">
        <v>338</v>
      </c>
      <c r="I89" s="19">
        <f>H89*پارامترها!$B$6</f>
        <v>25350</v>
      </c>
      <c r="J89" s="22">
        <v>132.5</v>
      </c>
      <c r="K89" s="21">
        <f t="shared" si="3"/>
        <v>19.451844490076855</v>
      </c>
      <c r="L89" s="21">
        <f>I89/(پارامترها!$B$5/1000000)</f>
        <v>26.044074587763905</v>
      </c>
      <c r="M89" s="21">
        <f>K89/پارامترها!$B$7</f>
        <v>64.839481633589514</v>
      </c>
      <c r="N89" s="21">
        <v>34.049999999999997</v>
      </c>
      <c r="O89" s="21">
        <f>N89*پارامترها!$B$6*پارامترها!$B$16</f>
        <v>76.612499999999997</v>
      </c>
      <c r="P89" s="21">
        <f>O89*12/G89*100</f>
        <v>70.544588686201791</v>
      </c>
      <c r="Q89" s="21">
        <f>O89*12/(پارامترها!$B$5/1000000)*100</f>
        <v>94.452149791955591</v>
      </c>
      <c r="R89" s="3" t="str">
        <f t="shared" si="4"/>
        <v>فشار شدید</v>
      </c>
      <c r="S89" s="21">
        <f>(1-NORMSDIST((LN(O89*12*1000000/پارامترها!$B$8)-پارامترها!$B$15)/پارامترها!$B$14))*100</f>
        <v>5.3189237491284125</v>
      </c>
      <c r="T89" s="21">
        <f>(1-NORMSDIST((LN(I89*1000000/5)-پارامترها!$B$15)/پارامترها!$B$14))*100</f>
        <v>1.822074407144969</v>
      </c>
      <c r="U89" s="21">
        <f>MIN(100,پارامترها!$B$9/1000000/I89*100)</f>
        <v>7.8895463510848129</v>
      </c>
      <c r="V89" s="19">
        <f>MAX(0,I89-پارامترها!$B$9/1000000)</f>
        <v>23350</v>
      </c>
      <c r="W89" s="21">
        <f>V89/(G89*پارامترها!$B$7)</f>
        <v>59.723940676304352</v>
      </c>
      <c r="X89" s="21">
        <f>پارامترها!$B$12/1000000/(G89/12)*100</f>
        <v>37.085335533449353</v>
      </c>
      <c r="Y89" s="21">
        <f>ROUND(50*MIN(1,3/K89)+50*MIN(1,30/P89),1)</f>
        <v>29</v>
      </c>
      <c r="Z89" s="3">
        <f t="shared" si="5"/>
        <v>227</v>
      </c>
      <c r="AA89" s="19">
        <v>35</v>
      </c>
      <c r="AB89" s="19">
        <v>24</v>
      </c>
      <c r="AC89" s="3" t="s">
        <v>83</v>
      </c>
      <c r="AD89" s="3" t="s">
        <v>84</v>
      </c>
      <c r="AE89" s="3" t="s">
        <v>202</v>
      </c>
      <c r="AF89" s="23" t="s">
        <v>85</v>
      </c>
    </row>
    <row r="90" spans="1:32" x14ac:dyDescent="0.2">
      <c r="A90" s="3">
        <v>89</v>
      </c>
      <c r="B90" s="3">
        <v>5</v>
      </c>
      <c r="C90" s="3" t="s">
        <v>203</v>
      </c>
      <c r="D90" s="19">
        <v>38758</v>
      </c>
      <c r="E90" s="19">
        <f>ROUND(D90/INDEX(مناطق!$D$2:$D$23,B90),0)</f>
        <v>13197</v>
      </c>
      <c r="F90" s="20">
        <v>1.3008</v>
      </c>
      <c r="G90" s="19">
        <f>پارامترها!$B$5*F90/1000000</f>
        <v>1266.1336799999999</v>
      </c>
      <c r="H90" s="21">
        <v>328.7</v>
      </c>
      <c r="I90" s="19">
        <f>H90*پارامترها!$B$6</f>
        <v>24652.5</v>
      </c>
      <c r="J90" s="22">
        <v>99</v>
      </c>
      <c r="K90" s="21">
        <f t="shared" si="3"/>
        <v>19.470692857645176</v>
      </c>
      <c r="L90" s="21">
        <f>I90/(پارامترها!$B$5/1000000)</f>
        <v>25.32747726922484</v>
      </c>
      <c r="M90" s="21">
        <f>K90/پارامترها!$B$7</f>
        <v>64.902309525483929</v>
      </c>
      <c r="N90" s="21">
        <v>29.7</v>
      </c>
      <c r="O90" s="21">
        <f>N90*پارامترها!$B$6*پارامترها!$B$16</f>
        <v>66.825000000000003</v>
      </c>
      <c r="P90" s="21">
        <f>O90*12/G90*100</f>
        <v>63.334544579842479</v>
      </c>
      <c r="Q90" s="21">
        <f>O90*12/(پارامترها!$B$5/1000000)*100</f>
        <v>82.38557558945908</v>
      </c>
      <c r="R90" s="3" t="str">
        <f t="shared" si="4"/>
        <v>فشار شدید</v>
      </c>
      <c r="S90" s="21">
        <f>(1-NORMSDIST((LN(O90*12*1000000/پارامترها!$B$8)-پارامترها!$B$15)/پارامترها!$B$14))*100</f>
        <v>6.8757238279435917</v>
      </c>
      <c r="T90" s="21">
        <f>(1-NORMSDIST((LN(I90*1000000/5)-پارامترها!$B$15)/پارامترها!$B$14))*100</f>
        <v>1.9437053794579051</v>
      </c>
      <c r="U90" s="21">
        <f>MIN(100,پارامترها!$B$9/1000000/I90*100)</f>
        <v>8.1127674678024544</v>
      </c>
      <c r="V90" s="19">
        <f>MAX(0,I90-پارامترها!$B$9/1000000)</f>
        <v>22652.5</v>
      </c>
      <c r="W90" s="21">
        <f>V90/(G90*پارامترها!$B$7)</f>
        <v>59.636936072448009</v>
      </c>
      <c r="X90" s="21">
        <f>پارامترها!$B$12/1000000/(G90/12)*100</f>
        <v>38.171552695061003</v>
      </c>
      <c r="Y90" s="21">
        <f>ROUND(50*MIN(1,3/K90)+50*MIN(1,30/P90),1)</f>
        <v>31.4</v>
      </c>
      <c r="Z90" s="3">
        <f t="shared" si="5"/>
        <v>88</v>
      </c>
      <c r="AA90" s="19">
        <v>90</v>
      </c>
      <c r="AB90" s="19">
        <v>90</v>
      </c>
      <c r="AC90" s="3" t="s">
        <v>83</v>
      </c>
      <c r="AD90" s="3" t="s">
        <v>84</v>
      </c>
      <c r="AE90" s="3" t="s">
        <v>204</v>
      </c>
      <c r="AF90" s="23" t="s">
        <v>85</v>
      </c>
    </row>
    <row r="91" spans="1:32" x14ac:dyDescent="0.2">
      <c r="A91" s="3">
        <v>90</v>
      </c>
      <c r="B91" s="3">
        <v>5</v>
      </c>
      <c r="C91" s="3" t="s">
        <v>205</v>
      </c>
      <c r="D91" s="19">
        <v>71891</v>
      </c>
      <c r="E91" s="19">
        <f>ROUND(D91/INDEX(مناطق!$D$2:$D$23,B91),0)</f>
        <v>24479</v>
      </c>
      <c r="F91" s="20">
        <v>1.2891999999999999</v>
      </c>
      <c r="G91" s="19">
        <f>پارامترها!$B$5*F91/1000000</f>
        <v>1254.8428200000001</v>
      </c>
      <c r="H91" s="21">
        <v>325.89999999999998</v>
      </c>
      <c r="I91" s="19">
        <f>H91*پارامترها!$B$6</f>
        <v>24442.5</v>
      </c>
      <c r="J91" s="22">
        <v>101.5</v>
      </c>
      <c r="K91" s="21">
        <f t="shared" si="3"/>
        <v>19.478535168253185</v>
      </c>
      <c r="L91" s="21">
        <f>I91/(پارامترها!$B$5/1000000)</f>
        <v>25.111727538912003</v>
      </c>
      <c r="M91" s="21">
        <f>K91/پارامترها!$B$7</f>
        <v>64.928450560843956</v>
      </c>
      <c r="N91" s="21">
        <v>29.34</v>
      </c>
      <c r="O91" s="21">
        <f>N91*پارامترها!$B$6*پارامترها!$B$16</f>
        <v>66.015000000000001</v>
      </c>
      <c r="P91" s="21">
        <f>O91*12/G91*100</f>
        <v>63.12981892026923</v>
      </c>
      <c r="Q91" s="21">
        <f>O91*12/(پارامترها!$B$5/1000000)*100</f>
        <v>81.386962552011084</v>
      </c>
      <c r="R91" s="3" t="str">
        <f t="shared" si="4"/>
        <v>فشار شدید</v>
      </c>
      <c r="S91" s="21">
        <f>(1-NORMSDIST((LN(O91*12*1000000/پارامترها!$B$8)-پارامترها!$B$15)/پارامترها!$B$14))*100</f>
        <v>7.0301449350631984</v>
      </c>
      <c r="T91" s="21">
        <f>(1-NORMSDIST((LN(I91*1000000/5)-پارامترها!$B$15)/پارامترها!$B$14))*100</f>
        <v>1.9823550020421132</v>
      </c>
      <c r="U91" s="21">
        <f>MIN(100,پارامترها!$B$9/1000000/I91*100)</f>
        <v>8.1824690600388656</v>
      </c>
      <c r="V91" s="19">
        <f>MAX(0,I91-پارامترها!$B$9/1000000)</f>
        <v>22442.5</v>
      </c>
      <c r="W91" s="21">
        <f>V91/(G91*پارامترها!$B$7)</f>
        <v>59.615700182540259</v>
      </c>
      <c r="X91" s="21">
        <f>پارامترها!$B$12/1000000/(G91/12)*100</f>
        <v>38.515013764920369</v>
      </c>
      <c r="Y91" s="21">
        <f>ROUND(50*MIN(1,3/K91)+50*MIN(1,30/P91),1)</f>
        <v>31.5</v>
      </c>
      <c r="Z91" s="3">
        <f t="shared" si="5"/>
        <v>85</v>
      </c>
      <c r="AA91" s="19">
        <v>92</v>
      </c>
      <c r="AB91" s="19">
        <v>94</v>
      </c>
      <c r="AC91" s="3" t="s">
        <v>83</v>
      </c>
      <c r="AD91" s="3" t="s">
        <v>84</v>
      </c>
      <c r="AE91" s="3" t="s">
        <v>206</v>
      </c>
      <c r="AF91" s="23" t="s">
        <v>85</v>
      </c>
    </row>
    <row r="92" spans="1:32" ht="16.5" x14ac:dyDescent="0.3">
      <c r="A92" s="3">
        <v>91</v>
      </c>
      <c r="B92" s="3">
        <v>5</v>
      </c>
      <c r="C92" s="3" t="s">
        <v>207</v>
      </c>
      <c r="D92" s="19">
        <v>66323</v>
      </c>
      <c r="E92" s="19">
        <f>ROUND(D92/INDEX(مناطق!$D$2:$D$23,B92),0)</f>
        <v>22583</v>
      </c>
      <c r="F92" s="20">
        <v>1.2879</v>
      </c>
      <c r="G92" s="19">
        <f>پارامترها!$B$5*F92/1000000</f>
        <v>1253.5774650000003</v>
      </c>
      <c r="H92" s="21">
        <v>325.5</v>
      </c>
      <c r="I92" s="19">
        <f>H92*پارامترها!$B$6</f>
        <v>24412.5</v>
      </c>
      <c r="J92" s="22">
        <v>100</v>
      </c>
      <c r="K92" s="21">
        <f t="shared" si="3"/>
        <v>19.474265198281937</v>
      </c>
      <c r="L92" s="21">
        <f>I92/(پارامترها!$B$5/1000000)</f>
        <v>25.08090614886731</v>
      </c>
      <c r="M92" s="21">
        <f>K92/پارامترها!$B$7</f>
        <v>64.914217327606465</v>
      </c>
      <c r="N92" s="21">
        <v>31.15</v>
      </c>
      <c r="O92" s="21">
        <f>N92*پارامترها!$B$6*پارامترها!$B$16</f>
        <v>70.087499999999991</v>
      </c>
      <c r="P92" s="21">
        <f>O92*12/G92*100</f>
        <v>67.091984618597124</v>
      </c>
      <c r="Q92" s="21">
        <f>O92*12/(پارامترها!$B$5/1000000)*100</f>
        <v>86.40776699029125</v>
      </c>
      <c r="R92" s="3" t="str">
        <f t="shared" si="4"/>
        <v>فشار شدید</v>
      </c>
      <c r="S92" s="21">
        <f>(1-NORMSDIST((LN(O92*12*1000000/پارامترها!$B$8)-پارامترها!$B$15)/پارامترها!$B$14))*100</f>
        <v>6.2971295145501038</v>
      </c>
      <c r="T92" s="21">
        <f>(1-NORMSDIST((LN(I92*1000000/5)-پارامترها!$B$15)/پارامترها!$B$14))*100</f>
        <v>1.9879566523548498</v>
      </c>
      <c r="U92" s="21">
        <f>MIN(100,پارامترها!$B$9/1000000/I92*100)</f>
        <v>8.1925243215565793</v>
      </c>
      <c r="V92" s="19">
        <f>MAX(0,I92-پارامترها!$B$9/1000000)</f>
        <v>22412.5</v>
      </c>
      <c r="W92" s="21">
        <f>V92/(G92*پارامترها!$B$7)</f>
        <v>59.59610428489421</v>
      </c>
      <c r="X92" s="21">
        <f>پارامترها!$B$12/1000000/(G92/12)*100</f>
        <v>38.553890632607605</v>
      </c>
      <c r="Y92" s="21">
        <f>ROUND(50*MIN(1,3/K92)+50*MIN(1,30/P92),1)</f>
        <v>30.1</v>
      </c>
      <c r="Z92" s="3">
        <f t="shared" si="5"/>
        <v>158</v>
      </c>
      <c r="AA92" s="19">
        <v>86</v>
      </c>
      <c r="AB92" s="19">
        <v>94</v>
      </c>
      <c r="AC92" s="3" t="s">
        <v>83</v>
      </c>
      <c r="AD92" s="3" t="s">
        <v>93</v>
      </c>
      <c r="AE92" s="3" t="s">
        <v>207</v>
      </c>
      <c r="AF92" s="23" t="s">
        <v>85</v>
      </c>
    </row>
    <row r="93" spans="1:32" ht="16.5" x14ac:dyDescent="0.3">
      <c r="A93" s="3">
        <v>92</v>
      </c>
      <c r="B93" s="3">
        <v>5</v>
      </c>
      <c r="C93" s="3" t="s">
        <v>208</v>
      </c>
      <c r="D93" s="19">
        <v>25328</v>
      </c>
      <c r="E93" s="19">
        <f>ROUND(D93/INDEX(مناطق!$D$2:$D$23,B93),0)</f>
        <v>8624</v>
      </c>
      <c r="F93" s="20">
        <v>1.2351000000000001</v>
      </c>
      <c r="G93" s="19">
        <f>پارامترها!$B$5*F93/1000000</f>
        <v>1202.1845850000002</v>
      </c>
      <c r="H93" s="21">
        <v>312.60000000000002</v>
      </c>
      <c r="I93" s="19">
        <f>H93*پارامترها!$B$6</f>
        <v>23445</v>
      </c>
      <c r="J93" s="22">
        <v>90</v>
      </c>
      <c r="K93" s="21">
        <f t="shared" si="3"/>
        <v>19.501996858494071</v>
      </c>
      <c r="L93" s="21">
        <f>I93/(پارامترها!$B$5/1000000)</f>
        <v>24.086916319926026</v>
      </c>
      <c r="M93" s="21">
        <f>K93/پارامترها!$B$7</f>
        <v>65.006656194980238</v>
      </c>
      <c r="N93" s="21">
        <v>31.87</v>
      </c>
      <c r="O93" s="21">
        <f>N93*پارامترها!$B$6*پارامترها!$B$16</f>
        <v>71.707499999999996</v>
      </c>
      <c r="P93" s="21">
        <f>O93*12/G93*100</f>
        <v>71.577194611923915</v>
      </c>
      <c r="Q93" s="21">
        <f>O93*12/(پارامترها!$B$5/1000000)*100</f>
        <v>88.404993065187227</v>
      </c>
      <c r="R93" s="3" t="str">
        <f t="shared" si="4"/>
        <v>فشار شدید</v>
      </c>
      <c r="S93" s="21">
        <f>(1-NORMSDIST((LN(O93*12*1000000/پارامترها!$B$8)-پارامترها!$B$15)/پارامترها!$B$14))*100</f>
        <v>6.0335614818592287</v>
      </c>
      <c r="T93" s="21">
        <f>(1-NORMSDIST((LN(I93*1000000/5)-پارامترها!$B$15)/پارامترها!$B$14))*100</f>
        <v>2.1800466501646798</v>
      </c>
      <c r="U93" s="21">
        <f>MIN(100,پارامترها!$B$9/1000000/I93*100)</f>
        <v>8.5306035402004703</v>
      </c>
      <c r="V93" s="19">
        <f>MAX(0,I93-پارامترها!$B$9/1000000)</f>
        <v>21445</v>
      </c>
      <c r="W93" s="21">
        <f>V93/(G93*پارامترها!$B$7)</f>
        <v>59.461196080245301</v>
      </c>
      <c r="X93" s="21">
        <f>پارامترها!$B$12/1000000/(G93/12)*100</f>
        <v>40.202053069172813</v>
      </c>
      <c r="Y93" s="21">
        <f>ROUND(50*MIN(1,3/K93)+50*MIN(1,30/P93),1)</f>
        <v>28.6</v>
      </c>
      <c r="Z93" s="3">
        <f t="shared" si="5"/>
        <v>235</v>
      </c>
      <c r="AA93" s="19">
        <v>90</v>
      </c>
      <c r="AB93" s="19">
        <v>90</v>
      </c>
      <c r="AC93" s="3" t="s">
        <v>83</v>
      </c>
      <c r="AD93" s="3" t="s">
        <v>93</v>
      </c>
      <c r="AE93" s="3" t="s">
        <v>208</v>
      </c>
      <c r="AF93" s="23" t="s">
        <v>85</v>
      </c>
    </row>
    <row r="94" spans="1:32" ht="16.5" x14ac:dyDescent="0.3">
      <c r="A94" s="3">
        <v>93</v>
      </c>
      <c r="B94" s="3">
        <v>5</v>
      </c>
      <c r="C94" s="3" t="s">
        <v>107</v>
      </c>
      <c r="D94" s="19">
        <v>9705</v>
      </c>
      <c r="E94" s="19">
        <f>ROUND(D94/INDEX(مناطق!$D$2:$D$23,B94),0)</f>
        <v>3305</v>
      </c>
      <c r="F94" s="20">
        <v>1.232</v>
      </c>
      <c r="G94" s="19">
        <f>پارامترها!$B$5*F94/1000000</f>
        <v>1199.1672000000003</v>
      </c>
      <c r="H94" s="21">
        <v>311.89999999999998</v>
      </c>
      <c r="I94" s="19">
        <f>H94*پارامترها!$B$6</f>
        <v>23392.5</v>
      </c>
      <c r="J94" s="22">
        <v>79</v>
      </c>
      <c r="K94" s="21">
        <f t="shared" si="3"/>
        <v>19.507288057912184</v>
      </c>
      <c r="L94" s="21">
        <f>I94/(پارامترها!$B$5/1000000)</f>
        <v>24.032978887347817</v>
      </c>
      <c r="M94" s="21">
        <f>K94/پارامترها!$B$7</f>
        <v>65.024293526373953</v>
      </c>
      <c r="N94" s="21">
        <v>26.67</v>
      </c>
      <c r="O94" s="21">
        <f>N94*پارامترها!$B$6*پارامترها!$B$16</f>
        <v>60.007500000000007</v>
      </c>
      <c r="P94" s="21">
        <f>O94*12/G94*100</f>
        <v>60.049174126844029</v>
      </c>
      <c r="Q94" s="21">
        <f>O94*12/(پارامترها!$B$5/1000000)*100</f>
        <v>73.980582524271853</v>
      </c>
      <c r="R94" s="3" t="str">
        <f t="shared" si="4"/>
        <v>فشار شدید</v>
      </c>
      <c r="S94" s="21">
        <f>(1-NORMSDIST((LN(O94*12*1000000/پارامترها!$B$8)-پارامترها!$B$15)/پارامترها!$B$14))*100</f>
        <v>8.3317402750268776</v>
      </c>
      <c r="T94" s="21">
        <f>(1-NORMSDIST((LN(I94*1000000/5)-پارامترها!$B$15)/پارامترها!$B$14))*100</f>
        <v>2.1911393084231179</v>
      </c>
      <c r="U94" s="21">
        <f>MIN(100,پارامترها!$B$9/1000000/I94*100)</f>
        <v>8.5497488511274984</v>
      </c>
      <c r="V94" s="19">
        <f>MAX(0,I94-پارامترها!$B$9/1000000)</f>
        <v>21392.5</v>
      </c>
      <c r="W94" s="21">
        <f>V94/(G94*پارامترها!$B$7)</f>
        <v>59.464879737649021</v>
      </c>
      <c r="X94" s="21">
        <f>پارامترها!$B$12/1000000/(G94/12)*100</f>
        <v>40.303210832577378</v>
      </c>
      <c r="Y94" s="21">
        <f>ROUND(50*MIN(1,3/K94)+50*MIN(1,30/P94),1)</f>
        <v>32.700000000000003</v>
      </c>
      <c r="Z94" s="3">
        <f t="shared" si="5"/>
        <v>38</v>
      </c>
      <c r="AA94" s="19">
        <v>91</v>
      </c>
      <c r="AB94" s="19">
        <v>58</v>
      </c>
      <c r="AC94" s="3" t="s">
        <v>83</v>
      </c>
      <c r="AD94" s="3" t="s">
        <v>93</v>
      </c>
      <c r="AE94" s="3" t="s">
        <v>209</v>
      </c>
      <c r="AF94" s="23" t="s">
        <v>85</v>
      </c>
    </row>
    <row r="95" spans="1:32" x14ac:dyDescent="0.2">
      <c r="A95" s="3">
        <v>94</v>
      </c>
      <c r="B95" s="3">
        <v>5</v>
      </c>
      <c r="C95" s="3" t="s">
        <v>210</v>
      </c>
      <c r="D95" s="19">
        <v>51011</v>
      </c>
      <c r="E95" s="19">
        <f>ROUND(D95/INDEX(مناطق!$D$2:$D$23,B95),0)</f>
        <v>17370</v>
      </c>
      <c r="F95" s="20">
        <v>1.2164999999999999</v>
      </c>
      <c r="G95" s="19">
        <f>پارامترها!$B$5*F95/1000000</f>
        <v>1184.080275</v>
      </c>
      <c r="H95" s="21">
        <v>308.10000000000002</v>
      </c>
      <c r="I95" s="19">
        <f>H95*پارامترها!$B$6</f>
        <v>23107.5</v>
      </c>
      <c r="J95" s="22">
        <v>90</v>
      </c>
      <c r="K95" s="21">
        <f t="shared" si="3"/>
        <v>19.515146470960339</v>
      </c>
      <c r="L95" s="21">
        <f>I95/(پارامترها!$B$5/1000000)</f>
        <v>23.740175681923251</v>
      </c>
      <c r="M95" s="21">
        <f>K95/پارامترها!$B$7</f>
        <v>65.050488236534463</v>
      </c>
      <c r="N95" s="21">
        <v>28.53</v>
      </c>
      <c r="O95" s="21">
        <f>N95*پارامترها!$B$6*پارامترها!$B$16</f>
        <v>64.192499999999995</v>
      </c>
      <c r="P95" s="21">
        <f>O95*12/G95*100</f>
        <v>65.055555460545094</v>
      </c>
      <c r="Q95" s="21">
        <f>O95*12/(پارامترها!$B$5/1000000)*100</f>
        <v>79.140083217753102</v>
      </c>
      <c r="R95" s="3" t="str">
        <f t="shared" si="4"/>
        <v>فشار شدید</v>
      </c>
      <c r="S95" s="21">
        <f>(1-NORMSDIST((LN(O95*12*1000000/پارامترها!$B$8)-پارامترها!$B$15)/پارامترها!$B$14))*100</f>
        <v>7.3947117377023304</v>
      </c>
      <c r="T95" s="21">
        <f>(1-NORMSDIST((LN(I95*1000000/5)-پارامترها!$B$15)/پارامترها!$B$14))*100</f>
        <v>2.2526406025499823</v>
      </c>
      <c r="U95" s="21">
        <f>MIN(100,پارامترها!$B$9/1000000/I95*100)</f>
        <v>8.6551985286162498</v>
      </c>
      <c r="V95" s="19">
        <f>MAX(0,I95-پارامترها!$B$9/1000000)</f>
        <v>21107.5</v>
      </c>
      <c r="W95" s="21">
        <f>V95/(G95*پارامترها!$B$7)</f>
        <v>59.420239335828249</v>
      </c>
      <c r="X95" s="21">
        <f>پارامترها!$B$12/1000000/(G95/12)*100</f>
        <v>40.816733042117015</v>
      </c>
      <c r="Y95" s="21">
        <f>ROUND(50*MIN(1,3/K95)+50*MIN(1,30/P95),1)</f>
        <v>30.7</v>
      </c>
      <c r="Z95" s="3">
        <f t="shared" si="5"/>
        <v>120</v>
      </c>
      <c r="AA95" s="19">
        <v>93</v>
      </c>
      <c r="AB95" s="19">
        <v>88</v>
      </c>
      <c r="AC95" s="3" t="s">
        <v>83</v>
      </c>
      <c r="AD95" s="3" t="s">
        <v>84</v>
      </c>
      <c r="AE95" s="3" t="s">
        <v>211</v>
      </c>
      <c r="AF95" s="23" t="s">
        <v>85</v>
      </c>
    </row>
    <row r="96" spans="1:32" x14ac:dyDescent="0.2">
      <c r="A96" s="3">
        <v>95</v>
      </c>
      <c r="B96" s="3">
        <v>5</v>
      </c>
      <c r="C96" s="3" t="s">
        <v>212</v>
      </c>
      <c r="D96" s="19">
        <v>64263</v>
      </c>
      <c r="E96" s="19">
        <f>ROUND(D96/INDEX(مناطق!$D$2:$D$23,B96),0)</f>
        <v>21882</v>
      </c>
      <c r="F96" s="20">
        <v>1.2121</v>
      </c>
      <c r="G96" s="19">
        <f>پارامترها!$B$5*F96/1000000</f>
        <v>1179.7975349999999</v>
      </c>
      <c r="H96" s="21">
        <v>307</v>
      </c>
      <c r="I96" s="19">
        <f>H96*پارامترها!$B$6</f>
        <v>23025</v>
      </c>
      <c r="J96" s="22">
        <v>86.5</v>
      </c>
      <c r="K96" s="21">
        <f t="shared" si="3"/>
        <v>19.516060439980492</v>
      </c>
      <c r="L96" s="21">
        <f>I96/(پارامترها!$B$5/1000000)</f>
        <v>23.655416859300352</v>
      </c>
      <c r="M96" s="21">
        <f>K96/پارامترها!$B$7</f>
        <v>65.05353479993498</v>
      </c>
      <c r="N96" s="21">
        <v>29</v>
      </c>
      <c r="O96" s="21">
        <f>N96*پارامترها!$B$6*پارامترها!$B$16</f>
        <v>65.25</v>
      </c>
      <c r="P96" s="21">
        <f>O96*12/G96*100</f>
        <v>66.367319541822908</v>
      </c>
      <c r="Q96" s="21">
        <f>O96*12/(پارامترها!$B$5/1000000)*100</f>
        <v>80.443828016643536</v>
      </c>
      <c r="R96" s="3" t="str">
        <f t="shared" si="4"/>
        <v>فشار شدید</v>
      </c>
      <c r="S96" s="21">
        <f>(1-NORMSDIST((LN(O96*12*1000000/پارامترها!$B$8)-پارامترها!$B$15)/پارامترها!$B$14))*100</f>
        <v>7.1802163156094885</v>
      </c>
      <c r="T96" s="21">
        <f>(1-NORMSDIST((LN(I96*1000000/5)-پارامترها!$B$15)/پارامترها!$B$14))*100</f>
        <v>2.2708571988960147</v>
      </c>
      <c r="U96" s="21">
        <f>MIN(100,پارامترها!$B$9/1000000/I96*100)</f>
        <v>8.686210640608035</v>
      </c>
      <c r="V96" s="19">
        <f>MAX(0,I96-پارامترها!$B$9/1000000)</f>
        <v>21025</v>
      </c>
      <c r="W96" s="21">
        <f>V96/(G96*پارامترها!$B$7)</f>
        <v>59.402847738051371</v>
      </c>
      <c r="X96" s="21">
        <f>پارامترها!$B$12/1000000/(G96/12)*100</f>
        <v>40.964900375988243</v>
      </c>
      <c r="Y96" s="21">
        <f>ROUND(50*MIN(1,3/K96)+50*MIN(1,30/P96),1)</f>
        <v>30.3</v>
      </c>
      <c r="Z96" s="3">
        <f t="shared" si="5"/>
        <v>151</v>
      </c>
      <c r="AA96" s="19">
        <v>88</v>
      </c>
      <c r="AB96" s="19">
        <v>94</v>
      </c>
      <c r="AC96" s="3" t="s">
        <v>83</v>
      </c>
      <c r="AD96" s="3" t="s">
        <v>84</v>
      </c>
      <c r="AE96" s="3" t="s">
        <v>212</v>
      </c>
      <c r="AF96" s="23" t="s">
        <v>85</v>
      </c>
    </row>
    <row r="97" spans="1:32" ht="16.5" x14ac:dyDescent="0.3">
      <c r="A97" s="3">
        <v>96</v>
      </c>
      <c r="B97" s="3">
        <v>5</v>
      </c>
      <c r="C97" s="3" t="s">
        <v>213</v>
      </c>
      <c r="D97" s="19">
        <v>26312</v>
      </c>
      <c r="E97" s="19">
        <f>ROUND(D97/INDEX(مناطق!$D$2:$D$23,B97),0)</f>
        <v>8959</v>
      </c>
      <c r="F97" s="20">
        <v>1.1847000000000001</v>
      </c>
      <c r="G97" s="19">
        <f>پارامترها!$B$5*F97/1000000</f>
        <v>1153.1277450000002</v>
      </c>
      <c r="H97" s="21">
        <v>300.3</v>
      </c>
      <c r="I97" s="19">
        <f>H97*پارامترها!$B$6</f>
        <v>22522.5</v>
      </c>
      <c r="J97" s="22">
        <v>75.5</v>
      </c>
      <c r="K97" s="21">
        <f t="shared" si="3"/>
        <v>19.531660822192769</v>
      </c>
      <c r="L97" s="21">
        <f>I97/(پارامترها!$B$5/1000000)</f>
        <v>23.139158576051777</v>
      </c>
      <c r="M97" s="21">
        <f>K97/پارامترها!$B$7</f>
        <v>65.105536073975898</v>
      </c>
      <c r="N97" s="21">
        <v>27.69</v>
      </c>
      <c r="O97" s="21">
        <f>N97*پارامترها!$B$6*پارامترها!$B$16</f>
        <v>62.302499999999995</v>
      </c>
      <c r="P97" s="21">
        <f>O97*12/G97*100</f>
        <v>64.834967612369752</v>
      </c>
      <c r="Q97" s="21">
        <f>O97*12/(پارامترها!$B$5/1000000)*100</f>
        <v>76.809986130374455</v>
      </c>
      <c r="R97" s="3" t="str">
        <f t="shared" si="4"/>
        <v>فشار شدید</v>
      </c>
      <c r="S97" s="21">
        <f>(1-NORMSDIST((LN(O97*12*1000000/پارامترها!$B$8)-پارامترها!$B$15)/پارامترها!$B$14))*100</f>
        <v>7.7996368906091522</v>
      </c>
      <c r="T97" s="21">
        <f>(1-NORMSDIST((LN(I97*1000000/5)-پارامترها!$B$15)/پارامترها!$B$14))*100</f>
        <v>2.386008819862695</v>
      </c>
      <c r="U97" s="21">
        <f>MIN(100,پارامترها!$B$9/1000000/I97*100)</f>
        <v>8.8800088800088801</v>
      </c>
      <c r="V97" s="19">
        <f>MAX(0,I97-پارامترها!$B$9/1000000)</f>
        <v>20522.5</v>
      </c>
      <c r="W97" s="21">
        <f>V97/(G97*پارامترها!$B$7)</f>
        <v>59.324158689229456</v>
      </c>
      <c r="X97" s="21">
        <f>پارامترها!$B$12/1000000/(G97/12)*100</f>
        <v>41.912345526914272</v>
      </c>
      <c r="Y97" s="21">
        <f>ROUND(50*MIN(1,3/K97)+50*MIN(1,30/P97),1)</f>
        <v>30.8</v>
      </c>
      <c r="Z97" s="3">
        <f t="shared" si="5"/>
        <v>113</v>
      </c>
      <c r="AA97" s="19">
        <v>87</v>
      </c>
      <c r="AB97" s="19">
        <v>90</v>
      </c>
      <c r="AC97" s="3" t="s">
        <v>83</v>
      </c>
      <c r="AD97" s="3" t="s">
        <v>93</v>
      </c>
      <c r="AE97" s="3" t="s">
        <v>213</v>
      </c>
      <c r="AF97" s="23" t="s">
        <v>85</v>
      </c>
    </row>
    <row r="98" spans="1:32" x14ac:dyDescent="0.2">
      <c r="A98" s="3">
        <v>97</v>
      </c>
      <c r="B98" s="3">
        <v>5</v>
      </c>
      <c r="C98" s="3" t="s">
        <v>214</v>
      </c>
      <c r="D98" s="19">
        <v>24536</v>
      </c>
      <c r="E98" s="19">
        <f>ROUND(D98/INDEX(مناطق!$D$2:$D$23,B98),0)</f>
        <v>8355</v>
      </c>
      <c r="F98" s="20">
        <v>1.1845000000000001</v>
      </c>
      <c r="G98" s="19">
        <f>پارامترها!$B$5*F98/1000000</f>
        <v>1152.9330750000001</v>
      </c>
      <c r="H98" s="21">
        <v>300.3</v>
      </c>
      <c r="I98" s="19">
        <f>H98*پارامترها!$B$6</f>
        <v>22522.5</v>
      </c>
      <c r="J98" s="22">
        <v>76.5</v>
      </c>
      <c r="K98" s="21">
        <f t="shared" si="3"/>
        <v>19.534958696540123</v>
      </c>
      <c r="L98" s="21">
        <f>I98/(پارامترها!$B$5/1000000)</f>
        <v>23.139158576051777</v>
      </c>
      <c r="M98" s="21">
        <f>K98/پارامترها!$B$7</f>
        <v>65.116528988467081</v>
      </c>
      <c r="N98" s="21">
        <v>28.89</v>
      </c>
      <c r="O98" s="21">
        <f>N98*پارامترها!$B$6*پارامترها!$B$16</f>
        <v>65.002499999999998</v>
      </c>
      <c r="P98" s="21">
        <f>O98*12/G98*100</f>
        <v>67.656138670494798</v>
      </c>
      <c r="Q98" s="21">
        <f>O98*12/(پارامترها!$B$5/1000000)*100</f>
        <v>80.138696255201097</v>
      </c>
      <c r="R98" s="3" t="str">
        <f t="shared" si="4"/>
        <v>فشار شدید</v>
      </c>
      <c r="S98" s="21">
        <f>(1-NORMSDIST((LN(O98*12*1000000/پارامترها!$B$8)-پارامترها!$B$15)/پارامترها!$B$14))*100</f>
        <v>7.2296732408996363</v>
      </c>
      <c r="T98" s="21">
        <f>(1-NORMSDIST((LN(I98*1000000/5)-پارامترها!$B$15)/پارامترها!$B$14))*100</f>
        <v>2.386008819862695</v>
      </c>
      <c r="U98" s="21">
        <f>MIN(100,پارامترها!$B$9/1000000/I98*100)</f>
        <v>8.8800088800088801</v>
      </c>
      <c r="V98" s="19">
        <f>MAX(0,I98-پارامترها!$B$9/1000000)</f>
        <v>20522.5</v>
      </c>
      <c r="W98" s="21">
        <f>V98/(G98*پارامترها!$B$7)</f>
        <v>59.334175431937652</v>
      </c>
      <c r="X98" s="21">
        <f>پارامترها!$B$12/1000000/(G98/12)*100</f>
        <v>41.919422326496701</v>
      </c>
      <c r="Y98" s="21">
        <f>ROUND(50*MIN(1,3/K98)+50*MIN(1,30/P98),1)</f>
        <v>29.8</v>
      </c>
      <c r="Z98" s="3">
        <f t="shared" si="5"/>
        <v>172</v>
      </c>
      <c r="AA98" s="19">
        <v>90</v>
      </c>
      <c r="AB98" s="19">
        <v>87</v>
      </c>
      <c r="AC98" s="3" t="s">
        <v>83</v>
      </c>
      <c r="AD98" s="3" t="s">
        <v>84</v>
      </c>
      <c r="AE98" s="3" t="s">
        <v>214</v>
      </c>
      <c r="AF98" s="23" t="s">
        <v>85</v>
      </c>
    </row>
    <row r="99" spans="1:32" x14ac:dyDescent="0.2">
      <c r="A99" s="3">
        <v>98</v>
      </c>
      <c r="B99" s="3">
        <v>5</v>
      </c>
      <c r="C99" s="3" t="s">
        <v>215</v>
      </c>
      <c r="D99" s="19">
        <v>32889</v>
      </c>
      <c r="E99" s="19">
        <f>ROUND(D99/INDEX(مناطق!$D$2:$D$23,B99),0)</f>
        <v>11199</v>
      </c>
      <c r="F99" s="20">
        <v>1.1839</v>
      </c>
      <c r="G99" s="19">
        <f>پارامترها!$B$5*F99/1000000</f>
        <v>1152.3490650000001</v>
      </c>
      <c r="H99" s="21">
        <v>300.10000000000002</v>
      </c>
      <c r="I99" s="19">
        <f>H99*پارامترها!$B$6</f>
        <v>22507.5</v>
      </c>
      <c r="J99" s="22">
        <v>92</v>
      </c>
      <c r="K99" s="21">
        <f t="shared" si="3"/>
        <v>19.531842115913026</v>
      </c>
      <c r="L99" s="21">
        <f>I99/(پارامترها!$B$5/1000000)</f>
        <v>23.123747881029431</v>
      </c>
      <c r="M99" s="21">
        <f>K99/پارامترها!$B$7</f>
        <v>65.106140386376751</v>
      </c>
      <c r="N99" s="21">
        <v>25.96</v>
      </c>
      <c r="O99" s="21">
        <f>N99*پارامترها!$B$6*پارامترها!$B$16</f>
        <v>58.41</v>
      </c>
      <c r="P99" s="21">
        <f>O99*12/G99*100</f>
        <v>60.825319453007921</v>
      </c>
      <c r="Q99" s="21">
        <f>O99*12/(پارامترها!$B$5/1000000)*100</f>
        <v>72.011095700416078</v>
      </c>
      <c r="R99" s="3" t="str">
        <f t="shared" si="4"/>
        <v>فشار شدید</v>
      </c>
      <c r="S99" s="21">
        <f>(1-NORMSDIST((LN(O99*12*1000000/پارامترها!$B$8)-پارامترها!$B$15)/پارامترها!$B$14))*100</f>
        <v>8.7308256085869225</v>
      </c>
      <c r="T99" s="21">
        <f>(1-NORMSDIST((LN(I99*1000000/5)-پارامترها!$B$15)/پارامترها!$B$14))*100</f>
        <v>2.3895605122095986</v>
      </c>
      <c r="U99" s="21">
        <f>MIN(100,پارامترها!$B$9/1000000/I99*100)</f>
        <v>8.8859269132511383</v>
      </c>
      <c r="V99" s="19">
        <f>MAX(0,I99-پارامترها!$B$9/1000000)</f>
        <v>20507.5</v>
      </c>
      <c r="W99" s="21">
        <f>V99/(G99*پارامترها!$B$7)</f>
        <v>59.320856335604638</v>
      </c>
      <c r="X99" s="21">
        <f>پارامترها!$B$12/1000000/(G99/12)*100</f>
        <v>41.940667071319652</v>
      </c>
      <c r="Y99" s="21">
        <f>ROUND(50*MIN(1,3/K99)+50*MIN(1,30/P99),1)</f>
        <v>32.299999999999997</v>
      </c>
      <c r="Z99" s="3">
        <f t="shared" si="5"/>
        <v>49</v>
      </c>
      <c r="AA99" s="19">
        <v>92</v>
      </c>
      <c r="AB99" s="19">
        <v>89</v>
      </c>
      <c r="AC99" s="3" t="s">
        <v>83</v>
      </c>
      <c r="AD99" s="3" t="s">
        <v>84</v>
      </c>
      <c r="AE99" s="3" t="s">
        <v>215</v>
      </c>
      <c r="AF99" s="23" t="s">
        <v>85</v>
      </c>
    </row>
    <row r="100" spans="1:32" x14ac:dyDescent="0.2">
      <c r="A100" s="3">
        <v>99</v>
      </c>
      <c r="B100" s="3">
        <v>5</v>
      </c>
      <c r="C100" s="3" t="s">
        <v>216</v>
      </c>
      <c r="D100" s="19">
        <v>30557</v>
      </c>
      <c r="E100" s="19">
        <f>ROUND(D100/INDEX(مناطق!$D$2:$D$23,B100),0)</f>
        <v>10405</v>
      </c>
      <c r="F100" s="20">
        <v>1.1345000000000001</v>
      </c>
      <c r="G100" s="19">
        <f>پارامترها!$B$5*F100/1000000</f>
        <v>1104.2655750000001</v>
      </c>
      <c r="H100" s="21">
        <v>288</v>
      </c>
      <c r="I100" s="19">
        <f>H100*پارامترها!$B$6</f>
        <v>21600</v>
      </c>
      <c r="J100" s="22">
        <v>105</v>
      </c>
      <c r="K100" s="21">
        <f t="shared" si="3"/>
        <v>19.560511971950223</v>
      </c>
      <c r="L100" s="21">
        <f>I100/(پارامترها!$B$5/1000000)</f>
        <v>22.191400832177528</v>
      </c>
      <c r="M100" s="21">
        <f>K100/پارامترها!$B$7</f>
        <v>65.201706573167414</v>
      </c>
      <c r="N100" s="21">
        <v>27.36</v>
      </c>
      <c r="O100" s="21">
        <f>N100*پارامترها!$B$6*پارامترها!$B$16</f>
        <v>61.559999999999995</v>
      </c>
      <c r="P100" s="21">
        <f>O100*12/G100*100</f>
        <v>66.896950944069758</v>
      </c>
      <c r="Q100" s="21">
        <f>O100*12/(پارامترها!$B$5/1000000)*100</f>
        <v>75.894590846047137</v>
      </c>
      <c r="R100" s="3" t="str">
        <f t="shared" si="4"/>
        <v>فشار شدید</v>
      </c>
      <c r="S100" s="21">
        <f>(1-NORMSDIST((LN(O100*12*1000000/پارامترها!$B$8)-پارامترها!$B$15)/پارامترها!$B$14))*100</f>
        <v>7.9667338347098386</v>
      </c>
      <c r="T100" s="21">
        <f>(1-NORMSDIST((LN(I100*1000000/5)-پارامترها!$B$15)/پارامترها!$B$14))*100</f>
        <v>2.6177400414439833</v>
      </c>
      <c r="U100" s="21">
        <f>MIN(100,پارامترها!$B$9/1000000/I100*100)</f>
        <v>9.2592592592592595</v>
      </c>
      <c r="V100" s="19">
        <f>MAX(0,I100-پارامترها!$B$9/1000000)</f>
        <v>19600</v>
      </c>
      <c r="W100" s="21">
        <f>V100/(G100*پارامترها!$B$7)</f>
        <v>59.164511520096362</v>
      </c>
      <c r="X100" s="21">
        <f>پارامترها!$B$12/1000000/(G100/12)*100</f>
        <v>43.76690678337183</v>
      </c>
      <c r="Y100" s="21">
        <f>ROUND(50*MIN(1,3/K100)+50*MIN(1,30/P100),1)</f>
        <v>30.1</v>
      </c>
      <c r="Z100" s="3">
        <f t="shared" si="5"/>
        <v>158</v>
      </c>
      <c r="AA100" s="19">
        <v>90</v>
      </c>
      <c r="AB100" s="19">
        <v>85</v>
      </c>
      <c r="AC100" s="3" t="s">
        <v>83</v>
      </c>
      <c r="AD100" s="3" t="s">
        <v>84</v>
      </c>
      <c r="AE100" s="3" t="s">
        <v>216</v>
      </c>
      <c r="AF100" s="23" t="s">
        <v>85</v>
      </c>
    </row>
    <row r="101" spans="1:32" x14ac:dyDescent="0.2">
      <c r="A101" s="3">
        <v>100</v>
      </c>
      <c r="B101" s="3">
        <v>5</v>
      </c>
      <c r="C101" s="3" t="s">
        <v>217</v>
      </c>
      <c r="D101" s="19">
        <v>26232</v>
      </c>
      <c r="E101" s="19">
        <f>ROUND(D101/INDEX(مناطق!$D$2:$D$23,B101),0)</f>
        <v>8932</v>
      </c>
      <c r="F101" s="20">
        <v>1.117</v>
      </c>
      <c r="G101" s="19">
        <f>پارامترها!$B$5*F101/1000000</f>
        <v>1087.2319500000003</v>
      </c>
      <c r="H101" s="21">
        <v>283.7</v>
      </c>
      <c r="I101" s="19">
        <f>H101*پارامترها!$B$6</f>
        <v>21277.5</v>
      </c>
      <c r="J101" s="22">
        <v>81</v>
      </c>
      <c r="K101" s="21">
        <f t="shared" si="3"/>
        <v>19.570340993014412</v>
      </c>
      <c r="L101" s="21">
        <f>I101/(پارامترها!$B$5/1000000)</f>
        <v>21.8600708891971</v>
      </c>
      <c r="M101" s="21">
        <f>K101/پارامترها!$B$7</f>
        <v>65.234469976714706</v>
      </c>
      <c r="N101" s="21">
        <v>26.16</v>
      </c>
      <c r="O101" s="21">
        <f>N101*پارامترها!$B$6*پارامترها!$B$16</f>
        <v>58.86</v>
      </c>
      <c r="P101" s="21">
        <f>O101*12/G101*100</f>
        <v>64.96497826429767</v>
      </c>
      <c r="Q101" s="21">
        <f>O101*12/(پارامترها!$B$5/1000000)*100</f>
        <v>72.565880721220509</v>
      </c>
      <c r="R101" s="3" t="str">
        <f t="shared" si="4"/>
        <v>فشار شدید</v>
      </c>
      <c r="S101" s="21">
        <f>(1-NORMSDIST((LN(O101*12*1000000/پارامترها!$B$8)-پارامترها!$B$15)/پارامترها!$B$14))*100</f>
        <v>8.6158883356776457</v>
      </c>
      <c r="T101" s="21">
        <f>(1-NORMSDIST((LN(I101*1000000/5)-پارامترها!$B$15)/پارامترها!$B$14))*100</f>
        <v>2.705569252971507</v>
      </c>
      <c r="U101" s="21">
        <f>MIN(100,پارامترها!$B$9/1000000/I101*100)</f>
        <v>9.3996005169780279</v>
      </c>
      <c r="V101" s="19">
        <f>MAX(0,I101-پارامترها!$B$9/1000000)</f>
        <v>19277.5</v>
      </c>
      <c r="W101" s="21">
        <f>V101/(G101*پارامترها!$B$7)</f>
        <v>59.102690399535547</v>
      </c>
      <c r="X101" s="21">
        <f>پارامترها!$B$12/1000000/(G101/12)*100</f>
        <v>44.452601383827513</v>
      </c>
      <c r="Y101" s="21">
        <f>ROUND(50*MIN(1,3/K101)+50*MIN(1,30/P101),1)</f>
        <v>30.8</v>
      </c>
      <c r="Z101" s="3">
        <f t="shared" si="5"/>
        <v>113</v>
      </c>
      <c r="AA101" s="19">
        <v>90</v>
      </c>
      <c r="AB101" s="19">
        <v>90</v>
      </c>
      <c r="AC101" s="3" t="s">
        <v>83</v>
      </c>
      <c r="AD101" s="3" t="s">
        <v>84</v>
      </c>
      <c r="AE101" s="3" t="s">
        <v>217</v>
      </c>
      <c r="AF101" s="23" t="s">
        <v>85</v>
      </c>
    </row>
    <row r="102" spans="1:32" x14ac:dyDescent="0.2">
      <c r="A102" s="3">
        <v>101</v>
      </c>
      <c r="B102" s="3">
        <v>5</v>
      </c>
      <c r="C102" s="3" t="s">
        <v>218</v>
      </c>
      <c r="D102" s="19">
        <v>43465</v>
      </c>
      <c r="E102" s="19">
        <f>ROUND(D102/INDEX(مناطق!$D$2:$D$23,B102),0)</f>
        <v>14800</v>
      </c>
      <c r="F102" s="20">
        <v>1.1015999999999999</v>
      </c>
      <c r="G102" s="19">
        <f>پارامترها!$B$5*F102/1000000</f>
        <v>1072.24236</v>
      </c>
      <c r="H102" s="21">
        <v>279.89999999999998</v>
      </c>
      <c r="I102" s="19">
        <f>H102*پارامترها!$B$6</f>
        <v>20992.5</v>
      </c>
      <c r="J102" s="22">
        <v>70</v>
      </c>
      <c r="K102" s="21">
        <f t="shared" si="3"/>
        <v>19.57812970567587</v>
      </c>
      <c r="L102" s="21">
        <f>I102/(پارامترها!$B$5/1000000)</f>
        <v>21.567267683772535</v>
      </c>
      <c r="M102" s="21">
        <f>K102/پارامترها!$B$7</f>
        <v>65.260432352252906</v>
      </c>
      <c r="N102" s="21">
        <v>26.1</v>
      </c>
      <c r="O102" s="21">
        <f>N102*پارامترها!$B$6*پارامترها!$B$16</f>
        <v>58.724999999999994</v>
      </c>
      <c r="P102" s="21">
        <f>O102*12/G102*100</f>
        <v>65.722081712944075</v>
      </c>
      <c r="Q102" s="21">
        <f>O102*12/(پارامترها!$B$5/1000000)*100</f>
        <v>72.399445214979181</v>
      </c>
      <c r="R102" s="3" t="str">
        <f t="shared" si="4"/>
        <v>فشار شدید</v>
      </c>
      <c r="S102" s="21">
        <f>(1-NORMSDIST((LN(O102*12*1000000/پارامترها!$B$8)-پارامترها!$B$15)/پارامترها!$B$14))*100</f>
        <v>8.6501576959549631</v>
      </c>
      <c r="T102" s="21">
        <f>(1-NORMSDIST((LN(I102*1000000/5)-پارامترها!$B$15)/پارامترها!$B$14))*100</f>
        <v>2.7863783503169315</v>
      </c>
      <c r="U102" s="21">
        <f>MIN(100,پارامترها!$B$9/1000000/I102*100)</f>
        <v>9.5272120995593657</v>
      </c>
      <c r="V102" s="19">
        <f>MAX(0,I102-پارامترها!$B$9/1000000)</f>
        <v>18992.5</v>
      </c>
      <c r="W102" s="21">
        <f>V102/(G102*پارامترها!$B$7)</f>
        <v>59.042932544964309</v>
      </c>
      <c r="X102" s="21">
        <f>پارامترها!$B$12/1000000/(G102/12)*100</f>
        <v>45.074033901357438</v>
      </c>
      <c r="Y102" s="21">
        <f>ROUND(50*MIN(1,3/K102)+50*MIN(1,30/P102),1)</f>
        <v>30.5</v>
      </c>
      <c r="Z102" s="3">
        <f t="shared" si="5"/>
        <v>128</v>
      </c>
      <c r="AA102" s="19">
        <v>91</v>
      </c>
      <c r="AB102" s="19">
        <v>88</v>
      </c>
      <c r="AC102" s="3" t="s">
        <v>83</v>
      </c>
      <c r="AD102" s="3" t="s">
        <v>84</v>
      </c>
      <c r="AE102" s="3" t="s">
        <v>218</v>
      </c>
      <c r="AF102" s="23" t="s">
        <v>85</v>
      </c>
    </row>
    <row r="103" spans="1:32" x14ac:dyDescent="0.2">
      <c r="A103" s="3">
        <v>102</v>
      </c>
      <c r="B103" s="3">
        <v>5</v>
      </c>
      <c r="C103" s="3" t="s">
        <v>219</v>
      </c>
      <c r="D103" s="19">
        <v>18037</v>
      </c>
      <c r="E103" s="19">
        <f>ROUND(D103/INDEX(مناطق!$D$2:$D$23,B103),0)</f>
        <v>6142</v>
      </c>
      <c r="F103" s="20">
        <v>1.0733999999999999</v>
      </c>
      <c r="G103" s="19">
        <f>پارامترها!$B$5*F103/1000000</f>
        <v>1044.7938899999999</v>
      </c>
      <c r="H103" s="21">
        <v>273</v>
      </c>
      <c r="I103" s="19">
        <f>H103*پارامترها!$B$6</f>
        <v>20475</v>
      </c>
      <c r="J103" s="22">
        <v>119.5</v>
      </c>
      <c r="K103" s="21">
        <f t="shared" si="3"/>
        <v>19.597166671792081</v>
      </c>
      <c r="L103" s="21">
        <f>I103/(پارامترها!$B$5/1000000)</f>
        <v>21.035598705501616</v>
      </c>
      <c r="M103" s="21">
        <f>K103/پارامترها!$B$7</f>
        <v>65.323888905973604</v>
      </c>
      <c r="N103" s="21">
        <v>26.55</v>
      </c>
      <c r="O103" s="21">
        <f>N103*پارامترها!$B$6*پارامترها!$B$16</f>
        <v>59.737499999999997</v>
      </c>
      <c r="P103" s="21">
        <f>O103*12/G103*100</f>
        <v>68.611618699263261</v>
      </c>
      <c r="Q103" s="21">
        <f>O103*12/(پارامترها!$B$5/1000000)*100</f>
        <v>73.647711511789154</v>
      </c>
      <c r="R103" s="3" t="str">
        <f t="shared" si="4"/>
        <v>فشار شدید</v>
      </c>
      <c r="S103" s="21">
        <f>(1-NORMSDIST((LN(O103*12*1000000/پارامترها!$B$8)-پارامترها!$B$15)/پارامترها!$B$14))*100</f>
        <v>8.397467835247463</v>
      </c>
      <c r="T103" s="21">
        <f>(1-NORMSDIST((LN(I103*1000000/5)-پارامترها!$B$15)/پارامترها!$B$14))*100</f>
        <v>2.9412615910168083</v>
      </c>
      <c r="U103" s="21">
        <f>MIN(100,پارامترها!$B$9/1000000/I103*100)</f>
        <v>9.7680097680097688</v>
      </c>
      <c r="V103" s="19">
        <f>MAX(0,I103-پارامترها!$B$9/1000000)</f>
        <v>18475</v>
      </c>
      <c r="W103" s="21">
        <f>V103/(G103*پارامترها!$B$7)</f>
        <v>58.943045056794254</v>
      </c>
      <c r="X103" s="21">
        <f>پارامترها!$B$12/1000000/(G103/12)*100</f>
        <v>46.258203601393099</v>
      </c>
      <c r="Y103" s="21">
        <f>ROUND(50*MIN(1,3/K103)+50*MIN(1,30/P103),1)</f>
        <v>29.5</v>
      </c>
      <c r="Z103" s="3">
        <f t="shared" si="5"/>
        <v>194</v>
      </c>
      <c r="AA103" s="19">
        <v>2</v>
      </c>
      <c r="AB103" s="19">
        <v>1</v>
      </c>
      <c r="AC103" s="3" t="s">
        <v>83</v>
      </c>
      <c r="AD103" s="3" t="s">
        <v>84</v>
      </c>
      <c r="AE103" s="3" t="s">
        <v>220</v>
      </c>
      <c r="AF103" s="23" t="s">
        <v>152</v>
      </c>
    </row>
    <row r="104" spans="1:32" x14ac:dyDescent="0.2">
      <c r="A104" s="3">
        <v>103</v>
      </c>
      <c r="B104" s="3">
        <v>5</v>
      </c>
      <c r="C104" s="3" t="s">
        <v>221</v>
      </c>
      <c r="D104" s="19">
        <v>15899</v>
      </c>
      <c r="E104" s="19">
        <f>ROUND(D104/INDEX(مناطق!$D$2:$D$23,B104),0)</f>
        <v>5414</v>
      </c>
      <c r="F104" s="20">
        <v>1.022</v>
      </c>
      <c r="G104" s="19">
        <f>پارامترها!$B$5*F104/1000000</f>
        <v>994.76370000000009</v>
      </c>
      <c r="H104" s="21">
        <v>260.39999999999998</v>
      </c>
      <c r="I104" s="19">
        <f>H104*پارامترها!$B$6</f>
        <v>19530</v>
      </c>
      <c r="J104" s="22">
        <v>86.5</v>
      </c>
      <c r="K104" s="21">
        <f t="shared" si="3"/>
        <v>19.632803247645644</v>
      </c>
      <c r="L104" s="21">
        <f>I104/(پارامترها!$B$5/1000000)</f>
        <v>20.064724919093848</v>
      </c>
      <c r="M104" s="21">
        <f>K104/پارامترها!$B$7</f>
        <v>65.442677492152143</v>
      </c>
      <c r="N104" s="21">
        <v>26.52</v>
      </c>
      <c r="O104" s="21">
        <f>N104*پارامترها!$B$6*پارامترها!$B$16</f>
        <v>59.669999999999995</v>
      </c>
      <c r="P104" s="21">
        <f>O104*12/G104*100</f>
        <v>71.980913658188356</v>
      </c>
      <c r="Q104" s="21">
        <f>O104*12/(پارامترها!$B$5/1000000)*100</f>
        <v>73.564493758668505</v>
      </c>
      <c r="R104" s="3" t="str">
        <f t="shared" si="4"/>
        <v>فشار شدید</v>
      </c>
      <c r="S104" s="21">
        <f>(1-NORMSDIST((LN(O104*12*1000000/پارامترها!$B$8)-پارامترها!$B$15)/پارامترها!$B$14))*100</f>
        <v>8.4140070227049826</v>
      </c>
      <c r="T104" s="21">
        <f>(1-NORMSDIST((LN(I104*1000000/5)-پارامترها!$B$15)/پارامترها!$B$14))*100</f>
        <v>3.254050631786165</v>
      </c>
      <c r="U104" s="21">
        <f>MIN(100,پارامترها!$B$9/1000000/I104*100)</f>
        <v>10.240655401945725</v>
      </c>
      <c r="V104" s="19">
        <f>MAX(0,I104-پارامترها!$B$9/1000000)</f>
        <v>17530</v>
      </c>
      <c r="W104" s="21">
        <f>V104/(G104*پارامترها!$B$7)</f>
        <v>58.740918404374149</v>
      </c>
      <c r="X104" s="21">
        <f>پارامترها!$B$12/1000000/(G104/12)*100</f>
        <v>48.584692510504247</v>
      </c>
      <c r="Y104" s="21">
        <f>ROUND(50*MIN(1,3/K104)+50*MIN(1,30/P104),1)</f>
        <v>28.5</v>
      </c>
      <c r="Z104" s="3">
        <f t="shared" si="5"/>
        <v>238</v>
      </c>
      <c r="AA104" s="19">
        <v>86</v>
      </c>
      <c r="AB104" s="19">
        <v>61</v>
      </c>
      <c r="AC104" s="3" t="s">
        <v>83</v>
      </c>
      <c r="AD104" s="3" t="s">
        <v>84</v>
      </c>
      <c r="AE104" s="3" t="s">
        <v>222</v>
      </c>
      <c r="AF104" s="23" t="s">
        <v>85</v>
      </c>
    </row>
    <row r="105" spans="1:32" x14ac:dyDescent="0.2">
      <c r="A105" s="3">
        <v>104</v>
      </c>
      <c r="B105" s="3">
        <v>5</v>
      </c>
      <c r="C105" s="3" t="s">
        <v>223</v>
      </c>
      <c r="D105" s="19">
        <v>11201</v>
      </c>
      <c r="E105" s="19">
        <f>ROUND(D105/INDEX(مناطق!$D$2:$D$23,B105),0)</f>
        <v>3814</v>
      </c>
      <c r="F105" s="20">
        <v>1.0003</v>
      </c>
      <c r="G105" s="19">
        <f>پارامترها!$B$5*F105/1000000</f>
        <v>973.64200500000015</v>
      </c>
      <c r="H105" s="21">
        <v>255</v>
      </c>
      <c r="I105" s="19">
        <f>H105*پارامترها!$B$6</f>
        <v>19125</v>
      </c>
      <c r="J105" s="22">
        <v>90</v>
      </c>
      <c r="K105" s="21">
        <f t="shared" si="3"/>
        <v>19.642743330491371</v>
      </c>
      <c r="L105" s="21">
        <f>I105/(پارامترها!$B$5/1000000)</f>
        <v>19.648636153490521</v>
      </c>
      <c r="M105" s="21">
        <f>K105/پارامترها!$B$7</f>
        <v>65.475811101637902</v>
      </c>
      <c r="N105" s="21">
        <v>24.96</v>
      </c>
      <c r="O105" s="21">
        <f>N105*پارامترها!$B$6*پارامترها!$B$16</f>
        <v>56.16</v>
      </c>
      <c r="P105" s="21">
        <f>O105*12/G105*100</f>
        <v>69.216405674691472</v>
      </c>
      <c r="Q105" s="21">
        <f>O105*12/(پارامترها!$B$5/1000000)*100</f>
        <v>69.237170596393881</v>
      </c>
      <c r="R105" s="3" t="str">
        <f t="shared" si="4"/>
        <v>فشار شدید</v>
      </c>
      <c r="S105" s="21">
        <f>(1-NORMSDIST((LN(O105*12*1000000/پارامترها!$B$8)-پارامترها!$B$15)/پارامترها!$B$14))*100</f>
        <v>9.337100548952515</v>
      </c>
      <c r="T105" s="21">
        <f>(1-NORMSDIST((LN(I105*1000000/5)-پارامترها!$B$15)/پارامترها!$B$14))*100</f>
        <v>3.4012935071455308</v>
      </c>
      <c r="U105" s="21">
        <f>MIN(100,پارامترها!$B$9/1000000/I105*100)</f>
        <v>10.457516339869281</v>
      </c>
      <c r="V105" s="19">
        <f>MAX(0,I105-پارامترها!$B$9/1000000)</f>
        <v>17125</v>
      </c>
      <c r="W105" s="21">
        <f>V105/(G105*پارامترها!$B$7)</f>
        <v>58.628667457022175</v>
      </c>
      <c r="X105" s="21">
        <f>پارامترها!$B$12/1000000/(G105/12)*100</f>
        <v>49.638664146491394</v>
      </c>
      <c r="Y105" s="21">
        <f>ROUND(50*MIN(1,3/K105)+50*MIN(1,30/P105),1)</f>
        <v>29.3</v>
      </c>
      <c r="Z105" s="3">
        <f t="shared" si="5"/>
        <v>200</v>
      </c>
      <c r="AA105" s="19">
        <v>88</v>
      </c>
      <c r="AB105" s="19">
        <v>81</v>
      </c>
      <c r="AC105" s="3" t="s">
        <v>83</v>
      </c>
      <c r="AD105" s="3" t="s">
        <v>84</v>
      </c>
      <c r="AE105" s="3" t="s">
        <v>223</v>
      </c>
      <c r="AF105" s="23" t="s">
        <v>85</v>
      </c>
    </row>
    <row r="106" spans="1:32" x14ac:dyDescent="0.2">
      <c r="A106" s="3">
        <v>105</v>
      </c>
      <c r="B106" s="3">
        <v>5</v>
      </c>
      <c r="C106" s="3" t="s">
        <v>224</v>
      </c>
      <c r="D106" s="19">
        <v>3333</v>
      </c>
      <c r="E106" s="19">
        <f>ROUND(D106/INDEX(مناطق!$D$2:$D$23,B106),0)</f>
        <v>1135</v>
      </c>
      <c r="F106" s="20">
        <v>0.99919999999999998</v>
      </c>
      <c r="G106" s="19">
        <f>پارامترها!$B$5*F106/1000000</f>
        <v>972.57132000000013</v>
      </c>
      <c r="H106" s="21">
        <v>254.7</v>
      </c>
      <c r="I106" s="19">
        <f>H106*پارامترها!$B$6</f>
        <v>19102.5</v>
      </c>
      <c r="J106" s="22">
        <v>81.5</v>
      </c>
      <c r="K106" s="21">
        <f t="shared" si="3"/>
        <v>19.641233097434949</v>
      </c>
      <c r="L106" s="21">
        <f>I106/(پارامترها!$B$5/1000000)</f>
        <v>19.625520110957002</v>
      </c>
      <c r="M106" s="21">
        <f>K106/پارامترها!$B$7</f>
        <v>65.470776991449839</v>
      </c>
      <c r="N106" s="21">
        <v>27.87</v>
      </c>
      <c r="O106" s="21">
        <f>N106*پارامترها!$B$6*پارامترها!$B$16</f>
        <v>62.707499999999996</v>
      </c>
      <c r="P106" s="21">
        <f>O106*12/G106*100</f>
        <v>77.37118960077909</v>
      </c>
      <c r="Q106" s="21">
        <f>O106*12/(پارامترها!$B$5/1000000)*100</f>
        <v>77.309292649098467</v>
      </c>
      <c r="R106" s="3" t="str">
        <f t="shared" si="4"/>
        <v>فشار شدید</v>
      </c>
      <c r="S106" s="21">
        <f>(1-NORMSDIST((LN(O106*12*1000000/پارامترها!$B$8)-پارامترها!$B$15)/پارامترها!$B$14))*100</f>
        <v>7.710444437786979</v>
      </c>
      <c r="T106" s="21">
        <f>(1-NORMSDIST((LN(I106*1000000/5)-پارامترها!$B$15)/پارامترها!$B$14))*100</f>
        <v>3.4097248049084206</v>
      </c>
      <c r="U106" s="21">
        <f>MIN(100,پارامترها!$B$9/1000000/I106*100)</f>
        <v>10.469833791388563</v>
      </c>
      <c r="V106" s="19">
        <f>MAX(0,I106-پارامترها!$B$9/1000000)</f>
        <v>17102.5</v>
      </c>
      <c r="W106" s="21">
        <f>V106/(G106*پارامترها!$B$7)</f>
        <v>58.616095458514373</v>
      </c>
      <c r="X106" s="21">
        <f>پارامترها!$B$12/1000000/(G106/12)*100</f>
        <v>49.693310394050584</v>
      </c>
      <c r="Y106" s="21">
        <f>ROUND(50*MIN(1,3/K106)+50*MIN(1,30/P106),1)</f>
        <v>27</v>
      </c>
      <c r="Z106" s="3">
        <f t="shared" si="5"/>
        <v>290</v>
      </c>
      <c r="AA106" s="19">
        <v>23</v>
      </c>
      <c r="AB106" s="19">
        <v>12</v>
      </c>
      <c r="AC106" s="3" t="s">
        <v>83</v>
      </c>
      <c r="AD106" s="3" t="s">
        <v>84</v>
      </c>
      <c r="AE106" s="3" t="s">
        <v>225</v>
      </c>
      <c r="AF106" s="23" t="s">
        <v>90</v>
      </c>
    </row>
    <row r="107" spans="1:32" ht="16.5" x14ac:dyDescent="0.3">
      <c r="A107" s="3">
        <v>106</v>
      </c>
      <c r="B107" s="3">
        <v>5</v>
      </c>
      <c r="C107" s="3" t="s">
        <v>226</v>
      </c>
      <c r="D107" s="19">
        <v>23743</v>
      </c>
      <c r="E107" s="19">
        <f>ROUND(D107/INDEX(مناطق!$D$2:$D$23,B107),0)</f>
        <v>8085</v>
      </c>
      <c r="F107" s="20">
        <v>0.91439999999999999</v>
      </c>
      <c r="G107" s="19">
        <f>پارامترها!$B$5*F107/1000000</f>
        <v>890.03124000000014</v>
      </c>
      <c r="H107" s="21">
        <v>233.8</v>
      </c>
      <c r="I107" s="19">
        <f>H107*پارامترها!$B$6</f>
        <v>17535</v>
      </c>
      <c r="J107" s="22">
        <v>83</v>
      </c>
      <c r="K107" s="21">
        <f t="shared" si="3"/>
        <v>19.70155564427154</v>
      </c>
      <c r="L107" s="21">
        <f>I107/(پارامترها!$B$5/1000000)</f>
        <v>18.015102481121897</v>
      </c>
      <c r="M107" s="21">
        <f>K107/پارامترها!$B$7</f>
        <v>65.671852147571798</v>
      </c>
      <c r="N107" s="21">
        <v>24.2</v>
      </c>
      <c r="O107" s="21">
        <f>N107*پارامترها!$B$6*پارامترها!$B$16</f>
        <v>54.449999999999996</v>
      </c>
      <c r="P107" s="21">
        <f>O107*12/G107*100</f>
        <v>73.41315345290576</v>
      </c>
      <c r="Q107" s="21">
        <f>O107*12/(پارامترها!$B$5/1000000)*100</f>
        <v>67.128987517337023</v>
      </c>
      <c r="R107" s="3" t="str">
        <f t="shared" si="4"/>
        <v>فشار شدید</v>
      </c>
      <c r="S107" s="21">
        <f>(1-NORMSDIST((LN(O107*12*1000000/پارامترها!$B$8)-پارامترها!$B$15)/پارامترها!$B$14))*100</f>
        <v>9.8358000125946976</v>
      </c>
      <c r="T107" s="21">
        <f>(1-NORMSDIST((LN(I107*1000000/5)-پارامترها!$B$15)/پارامترها!$B$14))*100</f>
        <v>4.0706049559062096</v>
      </c>
      <c r="U107" s="21">
        <f>MIN(100,پارامترها!$B$9/1000000/I107*100)</f>
        <v>11.405759908753922</v>
      </c>
      <c r="V107" s="19">
        <f>MAX(0,I107-پارامترها!$B$9/1000000)</f>
        <v>15535</v>
      </c>
      <c r="W107" s="21">
        <f>V107/(G107*پارامترها!$B$7)</f>
        <v>58.181478363987907</v>
      </c>
      <c r="X107" s="21">
        <f>پارامترها!$B$12/1000000/(G107/12)*100</f>
        <v>54.301788873288871</v>
      </c>
      <c r="Y107" s="21">
        <f>ROUND(50*MIN(1,3/K107)+50*MIN(1,30/P107),1)</f>
        <v>28</v>
      </c>
      <c r="Z107" s="3">
        <f t="shared" si="5"/>
        <v>263</v>
      </c>
      <c r="AA107" s="19">
        <v>91</v>
      </c>
      <c r="AB107" s="19">
        <v>86</v>
      </c>
      <c r="AC107" s="3" t="s">
        <v>83</v>
      </c>
      <c r="AD107" s="3" t="s">
        <v>84</v>
      </c>
      <c r="AE107" s="3" t="s">
        <v>227</v>
      </c>
      <c r="AF107" s="23" t="s">
        <v>85</v>
      </c>
    </row>
    <row r="108" spans="1:32" x14ac:dyDescent="0.2">
      <c r="A108" s="3">
        <v>107</v>
      </c>
      <c r="B108" s="3">
        <v>5</v>
      </c>
      <c r="C108" s="3" t="s">
        <v>228</v>
      </c>
      <c r="D108" s="19">
        <v>4427</v>
      </c>
      <c r="E108" s="19">
        <f>ROUND(D108/INDEX(مناطق!$D$2:$D$23,B108),0)</f>
        <v>1507</v>
      </c>
      <c r="F108" s="20">
        <v>0.82820000000000005</v>
      </c>
      <c r="G108" s="19">
        <f>پارامترها!$B$5*F108/1000000</f>
        <v>806.12847000000011</v>
      </c>
      <c r="H108" s="21">
        <v>212.5</v>
      </c>
      <c r="I108" s="19">
        <f>H108*پارامترها!$B$6</f>
        <v>15937.5</v>
      </c>
      <c r="J108" s="22">
        <v>69</v>
      </c>
      <c r="K108" s="21">
        <f t="shared" si="3"/>
        <v>19.770421952719271</v>
      </c>
      <c r="L108" s="21">
        <f>I108/(پارامترها!$B$5/1000000)</f>
        <v>16.373863461242099</v>
      </c>
      <c r="M108" s="21">
        <f>K108/پارامترها!$B$7</f>
        <v>65.901406509064245</v>
      </c>
      <c r="N108" s="21">
        <v>22.93</v>
      </c>
      <c r="O108" s="21">
        <f>N108*پارامترها!$B$6*پارامترها!$B$16</f>
        <v>51.592500000000001</v>
      </c>
      <c r="P108" s="21">
        <f>O108*12/G108*100</f>
        <v>76.800413710732727</v>
      </c>
      <c r="Q108" s="21">
        <f>O108*12/(پارامترها!$B$5/1000000)*100</f>
        <v>63.606102635228844</v>
      </c>
      <c r="R108" s="3" t="str">
        <f t="shared" si="4"/>
        <v>فشار شدید</v>
      </c>
      <c r="S108" s="21">
        <f>(1-NORMSDIST((LN(O108*12*1000000/پارامترها!$B$8)-پارامترها!$B$15)/پارامترها!$B$14))*100</f>
        <v>10.751345299484584</v>
      </c>
      <c r="T108" s="21">
        <f>(1-NORMSDIST((LN(I108*1000000/5)-پارامترها!$B$15)/پارامترها!$B$14))*100</f>
        <v>4.9267939777493659</v>
      </c>
      <c r="U108" s="21">
        <f>MIN(100,پارامترها!$B$9/1000000/I108*100)</f>
        <v>12.549019607843137</v>
      </c>
      <c r="V108" s="19">
        <f>MAX(0,I108-پارامترها!$B$9/1000000)</f>
        <v>13937.5</v>
      </c>
      <c r="W108" s="21">
        <f>V108/(G108*پارامترها!$B$7)</f>
        <v>57.631426084397354</v>
      </c>
      <c r="X108" s="21">
        <f>پارامترها!$B$12/1000000/(G108/12)*100</f>
        <v>59.953580953556319</v>
      </c>
      <c r="Y108" s="21">
        <f>ROUND(50*MIN(1,3/K108)+50*MIN(1,30/P108),1)</f>
        <v>27.1</v>
      </c>
      <c r="Z108" s="3">
        <f t="shared" si="5"/>
        <v>286</v>
      </c>
      <c r="AA108" s="19">
        <v>83</v>
      </c>
      <c r="AB108" s="19">
        <v>84</v>
      </c>
      <c r="AC108" s="3" t="s">
        <v>83</v>
      </c>
      <c r="AD108" s="3" t="s">
        <v>84</v>
      </c>
      <c r="AE108" s="3" t="s">
        <v>229</v>
      </c>
      <c r="AF108" s="23" t="s">
        <v>85</v>
      </c>
    </row>
    <row r="109" spans="1:32" x14ac:dyDescent="0.2">
      <c r="A109" s="3">
        <v>108</v>
      </c>
      <c r="B109" s="3">
        <v>5</v>
      </c>
      <c r="C109" s="3" t="s">
        <v>230</v>
      </c>
      <c r="D109" s="19">
        <v>18116</v>
      </c>
      <c r="E109" s="19">
        <f>ROUND(D109/INDEX(مناطق!$D$2:$D$23,B109),0)</f>
        <v>6169</v>
      </c>
      <c r="F109" s="20">
        <v>0.81430000000000002</v>
      </c>
      <c r="G109" s="19">
        <f>پارامترها!$B$5*F109/1000000</f>
        <v>792.59890500000017</v>
      </c>
      <c r="H109" s="21">
        <v>209</v>
      </c>
      <c r="I109" s="19">
        <f>H109*پارامترها!$B$6</f>
        <v>15675</v>
      </c>
      <c r="J109" s="22">
        <v>64</v>
      </c>
      <c r="K109" s="21">
        <f t="shared" si="3"/>
        <v>19.776711652156518</v>
      </c>
      <c r="L109" s="21">
        <f>I109/(پارامترها!$B$5/1000000)</f>
        <v>16.104176298351053</v>
      </c>
      <c r="M109" s="21">
        <f>K109/پارامترها!$B$7</f>
        <v>65.922372173855067</v>
      </c>
      <c r="N109" s="21">
        <v>20.62</v>
      </c>
      <c r="O109" s="21">
        <f>N109*پارامترها!$B$6*پارامترها!$B$16</f>
        <v>46.394999999999996</v>
      </c>
      <c r="P109" s="21">
        <f>O109*12/G109*100</f>
        <v>70.242337768558983</v>
      </c>
      <c r="Q109" s="21">
        <f>O109*12/(پارامترها!$B$5/1000000)*100</f>
        <v>57.198335644937579</v>
      </c>
      <c r="R109" s="3" t="str">
        <f t="shared" si="4"/>
        <v>فشار شدید</v>
      </c>
      <c r="S109" s="21">
        <f>(1-NORMSDIST((LN(O109*12*1000000/پارامترها!$B$8)-پارامترها!$B$15)/پارامترها!$B$14))*100</f>
        <v>12.73104799501702</v>
      </c>
      <c r="T109" s="21">
        <f>(1-NORMSDIST((LN(I109*1000000/5)-پارامترها!$B$15)/پارامترها!$B$14))*100</f>
        <v>5.0893716552503188</v>
      </c>
      <c r="U109" s="21">
        <f>MIN(100,پارامترها!$B$9/1000000/I109*100)</f>
        <v>12.759170653907494</v>
      </c>
      <c r="V109" s="19">
        <f>MAX(0,I109-پارامترها!$B$9/1000000)</f>
        <v>13675</v>
      </c>
      <c r="W109" s="21">
        <f>V109/(G109*پارامترها!$B$7)</f>
        <v>57.511224209088866</v>
      </c>
      <c r="X109" s="21">
        <f>پارامترها!$B$12/1000000/(G109/12)*100</f>
        <v>60.976981144216303</v>
      </c>
      <c r="Y109" s="21">
        <f>ROUND(50*MIN(1,3/K109)+50*MIN(1,30/P109),1)</f>
        <v>28.9</v>
      </c>
      <c r="Z109" s="3">
        <f t="shared" si="5"/>
        <v>229</v>
      </c>
      <c r="AA109" s="19">
        <v>70</v>
      </c>
      <c r="AB109" s="19">
        <v>23</v>
      </c>
      <c r="AC109" s="3" t="s">
        <v>83</v>
      </c>
      <c r="AD109" s="3" t="s">
        <v>84</v>
      </c>
      <c r="AE109" s="3" t="s">
        <v>230</v>
      </c>
      <c r="AF109" s="23" t="s">
        <v>85</v>
      </c>
    </row>
    <row r="110" spans="1:32" x14ac:dyDescent="0.2">
      <c r="A110" s="3">
        <v>109</v>
      </c>
      <c r="B110" s="3">
        <v>5</v>
      </c>
      <c r="C110" s="3" t="s">
        <v>231</v>
      </c>
      <c r="D110" s="19">
        <v>6545</v>
      </c>
      <c r="E110" s="19">
        <f>ROUND(D110/INDEX(مناطق!$D$2:$D$23,B110),0)</f>
        <v>2229</v>
      </c>
      <c r="F110" s="20">
        <v>0.72940000000000005</v>
      </c>
      <c r="G110" s="19">
        <f>پارامترها!$B$5*F110/1000000</f>
        <v>709.96149000000014</v>
      </c>
      <c r="H110" s="21">
        <v>188</v>
      </c>
      <c r="I110" s="19">
        <f>H110*پارامترها!$B$6</f>
        <v>14100</v>
      </c>
      <c r="J110" s="22">
        <v>98</v>
      </c>
      <c r="K110" s="21">
        <f t="shared" si="3"/>
        <v>19.860232137379729</v>
      </c>
      <c r="L110" s="21">
        <f>I110/(پارامترها!$B$5/1000000)</f>
        <v>14.486053321004775</v>
      </c>
      <c r="M110" s="21">
        <f>K110/پارامترها!$B$7</f>
        <v>66.20077379126576</v>
      </c>
      <c r="N110" s="21">
        <v>15.72</v>
      </c>
      <c r="O110" s="21">
        <f>N110*پارامترها!$B$6*پارامترها!$B$16</f>
        <v>35.369999999999997</v>
      </c>
      <c r="P110" s="21">
        <f>O110*12/G110*100</f>
        <v>59.783524314818806</v>
      </c>
      <c r="Q110" s="21">
        <f>O110*12/(پارامترها!$B$5/1000000)*100</f>
        <v>43.606102635228837</v>
      </c>
      <c r="R110" s="3" t="str">
        <f t="shared" si="4"/>
        <v>فشار شدید</v>
      </c>
      <c r="S110" s="21">
        <f>(1-NORMSDIST((LN(O110*12*1000000/پارامترها!$B$8)-پارامترها!$B$15)/پارامترها!$B$14))*100</f>
        <v>18.889467472806064</v>
      </c>
      <c r="T110" s="21">
        <f>(1-NORMSDIST((LN(I110*1000000/5)-پارامترها!$B$15)/پارامترها!$B$14))*100</f>
        <v>6.2286026246134103</v>
      </c>
      <c r="U110" s="21">
        <f>MIN(100,پارامترها!$B$9/1000000/I110*100)</f>
        <v>14.184397163120568</v>
      </c>
      <c r="V110" s="19">
        <f>MAX(0,I110-پارامترها!$B$9/1000000)</f>
        <v>12100</v>
      </c>
      <c r="W110" s="21">
        <f>V110/(G110*پارامترها!$B$7)</f>
        <v>56.810593111653603</v>
      </c>
      <c r="X110" s="21">
        <f>پارامترها!$B$12/1000000/(G110/12)*100</f>
        <v>68.074521175946444</v>
      </c>
      <c r="Y110" s="21">
        <f>ROUND(50*MIN(1,3/K110)+50*MIN(1,30/P110),1)</f>
        <v>32.6</v>
      </c>
      <c r="Z110" s="3">
        <f t="shared" si="5"/>
        <v>40</v>
      </c>
      <c r="AA110" s="19">
        <v>12</v>
      </c>
      <c r="AB110" s="19">
        <v>19</v>
      </c>
      <c r="AC110" s="3" t="s">
        <v>83</v>
      </c>
      <c r="AD110" s="3" t="s">
        <v>84</v>
      </c>
      <c r="AE110" s="3" t="s">
        <v>231</v>
      </c>
      <c r="AF110" s="23" t="s">
        <v>90</v>
      </c>
    </row>
    <row r="111" spans="1:32" x14ac:dyDescent="0.2">
      <c r="A111" s="3">
        <v>110</v>
      </c>
      <c r="B111" s="3">
        <v>6</v>
      </c>
      <c r="C111" s="3" t="s">
        <v>232</v>
      </c>
      <c r="D111" s="19">
        <v>40985</v>
      </c>
      <c r="E111" s="19">
        <f>ROUND(D111/INDEX(مناطق!$D$2:$D$23,B111),0)</f>
        <v>13876</v>
      </c>
      <c r="F111" s="20">
        <v>1.8097000000000001</v>
      </c>
      <c r="G111" s="19">
        <f>پارامترها!$B$5*F111/1000000</f>
        <v>1761.4714950000002</v>
      </c>
      <c r="H111" s="21">
        <v>449.7</v>
      </c>
      <c r="I111" s="19">
        <f>H111*پارامترها!$B$6</f>
        <v>33727.5</v>
      </c>
      <c r="J111" s="22">
        <v>115</v>
      </c>
      <c r="K111" s="21">
        <f t="shared" si="3"/>
        <v>19.147343624768673</v>
      </c>
      <c r="L111" s="21">
        <f>I111/(پارامترها!$B$5/1000000)</f>
        <v>34.650947757743872</v>
      </c>
      <c r="M111" s="21">
        <f>K111/پارامترها!$B$7</f>
        <v>63.824478749228916</v>
      </c>
      <c r="N111" s="21">
        <v>36.71</v>
      </c>
      <c r="O111" s="21">
        <f>N111*پارامترها!$B$6*پارامترها!$B$16</f>
        <v>82.597499999999997</v>
      </c>
      <c r="P111" s="21">
        <f>O111*12/G111*100</f>
        <v>56.269431711695105</v>
      </c>
      <c r="Q111" s="21">
        <f>O111*12/(پارامترها!$B$5/1000000)*100</f>
        <v>101.83079056865463</v>
      </c>
      <c r="R111" s="3" t="str">
        <f t="shared" si="4"/>
        <v>فشار شدید</v>
      </c>
      <c r="S111" s="21">
        <f>(1-NORMSDIST((LN(O111*12*1000000/پارامترها!$B$8)-پارامترها!$B$15)/پارامترها!$B$14))*100</f>
        <v>4.5898351486381657</v>
      </c>
      <c r="T111" s="21">
        <f>(1-NORMSDIST((LN(I111*1000000/5)-پارامترها!$B$15)/پارامترها!$B$14))*100</f>
        <v>0.90722643920049251</v>
      </c>
      <c r="U111" s="21">
        <f>MIN(100,پارامترها!$B$9/1000000/I111*100)</f>
        <v>5.929879178711734</v>
      </c>
      <c r="V111" s="19">
        <f>MAX(0,I111-پارامترها!$B$9/1000000)</f>
        <v>31727.5</v>
      </c>
      <c r="W111" s="21">
        <f>V111/(G111*پارامترها!$B$7)</f>
        <v>60.039764272957093</v>
      </c>
      <c r="X111" s="21">
        <f>پارامترها!$B$12/1000000/(G111/12)*100</f>
        <v>27.437451370799216</v>
      </c>
      <c r="Y111" s="21">
        <f>ROUND(50*MIN(1,3/K111)+50*MIN(1,30/P111),1)</f>
        <v>34.5</v>
      </c>
      <c r="Z111" s="3">
        <f t="shared" si="5"/>
        <v>17</v>
      </c>
      <c r="AA111" s="19">
        <v>90</v>
      </c>
      <c r="AB111" s="19">
        <v>95</v>
      </c>
      <c r="AC111" s="3" t="s">
        <v>83</v>
      </c>
      <c r="AD111" s="3" t="s">
        <v>84</v>
      </c>
      <c r="AE111" s="3" t="s">
        <v>233</v>
      </c>
      <c r="AF111" s="23" t="s">
        <v>85</v>
      </c>
    </row>
    <row r="112" spans="1:32" ht="16.5" x14ac:dyDescent="0.3">
      <c r="A112" s="3">
        <v>111</v>
      </c>
      <c r="B112" s="3">
        <v>6</v>
      </c>
      <c r="C112" s="3" t="s">
        <v>234</v>
      </c>
      <c r="D112" s="19">
        <v>9779</v>
      </c>
      <c r="E112" s="19">
        <f>ROUND(D112/INDEX(مناطق!$D$2:$D$23,B112),0)</f>
        <v>3311</v>
      </c>
      <c r="F112" s="20">
        <v>1.8043</v>
      </c>
      <c r="G112" s="19">
        <f>پارامترها!$B$5*F112/1000000</f>
        <v>1756.2154050000001</v>
      </c>
      <c r="H112" s="21">
        <v>448.4</v>
      </c>
      <c r="I112" s="19">
        <f>H112*پارامترها!$B$6</f>
        <v>33630</v>
      </c>
      <c r="J112" s="22">
        <v>135</v>
      </c>
      <c r="K112" s="21">
        <f t="shared" si="3"/>
        <v>19.149131652218937</v>
      </c>
      <c r="L112" s="21">
        <f>I112/(پارامترها!$B$5/1000000)</f>
        <v>34.550778240098623</v>
      </c>
      <c r="M112" s="21">
        <f>K112/پارامترها!$B$7</f>
        <v>63.830438840729791</v>
      </c>
      <c r="N112" s="21">
        <v>31.02</v>
      </c>
      <c r="O112" s="21">
        <f>N112*پارامترها!$B$6*پارامترها!$B$16</f>
        <v>69.795000000000002</v>
      </c>
      <c r="P112" s="21">
        <f>O112*12/G112*100</f>
        <v>47.690049729406617</v>
      </c>
      <c r="Q112" s="21">
        <f>O112*12/(پارامترها!$B$5/1000000)*100</f>
        <v>86.047156726768364</v>
      </c>
      <c r="R112" s="3" t="str">
        <f t="shared" si="4"/>
        <v>زیر فشار</v>
      </c>
      <c r="S112" s="21">
        <f>(1-NORMSDIST((LN(O112*12*1000000/پارامترها!$B$8)-پارامترها!$B$15)/پارامترها!$B$14))*100</f>
        <v>6.346323519832664</v>
      </c>
      <c r="T112" s="21">
        <f>(1-NORMSDIST((LN(I112*1000000/5)-پارامترها!$B$15)/پارامترها!$B$14))*100</f>
        <v>0.91396600423030439</v>
      </c>
      <c r="U112" s="21">
        <f>MIN(100,پارامترها!$B$9/1000000/I112*100)</f>
        <v>5.9470710674992562</v>
      </c>
      <c r="V112" s="19">
        <f>MAX(0,I112-پارامترها!$B$9/1000000)</f>
        <v>31630</v>
      </c>
      <c r="W112" s="21">
        <f>V112/(G112*پارامترها!$B$7)</f>
        <v>60.034397280174943</v>
      </c>
      <c r="X112" s="21">
        <f>پارامترها!$B$12/1000000/(G112/12)*100</f>
        <v>27.519567558463304</v>
      </c>
      <c r="Y112" s="21">
        <f>ROUND(50*MIN(1,3/K112)+50*MIN(1,30/P112),1)</f>
        <v>39.299999999999997</v>
      </c>
      <c r="Z112" s="3">
        <f t="shared" si="5"/>
        <v>1</v>
      </c>
      <c r="AA112" s="19">
        <v>90</v>
      </c>
      <c r="AB112" s="19">
        <v>48</v>
      </c>
      <c r="AC112" s="3" t="s">
        <v>83</v>
      </c>
      <c r="AD112" s="3" t="s">
        <v>84</v>
      </c>
      <c r="AE112" s="3" t="s">
        <v>235</v>
      </c>
      <c r="AF112" s="23" t="s">
        <v>85</v>
      </c>
    </row>
    <row r="113" spans="1:32" x14ac:dyDescent="0.2">
      <c r="A113" s="3">
        <v>112</v>
      </c>
      <c r="B113" s="3">
        <v>6</v>
      </c>
      <c r="C113" s="3" t="s">
        <v>236</v>
      </c>
      <c r="D113" s="19">
        <v>31012</v>
      </c>
      <c r="E113" s="19">
        <f>ROUND(D113/INDEX(مناطق!$D$2:$D$23,B113),0)</f>
        <v>10500</v>
      </c>
      <c r="F113" s="20">
        <v>1.7204999999999999</v>
      </c>
      <c r="G113" s="19">
        <f>پارامترها!$B$5*F113/1000000</f>
        <v>1674.6486750000001</v>
      </c>
      <c r="H113" s="21">
        <v>428.3</v>
      </c>
      <c r="I113" s="19">
        <f>H113*پارامترها!$B$6</f>
        <v>32122.5</v>
      </c>
      <c r="J113" s="22">
        <v>122.5</v>
      </c>
      <c r="K113" s="21">
        <f t="shared" si="3"/>
        <v>19.181635216711946</v>
      </c>
      <c r="L113" s="21">
        <f>I113/(پارامترها!$B$5/1000000)</f>
        <v>33.002003390352897</v>
      </c>
      <c r="M113" s="21">
        <f>K113/پارامترها!$B$7</f>
        <v>63.938784055706492</v>
      </c>
      <c r="N113" s="21">
        <v>34.01</v>
      </c>
      <c r="O113" s="21">
        <f>N113*پارامترها!$B$6*پارامترها!$B$16</f>
        <v>76.522499999999994</v>
      </c>
      <c r="P113" s="21">
        <f>O113*12/G113*100</f>
        <v>54.83359069328376</v>
      </c>
      <c r="Q113" s="21">
        <f>O113*12/(پارامترها!$B$5/1000000)*100</f>
        <v>94.341192787794711</v>
      </c>
      <c r="R113" s="3" t="str">
        <f t="shared" si="4"/>
        <v>فشار شدید</v>
      </c>
      <c r="S113" s="21">
        <f>(1-NORMSDIST((LN(O113*12*1000000/پارامترها!$B$8)-پارامترها!$B$15)/پارامترها!$B$14))*100</f>
        <v>5.3310063522384654</v>
      </c>
      <c r="T113" s="21">
        <f>(1-NORMSDIST((LN(I113*1000000/5)-پارامترها!$B$15)/پارامترها!$B$14))*100</f>
        <v>1.0267299492385029</v>
      </c>
      <c r="U113" s="21">
        <f>MIN(100,پارامترها!$B$9/1000000/I113*100)</f>
        <v>6.2261654603471088</v>
      </c>
      <c r="V113" s="19">
        <f>MAX(0,I113-پارامترها!$B$9/1000000)</f>
        <v>30122.5</v>
      </c>
      <c r="W113" s="21">
        <f>V113/(G113*پارامترها!$B$7)</f>
        <v>59.957849567064166</v>
      </c>
      <c r="X113" s="21">
        <f>پارامترها!$B$12/1000000/(G113/12)*100</f>
        <v>28.859956841461987</v>
      </c>
      <c r="Y113" s="21">
        <f>ROUND(50*MIN(1,3/K113)+50*MIN(1,30/P113),1)</f>
        <v>35.200000000000003</v>
      </c>
      <c r="Z113" s="3">
        <f t="shared" si="5"/>
        <v>9</v>
      </c>
      <c r="AA113" s="19">
        <v>94</v>
      </c>
      <c r="AB113" s="19">
        <v>87</v>
      </c>
      <c r="AC113" s="3" t="s">
        <v>83</v>
      </c>
      <c r="AD113" s="3" t="s">
        <v>84</v>
      </c>
      <c r="AE113" s="3" t="s">
        <v>236</v>
      </c>
      <c r="AF113" s="23" t="s">
        <v>85</v>
      </c>
    </row>
    <row r="114" spans="1:32" x14ac:dyDescent="0.2">
      <c r="A114" s="3">
        <v>113</v>
      </c>
      <c r="B114" s="3">
        <v>6</v>
      </c>
      <c r="C114" s="3" t="s">
        <v>237</v>
      </c>
      <c r="D114" s="19">
        <v>10218</v>
      </c>
      <c r="E114" s="19">
        <f>ROUND(D114/INDEX(مناطق!$D$2:$D$23,B114),0)</f>
        <v>3459</v>
      </c>
      <c r="F114" s="20">
        <v>1.6348</v>
      </c>
      <c r="G114" s="19">
        <f>پارامترها!$B$5*F114/1000000</f>
        <v>1591.2325800000003</v>
      </c>
      <c r="H114" s="21">
        <v>407.7</v>
      </c>
      <c r="I114" s="19">
        <f>H114*پارامترها!$B$6</f>
        <v>30577.5</v>
      </c>
      <c r="J114" s="22">
        <v>130</v>
      </c>
      <c r="K114" s="21">
        <f t="shared" si="3"/>
        <v>19.216235504680274</v>
      </c>
      <c r="L114" s="21">
        <f>I114/(پارامترها!$B$5/1000000)</f>
        <v>31.414701803051312</v>
      </c>
      <c r="M114" s="21">
        <f>K114/پارامترها!$B$7</f>
        <v>64.054118348934253</v>
      </c>
      <c r="N114" s="21">
        <v>36.270000000000003</v>
      </c>
      <c r="O114" s="21">
        <f>N114*پارامترها!$B$6*پارامترها!$B$16</f>
        <v>81.607500000000016</v>
      </c>
      <c r="P114" s="21">
        <f>O114*12/G114*100</f>
        <v>61.542857550088627</v>
      </c>
      <c r="Q114" s="21">
        <f>O114*12/(پارامترها!$B$5/1000000)*100</f>
        <v>100.61026352288489</v>
      </c>
      <c r="R114" s="3" t="str">
        <f t="shared" si="4"/>
        <v>فشار شدید</v>
      </c>
      <c r="S114" s="21">
        <f>(1-NORMSDIST((LN(O114*12*1000000/پارامترها!$B$8)-پارامترها!$B$15)/پارامترها!$B$14))*100</f>
        <v>4.7009901742996014</v>
      </c>
      <c r="T114" s="21">
        <f>(1-NORMSDIST((LN(I114*1000000/5)-پارامترها!$B$15)/پارامترها!$B$14))*100</f>
        <v>1.1612763485975841</v>
      </c>
      <c r="U114" s="21">
        <f>MIN(100,پارامترها!$B$9/1000000/I114*100)</f>
        <v>6.5407570926334726</v>
      </c>
      <c r="V114" s="19">
        <f>MAX(0,I114-پارامترها!$B$9/1000000)</f>
        <v>28577.5</v>
      </c>
      <c r="W114" s="21">
        <f>V114/(G114*پارامترها!$B$7)</f>
        <v>59.864494059902498</v>
      </c>
      <c r="X114" s="21">
        <f>پارامترها!$B$12/1000000/(G114/12)*100</f>
        <v>30.372862579970235</v>
      </c>
      <c r="Y114" s="21">
        <f>ROUND(50*MIN(1,3/K114)+50*MIN(1,30/P114),1)</f>
        <v>32.200000000000003</v>
      </c>
      <c r="Z114" s="3">
        <f t="shared" si="5"/>
        <v>53</v>
      </c>
      <c r="AA114" s="19">
        <v>71</v>
      </c>
      <c r="AB114" s="19">
        <v>22</v>
      </c>
      <c r="AC114" s="3" t="s">
        <v>83</v>
      </c>
      <c r="AD114" s="3" t="s">
        <v>84</v>
      </c>
      <c r="AE114" s="3" t="s">
        <v>237</v>
      </c>
      <c r="AF114" s="23" t="s">
        <v>85</v>
      </c>
    </row>
    <row r="115" spans="1:32" x14ac:dyDescent="0.2">
      <c r="A115" s="3">
        <v>114</v>
      </c>
      <c r="B115" s="3">
        <v>6</v>
      </c>
      <c r="C115" s="3" t="s">
        <v>238</v>
      </c>
      <c r="D115" s="19">
        <v>16697</v>
      </c>
      <c r="E115" s="19">
        <f>ROUND(D115/INDEX(مناطق!$D$2:$D$23,B115),0)</f>
        <v>5653</v>
      </c>
      <c r="F115" s="20">
        <v>1.6041000000000001</v>
      </c>
      <c r="G115" s="19">
        <f>پارامترها!$B$5*F115/1000000</f>
        <v>1561.3507350000002</v>
      </c>
      <c r="H115" s="21">
        <v>400.3</v>
      </c>
      <c r="I115" s="19">
        <f>H115*پارامترها!$B$6</f>
        <v>30022.5</v>
      </c>
      <c r="J115" s="22">
        <v>109</v>
      </c>
      <c r="K115" s="21">
        <f t="shared" si="3"/>
        <v>19.228543162661012</v>
      </c>
      <c r="L115" s="21">
        <f>I115/(پارامترها!$B$5/1000000)</f>
        <v>30.844506087224531</v>
      </c>
      <c r="M115" s="21">
        <f>K115/پارامترها!$B$7</f>
        <v>64.095143875536706</v>
      </c>
      <c r="N115" s="21">
        <v>28.76</v>
      </c>
      <c r="O115" s="21">
        <f>N115*پارامترها!$B$6*پارامترها!$B$16</f>
        <v>64.709999999999994</v>
      </c>
      <c r="P115" s="21">
        <f>O115*12/G115*100</f>
        <v>49.733860726686743</v>
      </c>
      <c r="Q115" s="21">
        <f>O115*12/(پارامترها!$B$5/1000000)*100</f>
        <v>79.778085991678211</v>
      </c>
      <c r="R115" s="3" t="str">
        <f t="shared" si="4"/>
        <v>زیر فشار</v>
      </c>
      <c r="S115" s="21">
        <f>(1-NORMSDIST((LN(O115*12*1000000/پارامترها!$B$8)-پارامترها!$B$15)/پارامترها!$B$14))*100</f>
        <v>7.2887039269168952</v>
      </c>
      <c r="T115" s="21">
        <f>(1-NORMSDIST((LN(I115*1000000/5)-پارامترها!$B$15)/پارامترها!$B$14))*100</f>
        <v>1.2150415942134396</v>
      </c>
      <c r="U115" s="21">
        <f>MIN(100,پارامترها!$B$9/1000000/I115*100)</f>
        <v>6.6616704138562746</v>
      </c>
      <c r="V115" s="19">
        <f>MAX(0,I115-پارامترها!$B$9/1000000)</f>
        <v>28022.5</v>
      </c>
      <c r="W115" s="21">
        <f>V115/(G115*پارامترها!$B$7)</f>
        <v>59.825336639261472</v>
      </c>
      <c r="X115" s="21">
        <f>پارامترها!$B$12/1000000/(G115/12)*100</f>
        <v>30.954152325749853</v>
      </c>
      <c r="Y115" s="21">
        <f>ROUND(50*MIN(1,3/K115)+50*MIN(1,30/P115),1)</f>
        <v>38</v>
      </c>
      <c r="Z115" s="3">
        <f t="shared" si="5"/>
        <v>2</v>
      </c>
      <c r="AA115" s="19">
        <v>90</v>
      </c>
      <c r="AB115" s="19">
        <v>73</v>
      </c>
      <c r="AC115" s="3" t="s">
        <v>83</v>
      </c>
      <c r="AD115" s="3" t="s">
        <v>84</v>
      </c>
      <c r="AE115" s="3" t="s">
        <v>238</v>
      </c>
      <c r="AF115" s="23" t="s">
        <v>85</v>
      </c>
    </row>
    <row r="116" spans="1:32" x14ac:dyDescent="0.2">
      <c r="A116" s="3">
        <v>115</v>
      </c>
      <c r="B116" s="3">
        <v>6</v>
      </c>
      <c r="C116" s="3" t="s">
        <v>239</v>
      </c>
      <c r="D116" s="19">
        <v>13634</v>
      </c>
      <c r="E116" s="19">
        <f>ROUND(D116/INDEX(مناطق!$D$2:$D$23,B116),0)</f>
        <v>4616</v>
      </c>
      <c r="F116" s="20">
        <v>1.4422999999999999</v>
      </c>
      <c r="G116" s="19">
        <f>پارامترها!$B$5*F116/1000000</f>
        <v>1403.862705</v>
      </c>
      <c r="H116" s="21">
        <v>361.2</v>
      </c>
      <c r="I116" s="19">
        <f>H116*پارامترها!$B$6</f>
        <v>27090</v>
      </c>
      <c r="J116" s="22">
        <v>107.5</v>
      </c>
      <c r="K116" s="21">
        <f t="shared" si="3"/>
        <v>19.29675879522706</v>
      </c>
      <c r="L116" s="21">
        <f>I116/(پارامترها!$B$5/1000000)</f>
        <v>27.831715210355984</v>
      </c>
      <c r="M116" s="21">
        <f>K116/پارامترها!$B$7</f>
        <v>64.32252931742353</v>
      </c>
      <c r="N116" s="21">
        <v>26.67</v>
      </c>
      <c r="O116" s="21">
        <f>N116*پارامترها!$B$6*پارامترها!$B$16</f>
        <v>60.007500000000007</v>
      </c>
      <c r="P116" s="21">
        <f>O116*12/G116*100</f>
        <v>51.293477448708217</v>
      </c>
      <c r="Q116" s="21">
        <f>O116*12/(پارامترها!$B$5/1000000)*100</f>
        <v>73.980582524271853</v>
      </c>
      <c r="R116" s="3" t="str">
        <f t="shared" si="4"/>
        <v>فشار شدید</v>
      </c>
      <c r="S116" s="21">
        <f>(1-NORMSDIST((LN(O116*12*1000000/پارامترها!$B$8)-پارامترها!$B$15)/پارامترها!$B$14))*100</f>
        <v>8.3317402750268776</v>
      </c>
      <c r="T116" s="21">
        <f>(1-NORMSDIST((LN(I116*1000000/5)-پارامترها!$B$15)/پارامترها!$B$14))*100</f>
        <v>1.5584789921895936</v>
      </c>
      <c r="U116" s="21">
        <f>MIN(100,پارامترها!$B$9/1000000/I116*100)</f>
        <v>7.3827980804725</v>
      </c>
      <c r="V116" s="19">
        <f>MAX(0,I116-پارامترها!$B$9/1000000)</f>
        <v>25090</v>
      </c>
      <c r="W116" s="21">
        <f>V116/(G116*پارامترها!$B$7)</f>
        <v>59.57372685766542</v>
      </c>
      <c r="X116" s="21">
        <f>پارامترها!$B$12/1000000/(G116/12)*100</f>
        <v>34.426648925837448</v>
      </c>
      <c r="Y116" s="21">
        <f>ROUND(50*MIN(1,3/K116)+50*MIN(1,30/P116),1)</f>
        <v>37</v>
      </c>
      <c r="Z116" s="3">
        <f t="shared" si="5"/>
        <v>3</v>
      </c>
      <c r="AA116" s="19">
        <v>92</v>
      </c>
      <c r="AB116" s="19">
        <v>80</v>
      </c>
      <c r="AC116" s="3" t="s">
        <v>83</v>
      </c>
      <c r="AD116" s="3" t="s">
        <v>84</v>
      </c>
      <c r="AE116" s="3" t="s">
        <v>239</v>
      </c>
      <c r="AF116" s="23" t="s">
        <v>85</v>
      </c>
    </row>
    <row r="117" spans="1:32" ht="16.5" x14ac:dyDescent="0.3">
      <c r="A117" s="3">
        <v>116</v>
      </c>
      <c r="B117" s="3">
        <v>6</v>
      </c>
      <c r="C117" s="3" t="s">
        <v>240</v>
      </c>
      <c r="D117" s="19">
        <v>10938</v>
      </c>
      <c r="E117" s="19">
        <f>ROUND(D117/INDEX(مناطق!$D$2:$D$23,B117),0)</f>
        <v>3703</v>
      </c>
      <c r="F117" s="20">
        <v>1.3767</v>
      </c>
      <c r="G117" s="19">
        <f>پارامترها!$B$5*F117/1000000</f>
        <v>1340.0109450000002</v>
      </c>
      <c r="H117" s="21">
        <v>345.3</v>
      </c>
      <c r="I117" s="19">
        <f>H117*پارامترها!$B$6</f>
        <v>25897.5</v>
      </c>
      <c r="J117" s="22"/>
      <c r="K117" s="21">
        <f t="shared" si="3"/>
        <v>19.326334681542466</v>
      </c>
      <c r="L117" s="21">
        <f>I117/(پارامترها!$B$5/1000000)</f>
        <v>26.606564956079517</v>
      </c>
      <c r="M117" s="21">
        <f>K117/پارامترها!$B$7</f>
        <v>64.421115605141551</v>
      </c>
      <c r="N117" s="21">
        <v>33.979999999999997</v>
      </c>
      <c r="O117" s="21">
        <f>N117*پارامترها!$B$6*پارامترها!$B$16</f>
        <v>76.454999999999984</v>
      </c>
      <c r="P117" s="21">
        <f>O117*12/G117*100</f>
        <v>68.466604950006555</v>
      </c>
      <c r="Q117" s="21">
        <f>O117*12/(پارامترها!$B$5/1000000)*100</f>
        <v>94.257975034674033</v>
      </c>
      <c r="R117" s="3" t="str">
        <f t="shared" si="4"/>
        <v>فشار شدید</v>
      </c>
      <c r="S117" s="21">
        <f>(1-NORMSDIST((LN(O117*12*1000000/پارامترها!$B$8)-پارامترها!$B$15)/پارامترها!$B$14))*100</f>
        <v>5.3400919234507409</v>
      </c>
      <c r="T117" s="21">
        <f>(1-NORMSDIST((LN(I117*1000000/5)-پارامترها!$B$15)/پارامترها!$B$14))*100</f>
        <v>1.7333642367508895</v>
      </c>
      <c r="U117" s="21">
        <f>MIN(100,پارامترها!$B$9/1000000/I117*100)</f>
        <v>7.7227531615020757</v>
      </c>
      <c r="V117" s="19">
        <f>MAX(0,I117-پارامترها!$B$9/1000000)</f>
        <v>23897.5</v>
      </c>
      <c r="W117" s="21">
        <f>V117/(G117*پارامترها!$B$7)</f>
        <v>59.44603186307058</v>
      </c>
      <c r="X117" s="21">
        <f>پارامترها!$B$12/1000000/(G117/12)*100</f>
        <v>36.067084873781752</v>
      </c>
      <c r="Y117" s="21">
        <f>ROUND(50*MIN(1,3/K117)+50*MIN(1,30/P117),1)</f>
        <v>29.7</v>
      </c>
      <c r="Z117" s="3">
        <f t="shared" si="5"/>
        <v>179</v>
      </c>
      <c r="AA117" s="19">
        <v>0</v>
      </c>
      <c r="AB117" s="19">
        <v>0</v>
      </c>
      <c r="AC117" s="3" t="s">
        <v>103</v>
      </c>
      <c r="AD117" s="3" t="s">
        <v>104</v>
      </c>
      <c r="AE117" s="23" t="s">
        <v>105</v>
      </c>
      <c r="AF117" s="23" t="s">
        <v>106</v>
      </c>
    </row>
    <row r="118" spans="1:32" ht="16.5" x14ac:dyDescent="0.3">
      <c r="A118" s="3">
        <v>117</v>
      </c>
      <c r="B118" s="3">
        <v>6</v>
      </c>
      <c r="C118" s="3" t="s">
        <v>241</v>
      </c>
      <c r="D118" s="19">
        <v>8875</v>
      </c>
      <c r="E118" s="19">
        <f>ROUND(D118/INDEX(مناطق!$D$2:$D$23,B118),0)</f>
        <v>3005</v>
      </c>
      <c r="F118" s="20">
        <v>1.3767</v>
      </c>
      <c r="G118" s="19">
        <f>پارامترها!$B$5*F118/1000000</f>
        <v>1340.0109450000002</v>
      </c>
      <c r="H118" s="21">
        <v>345.3</v>
      </c>
      <c r="I118" s="19">
        <f>H118*پارامترها!$B$6</f>
        <v>25897.5</v>
      </c>
      <c r="J118" s="22"/>
      <c r="K118" s="21">
        <f t="shared" si="3"/>
        <v>19.326334681542466</v>
      </c>
      <c r="L118" s="21">
        <f>I118/(پارامترها!$B$5/1000000)</f>
        <v>26.606564956079517</v>
      </c>
      <c r="M118" s="21">
        <f>K118/پارامترها!$B$7</f>
        <v>64.421115605141551</v>
      </c>
      <c r="N118" s="21">
        <v>33.979999999999997</v>
      </c>
      <c r="O118" s="21">
        <f>N118*پارامترها!$B$6*پارامترها!$B$16</f>
        <v>76.454999999999984</v>
      </c>
      <c r="P118" s="21">
        <f>O118*12/G118*100</f>
        <v>68.466604950006555</v>
      </c>
      <c r="Q118" s="21">
        <f>O118*12/(پارامترها!$B$5/1000000)*100</f>
        <v>94.257975034674033</v>
      </c>
      <c r="R118" s="3" t="str">
        <f t="shared" si="4"/>
        <v>فشار شدید</v>
      </c>
      <c r="S118" s="21">
        <f>(1-NORMSDIST((LN(O118*12*1000000/پارامترها!$B$8)-پارامترها!$B$15)/پارامترها!$B$14))*100</f>
        <v>5.3400919234507409</v>
      </c>
      <c r="T118" s="21">
        <f>(1-NORMSDIST((LN(I118*1000000/5)-پارامترها!$B$15)/پارامترها!$B$14))*100</f>
        <v>1.7333642367508895</v>
      </c>
      <c r="U118" s="21">
        <f>MIN(100,پارامترها!$B$9/1000000/I118*100)</f>
        <v>7.7227531615020757</v>
      </c>
      <c r="V118" s="19">
        <f>MAX(0,I118-پارامترها!$B$9/1000000)</f>
        <v>23897.5</v>
      </c>
      <c r="W118" s="21">
        <f>V118/(G118*پارامترها!$B$7)</f>
        <v>59.44603186307058</v>
      </c>
      <c r="X118" s="21">
        <f>پارامترها!$B$12/1000000/(G118/12)*100</f>
        <v>36.067084873781752</v>
      </c>
      <c r="Y118" s="21">
        <f>ROUND(50*MIN(1,3/K118)+50*MIN(1,30/P118),1)</f>
        <v>29.7</v>
      </c>
      <c r="Z118" s="3">
        <f t="shared" si="5"/>
        <v>179</v>
      </c>
      <c r="AA118" s="19">
        <v>0</v>
      </c>
      <c r="AB118" s="19">
        <v>0</v>
      </c>
      <c r="AC118" s="3" t="s">
        <v>103</v>
      </c>
      <c r="AD118" s="3" t="s">
        <v>104</v>
      </c>
      <c r="AE118" s="23" t="s">
        <v>105</v>
      </c>
      <c r="AF118" s="23" t="s">
        <v>106</v>
      </c>
    </row>
    <row r="119" spans="1:32" x14ac:dyDescent="0.2">
      <c r="A119" s="3">
        <v>118</v>
      </c>
      <c r="B119" s="3">
        <v>6</v>
      </c>
      <c r="C119" s="3" t="s">
        <v>242</v>
      </c>
      <c r="D119" s="19">
        <v>32856</v>
      </c>
      <c r="E119" s="19">
        <f>ROUND(D119/INDEX(مناطق!$D$2:$D$23,B119),0)</f>
        <v>11124</v>
      </c>
      <c r="F119" s="20">
        <v>1.3686</v>
      </c>
      <c r="G119" s="19">
        <f>پارامترها!$B$5*F119/1000000</f>
        <v>1332.1268100000002</v>
      </c>
      <c r="H119" s="21">
        <v>343.3</v>
      </c>
      <c r="I119" s="19">
        <f>H119*پارامترها!$B$6</f>
        <v>25747.5</v>
      </c>
      <c r="J119" s="22">
        <v>116</v>
      </c>
      <c r="K119" s="21">
        <f t="shared" si="3"/>
        <v>19.328114866181544</v>
      </c>
      <c r="L119" s="21">
        <f>I119/(پارامترها!$B$5/1000000)</f>
        <v>26.452458005856059</v>
      </c>
      <c r="M119" s="21">
        <f>K119/پارامترها!$B$7</f>
        <v>64.427049553938488</v>
      </c>
      <c r="N119" s="21">
        <v>29.26</v>
      </c>
      <c r="O119" s="21">
        <f>N119*پارامترها!$B$6*پارامترها!$B$16</f>
        <v>65.834999999999994</v>
      </c>
      <c r="P119" s="21">
        <f>O119*12/G119*100</f>
        <v>59.305164798837716</v>
      </c>
      <c r="Q119" s="21">
        <f>O119*12/(پارامترها!$B$5/1000000)*100</f>
        <v>81.165048543689309</v>
      </c>
      <c r="R119" s="3" t="str">
        <f t="shared" si="4"/>
        <v>فشار شدید</v>
      </c>
      <c r="S119" s="21">
        <f>(1-NORMSDIST((LN(O119*12*1000000/پارامترها!$B$8)-پارامترها!$B$15)/پارامترها!$B$14))*100</f>
        <v>7.0650806374640496</v>
      </c>
      <c r="T119" s="21">
        <f>(1-NORMSDIST((LN(I119*1000000/5)-پارامترها!$B$15)/پارامترها!$B$14))*100</f>
        <v>1.757107563727045</v>
      </c>
      <c r="U119" s="21">
        <f>MIN(100,پارامترها!$B$9/1000000/I119*100)</f>
        <v>7.767744441207884</v>
      </c>
      <c r="V119" s="19">
        <f>MAX(0,I119-پارامترها!$B$9/1000000)</f>
        <v>23747.5</v>
      </c>
      <c r="W119" s="21">
        <f>V119/(G119*پارامترها!$B$7)</f>
        <v>59.422520993578175</v>
      </c>
      <c r="X119" s="21">
        <f>پارامترها!$B$12/1000000/(G119/12)*100</f>
        <v>36.280546358128987</v>
      </c>
      <c r="Y119" s="21">
        <f>ROUND(50*MIN(1,3/K119)+50*MIN(1,30/P119),1)</f>
        <v>33.1</v>
      </c>
      <c r="Z119" s="3">
        <f t="shared" si="5"/>
        <v>30</v>
      </c>
      <c r="AA119" s="19">
        <v>90</v>
      </c>
      <c r="AB119" s="19">
        <v>86</v>
      </c>
      <c r="AC119" s="3" t="s">
        <v>83</v>
      </c>
      <c r="AD119" s="3" t="s">
        <v>84</v>
      </c>
      <c r="AE119" s="3" t="s">
        <v>242</v>
      </c>
      <c r="AF119" s="23" t="s">
        <v>85</v>
      </c>
    </row>
    <row r="120" spans="1:32" ht="16.5" x14ac:dyDescent="0.3">
      <c r="A120" s="3">
        <v>119</v>
      </c>
      <c r="B120" s="3">
        <v>6</v>
      </c>
      <c r="C120" s="3" t="s">
        <v>243</v>
      </c>
      <c r="D120" s="19">
        <v>14567</v>
      </c>
      <c r="E120" s="19">
        <f>ROUND(D120/INDEX(مناطق!$D$2:$D$23,B120),0)</f>
        <v>4932</v>
      </c>
      <c r="F120" s="20">
        <v>1.1803999999999999</v>
      </c>
      <c r="G120" s="19">
        <f>پارامترها!$B$5*F120/1000000</f>
        <v>1148.9423400000001</v>
      </c>
      <c r="H120" s="21">
        <v>297.60000000000002</v>
      </c>
      <c r="I120" s="19">
        <f>H120*پارامترها!$B$6</f>
        <v>22320</v>
      </c>
      <c r="J120" s="22">
        <v>105</v>
      </c>
      <c r="K120" s="21">
        <f t="shared" si="3"/>
        <v>19.426562346026866</v>
      </c>
      <c r="L120" s="21">
        <f>I120/(پارامترها!$B$5/1000000)</f>
        <v>22.931114193250114</v>
      </c>
      <c r="M120" s="21">
        <f>K120/پارامترها!$B$7</f>
        <v>64.755207820089552</v>
      </c>
      <c r="N120" s="21">
        <v>29.07</v>
      </c>
      <c r="O120" s="21">
        <f>N120*پارامترها!$B$6*پارامترها!$B$16</f>
        <v>65.407499999999999</v>
      </c>
      <c r="P120" s="21">
        <f>O120*12/G120*100</f>
        <v>68.314133153104962</v>
      </c>
      <c r="Q120" s="21">
        <f>O120*12/(پارامترها!$B$5/1000000)*100</f>
        <v>80.638002773925095</v>
      </c>
      <c r="R120" s="3" t="str">
        <f t="shared" si="4"/>
        <v>فشار شدید</v>
      </c>
      <c r="S120" s="21">
        <f>(1-NORMSDIST((LN(O120*12*1000000/پارامترها!$B$8)-پارامترها!$B$15)/پارامترها!$B$14))*100</f>
        <v>7.1489760899046129</v>
      </c>
      <c r="T120" s="21">
        <f>(1-NORMSDIST((LN(I120*1000000/5)-پارامترها!$B$15)/پارامترها!$B$14))*100</f>
        <v>2.4345369457882571</v>
      </c>
      <c r="U120" s="21">
        <f>MIN(100,پارامترها!$B$9/1000000/I120*100)</f>
        <v>8.9605734767025087</v>
      </c>
      <c r="V120" s="19">
        <f>MAX(0,I120-پارامترها!$B$9/1000000)</f>
        <v>20320</v>
      </c>
      <c r="W120" s="21">
        <f>V120/(G120*پارامترها!$B$7)</f>
        <v>58.952769843379023</v>
      </c>
      <c r="X120" s="21">
        <f>پارامترها!$B$12/1000000/(G120/12)*100</f>
        <v>42.065025199708018</v>
      </c>
      <c r="Y120" s="21">
        <f>ROUND(50*MIN(1,3/K120)+50*MIN(1,30/P120),1)</f>
        <v>29.7</v>
      </c>
      <c r="Z120" s="3">
        <f t="shared" si="5"/>
        <v>179</v>
      </c>
      <c r="AA120" s="19">
        <v>86</v>
      </c>
      <c r="AB120" s="19">
        <v>86</v>
      </c>
      <c r="AC120" s="3" t="s">
        <v>83</v>
      </c>
      <c r="AD120" s="3" t="s">
        <v>93</v>
      </c>
      <c r="AE120" s="3" t="s">
        <v>244</v>
      </c>
      <c r="AF120" s="23" t="s">
        <v>85</v>
      </c>
    </row>
    <row r="121" spans="1:32" x14ac:dyDescent="0.2">
      <c r="A121" s="3">
        <v>120</v>
      </c>
      <c r="B121" s="3">
        <v>6</v>
      </c>
      <c r="C121" s="3" t="s">
        <v>245</v>
      </c>
      <c r="D121" s="19">
        <v>12672</v>
      </c>
      <c r="E121" s="19">
        <f>ROUND(D121/INDEX(مناطق!$D$2:$D$23,B121),0)</f>
        <v>4290</v>
      </c>
      <c r="F121" s="20">
        <v>1.1648000000000001</v>
      </c>
      <c r="G121" s="19">
        <f>پارامترها!$B$5*F121/1000000</f>
        <v>1133.7580800000003</v>
      </c>
      <c r="H121" s="21">
        <v>293.8</v>
      </c>
      <c r="I121" s="19">
        <f>H121*پارامترها!$B$6</f>
        <v>22035</v>
      </c>
      <c r="J121" s="22">
        <v>100</v>
      </c>
      <c r="K121" s="21">
        <f t="shared" si="3"/>
        <v>19.435363142020556</v>
      </c>
      <c r="L121" s="21">
        <f>I121/(پارامترها!$B$5/1000000)</f>
        <v>22.638310987825548</v>
      </c>
      <c r="M121" s="21">
        <f>K121/پارامترها!$B$7</f>
        <v>64.784543806735186</v>
      </c>
      <c r="N121" s="21">
        <v>26.94</v>
      </c>
      <c r="O121" s="21">
        <f>N121*پارامترها!$B$6*پارامترها!$B$16</f>
        <v>60.614999999999995</v>
      </c>
      <c r="P121" s="21">
        <f>O121*12/G121*100</f>
        <v>64.156543872216517</v>
      </c>
      <c r="Q121" s="21">
        <f>O121*12/(پارامترها!$B$5/1000000)*100</f>
        <v>74.729542302357814</v>
      </c>
      <c r="R121" s="3" t="str">
        <f t="shared" si="4"/>
        <v>فشار شدید</v>
      </c>
      <c r="S121" s="21">
        <f>(1-NORMSDIST((LN(O121*12*1000000/پارامترها!$B$8)-پارامترها!$B$15)/پارامترها!$B$14))*100</f>
        <v>8.1863258843595474</v>
      </c>
      <c r="T121" s="21">
        <f>(1-NORMSDIST((LN(I121*1000000/5)-پارامترها!$B$15)/پارامترها!$B$14))*100</f>
        <v>2.5050133034794975</v>
      </c>
      <c r="U121" s="21">
        <f>MIN(100,پارامترها!$B$9/1000000/I121*100)</f>
        <v>9.0764692534604041</v>
      </c>
      <c r="V121" s="19">
        <f>MAX(0,I121-پارامترها!$B$9/1000000)</f>
        <v>20035</v>
      </c>
      <c r="W121" s="21">
        <f>V121/(G121*پارامترها!$B$7)</f>
        <v>58.904394607122285</v>
      </c>
      <c r="X121" s="21">
        <f>پارامترها!$B$12/1000000/(G121/12)*100</f>
        <v>42.628396072918385</v>
      </c>
      <c r="Y121" s="21">
        <f>ROUND(50*MIN(1,3/K121)+50*MIN(1,30/P121),1)</f>
        <v>31.1</v>
      </c>
      <c r="Z121" s="3">
        <f t="shared" si="5"/>
        <v>95</v>
      </c>
      <c r="AA121" s="19">
        <v>84</v>
      </c>
      <c r="AB121" s="19">
        <v>72</v>
      </c>
      <c r="AC121" s="3" t="s">
        <v>83</v>
      </c>
      <c r="AD121" s="3" t="s">
        <v>84</v>
      </c>
      <c r="AE121" s="3" t="s">
        <v>246</v>
      </c>
      <c r="AF121" s="23" t="s">
        <v>85</v>
      </c>
    </row>
    <row r="122" spans="1:32" x14ac:dyDescent="0.2">
      <c r="A122" s="3">
        <v>121</v>
      </c>
      <c r="B122" s="3">
        <v>6</v>
      </c>
      <c r="C122" s="3" t="s">
        <v>247</v>
      </c>
      <c r="D122" s="19">
        <v>9593</v>
      </c>
      <c r="E122" s="19">
        <f>ROUND(D122/INDEX(مناطق!$D$2:$D$23,B122),0)</f>
        <v>3248</v>
      </c>
      <c r="F122" s="20">
        <v>1.0598000000000001</v>
      </c>
      <c r="G122" s="19">
        <f>پارامترها!$B$5*F122/1000000</f>
        <v>1031.5563300000003</v>
      </c>
      <c r="H122" s="21">
        <v>268.2</v>
      </c>
      <c r="I122" s="19">
        <f>H122*پارامترها!$B$6</f>
        <v>20115</v>
      </c>
      <c r="J122" s="22">
        <v>82</v>
      </c>
      <c r="K122" s="21">
        <f t="shared" si="3"/>
        <v>19.499662223971804</v>
      </c>
      <c r="L122" s="21">
        <f>I122/(پارامترها!$B$5/1000000)</f>
        <v>20.665742024965322</v>
      </c>
      <c r="M122" s="21">
        <f>K122/پارامترها!$B$7</f>
        <v>64.998874079906017</v>
      </c>
      <c r="N122" s="21">
        <v>25.66</v>
      </c>
      <c r="O122" s="21">
        <f>N122*پارامترها!$B$6*پارامترها!$B$16</f>
        <v>57.734999999999999</v>
      </c>
      <c r="P122" s="21">
        <f>O122*12/G122*100</f>
        <v>67.162594988874687</v>
      </c>
      <c r="Q122" s="21">
        <f>O122*12/(پارامترها!$B$5/1000000)*100</f>
        <v>71.17891816920941</v>
      </c>
      <c r="R122" s="3" t="str">
        <f t="shared" si="4"/>
        <v>فشار شدید</v>
      </c>
      <c r="S122" s="21">
        <f>(1-NORMSDIST((LN(O122*12*1000000/پارامترها!$B$8)-پارامترها!$B$15)/پارامترها!$B$14))*100</f>
        <v>8.907076595357367</v>
      </c>
      <c r="T122" s="21">
        <f>(1-NORMSDIST((LN(I122*1000000/5)-پارامترها!$B$15)/پارامترها!$B$14))*100</f>
        <v>3.0556242861338623</v>
      </c>
      <c r="U122" s="21">
        <f>MIN(100,پارامترها!$B$9/1000000/I122*100)</f>
        <v>9.942828734775043</v>
      </c>
      <c r="V122" s="19">
        <f>MAX(0,I122-پارامترها!$B$9/1000000)</f>
        <v>18115</v>
      </c>
      <c r="W122" s="21">
        <f>V122/(G122*پارامترها!$B$7)</f>
        <v>58.536147350608879</v>
      </c>
      <c r="X122" s="21">
        <f>پارامترها!$B$12/1000000/(G122/12)*100</f>
        <v>46.851817084105804</v>
      </c>
      <c r="Y122" s="21">
        <f>ROUND(50*MIN(1,3/K122)+50*MIN(1,30/P122),1)</f>
        <v>30</v>
      </c>
      <c r="Z122" s="3">
        <f t="shared" si="5"/>
        <v>162</v>
      </c>
      <c r="AA122" s="19">
        <v>92</v>
      </c>
      <c r="AB122" s="19">
        <v>70</v>
      </c>
      <c r="AC122" s="3" t="s">
        <v>83</v>
      </c>
      <c r="AD122" s="3" t="s">
        <v>84</v>
      </c>
      <c r="AE122" s="3" t="s">
        <v>247</v>
      </c>
      <c r="AF122" s="23" t="s">
        <v>85</v>
      </c>
    </row>
    <row r="123" spans="1:32" ht="16.5" x14ac:dyDescent="0.3">
      <c r="A123" s="3">
        <v>122</v>
      </c>
      <c r="B123" s="3">
        <v>6</v>
      </c>
      <c r="C123" s="3" t="s">
        <v>248</v>
      </c>
      <c r="D123" s="19">
        <v>13432</v>
      </c>
      <c r="E123" s="19">
        <f>ROUND(D123/INDEX(مناطق!$D$2:$D$23,B123),0)</f>
        <v>4548</v>
      </c>
      <c r="F123" s="20">
        <v>0.97040000000000004</v>
      </c>
      <c r="G123" s="19">
        <f>پارامترها!$B$5*F123/1000000</f>
        <v>944.53884000000016</v>
      </c>
      <c r="H123" s="21">
        <v>246.3</v>
      </c>
      <c r="I123" s="19">
        <f>H123*پارامترها!$B$6</f>
        <v>18472.5</v>
      </c>
      <c r="J123" s="22">
        <v>94</v>
      </c>
      <c r="K123" s="21">
        <f t="shared" si="3"/>
        <v>19.557162943135296</v>
      </c>
      <c r="L123" s="21">
        <f>I123/(پارامترها!$B$5/1000000)</f>
        <v>18.978270920018492</v>
      </c>
      <c r="M123" s="21">
        <f>K123/پارامترها!$B$7</f>
        <v>65.190543143784325</v>
      </c>
      <c r="N123" s="21">
        <v>25.03</v>
      </c>
      <c r="O123" s="21">
        <f>N123*پارامترها!$B$6*پارامترها!$B$16</f>
        <v>56.317499999999995</v>
      </c>
      <c r="P123" s="21">
        <f>O123*12/G123*100</f>
        <v>71.549201724727368</v>
      </c>
      <c r="Q123" s="21">
        <f>O123*12/(پارامترها!$B$5/1000000)*100</f>
        <v>69.431345353675439</v>
      </c>
      <c r="R123" s="3" t="str">
        <f t="shared" si="4"/>
        <v>فشار شدید</v>
      </c>
      <c r="S123" s="21">
        <f>(1-NORMSDIST((LN(O123*12*1000000/پارامترها!$B$8)-پارامترها!$B$15)/پارامترها!$B$14))*100</f>
        <v>9.2928735170222936</v>
      </c>
      <c r="T123" s="21">
        <f>(1-NORMSDIST((LN(I123*1000000/5)-پارامترها!$B$15)/پارامترها!$B$14))*100</f>
        <v>3.6572325933152516</v>
      </c>
      <c r="U123" s="21">
        <f>MIN(100,پارامترها!$B$9/1000000/I123*100)</f>
        <v>10.826904858573554</v>
      </c>
      <c r="V123" s="19">
        <f>MAX(0,I123-پارامترها!$B$9/1000000)</f>
        <v>16472.5</v>
      </c>
      <c r="W123" s="21">
        <f>V123/(G123*پارامترها!$B$7)</f>
        <v>58.132425060819443</v>
      </c>
      <c r="X123" s="21">
        <f>پارامترها!$B$12/1000000/(G123/12)*100</f>
        <v>51.168132466751182</v>
      </c>
      <c r="Y123" s="21">
        <f>ROUND(50*MIN(1,3/K123)+50*MIN(1,30/P123),1)</f>
        <v>28.6</v>
      </c>
      <c r="Z123" s="3">
        <f t="shared" si="5"/>
        <v>235</v>
      </c>
      <c r="AA123" s="19">
        <v>88</v>
      </c>
      <c r="AB123" s="19">
        <v>54</v>
      </c>
      <c r="AC123" s="3" t="s">
        <v>83</v>
      </c>
      <c r="AD123" s="3" t="s">
        <v>93</v>
      </c>
      <c r="AE123" s="3" t="s">
        <v>249</v>
      </c>
      <c r="AF123" s="23" t="s">
        <v>85</v>
      </c>
    </row>
    <row r="124" spans="1:32" x14ac:dyDescent="0.2">
      <c r="A124" s="3">
        <v>123</v>
      </c>
      <c r="B124" s="3">
        <v>6</v>
      </c>
      <c r="C124" s="3" t="s">
        <v>250</v>
      </c>
      <c r="D124" s="19">
        <v>25495</v>
      </c>
      <c r="E124" s="19">
        <f>ROUND(D124/INDEX(مناطق!$D$2:$D$23,B124),0)</f>
        <v>8632</v>
      </c>
      <c r="F124" s="20">
        <v>0.79590000000000005</v>
      </c>
      <c r="G124" s="19">
        <f>پارامترها!$B$5*F124/1000000</f>
        <v>774.68926500000009</v>
      </c>
      <c r="H124" s="21">
        <v>203.4</v>
      </c>
      <c r="I124" s="19">
        <f>H124*پارامترها!$B$6</f>
        <v>15255</v>
      </c>
      <c r="J124" s="22">
        <v>75.5</v>
      </c>
      <c r="K124" s="21">
        <f t="shared" si="3"/>
        <v>19.691766349698931</v>
      </c>
      <c r="L124" s="21">
        <f>I124/(پارامترها!$B$5/1000000)</f>
        <v>15.67267683772538</v>
      </c>
      <c r="M124" s="21">
        <f>K124/پارامترها!$B$7</f>
        <v>65.639221165663102</v>
      </c>
      <c r="N124" s="21">
        <v>23.29</v>
      </c>
      <c r="O124" s="21">
        <f>N124*پارامترها!$B$6*پارامترها!$B$16</f>
        <v>52.402499999999996</v>
      </c>
      <c r="P124" s="21">
        <f>O124*12/G124*100</f>
        <v>81.171900581325318</v>
      </c>
      <c r="Q124" s="21">
        <f>O124*12/(پارامترها!$B$5/1000000)*100</f>
        <v>64.604715672676818</v>
      </c>
      <c r="R124" s="3" t="str">
        <f t="shared" si="4"/>
        <v>فشار شدید</v>
      </c>
      <c r="S124" s="21">
        <f>(1-NORMSDIST((LN(O124*12*1000000/پارامترها!$B$8)-پارامترها!$B$15)/پارامترها!$B$14))*100</f>
        <v>10.480677740779976</v>
      </c>
      <c r="T124" s="21">
        <f>(1-NORMSDIST((LN(I124*1000000/5)-پارامترها!$B$15)/پارامترها!$B$14))*100</f>
        <v>5.3644195510598625</v>
      </c>
      <c r="U124" s="21">
        <f>MIN(100,پارامترها!$B$9/1000000/I124*100)</f>
        <v>13.110455588331696</v>
      </c>
      <c r="V124" s="19">
        <f>MAX(0,I124-پارامترها!$B$9/1000000)</f>
        <v>13255</v>
      </c>
      <c r="W124" s="21">
        <f>V124/(G124*پارامترها!$B$7)</f>
        <v>57.033620226212022</v>
      </c>
      <c r="X124" s="21">
        <f>پارامترها!$B$12/1000000/(G124/12)*100</f>
        <v>62.386676398712581</v>
      </c>
      <c r="Y124" s="21">
        <f>ROUND(50*MIN(1,3/K124)+50*MIN(1,30/P124),1)</f>
        <v>26.1</v>
      </c>
      <c r="Z124" s="3">
        <f t="shared" si="5"/>
        <v>306</v>
      </c>
      <c r="AA124" s="19">
        <v>89</v>
      </c>
      <c r="AB124" s="19">
        <v>83</v>
      </c>
      <c r="AC124" s="3" t="s">
        <v>83</v>
      </c>
      <c r="AD124" s="3" t="s">
        <v>84</v>
      </c>
      <c r="AE124" s="3" t="s">
        <v>251</v>
      </c>
      <c r="AF124" s="23" t="s">
        <v>85</v>
      </c>
    </row>
    <row r="125" spans="1:32" ht="16.5" x14ac:dyDescent="0.3">
      <c r="A125" s="3">
        <v>124</v>
      </c>
      <c r="B125" s="3">
        <v>7</v>
      </c>
      <c r="C125" s="3" t="s">
        <v>252</v>
      </c>
      <c r="D125" s="19">
        <v>27721</v>
      </c>
      <c r="E125" s="19">
        <f>ROUND(D125/INDEX(مناطق!$D$2:$D$23,B125),0)</f>
        <v>10296</v>
      </c>
      <c r="F125" s="20">
        <v>1.5262</v>
      </c>
      <c r="G125" s="19">
        <f>پارامترها!$B$5*F125/1000000</f>
        <v>1485.5267700000002</v>
      </c>
      <c r="H125" s="21">
        <v>417.2</v>
      </c>
      <c r="I125" s="19">
        <f>H125*پارامترها!$B$6</f>
        <v>31290</v>
      </c>
      <c r="J125" s="22">
        <v>121.5</v>
      </c>
      <c r="K125" s="21">
        <f t="shared" si="3"/>
        <v>21.063235366670636</v>
      </c>
      <c r="L125" s="21">
        <f>I125/(پارامترها!$B$5/1000000)</f>
        <v>32.146709816612727</v>
      </c>
      <c r="M125" s="21">
        <f>K125/پارامترها!$B$7</f>
        <v>70.210784555568793</v>
      </c>
      <c r="N125" s="21">
        <v>37.25</v>
      </c>
      <c r="O125" s="21">
        <f>N125*پارامترها!$B$6*پارامترها!$B$16</f>
        <v>83.8125</v>
      </c>
      <c r="P125" s="21">
        <f>O125*12/G125*100</f>
        <v>67.703256535727036</v>
      </c>
      <c r="Q125" s="21">
        <f>O125*12/(پارامترها!$B$5/1000000)*100</f>
        <v>103.3287101248266</v>
      </c>
      <c r="R125" s="3" t="str">
        <f t="shared" si="4"/>
        <v>فشار شدید</v>
      </c>
      <c r="S125" s="21">
        <f>(1-NORMSDIST((LN(O125*12*1000000/پارامترها!$B$8)-پارامترها!$B$15)/پارامترها!$B$14))*100</f>
        <v>4.4580625478557012</v>
      </c>
      <c r="T125" s="21">
        <f>(1-NORMSDIST((LN(I125*1000000/5)-پارامترها!$B$15)/پارامترها!$B$14))*100</f>
        <v>1.0966076513153733</v>
      </c>
      <c r="U125" s="21">
        <f>MIN(100,پارامترها!$B$9/1000000/I125*100)</f>
        <v>6.3918184723553848</v>
      </c>
      <c r="V125" s="19">
        <f>MAX(0,I125-پارامترها!$B$9/1000000)</f>
        <v>29290</v>
      </c>
      <c r="W125" s="21">
        <f>V125/(G125*پارامترها!$B$7)</f>
        <v>65.723038658760302</v>
      </c>
      <c r="X125" s="21">
        <f>پارامترها!$B$12/1000000/(G125/12)*100</f>
        <v>32.534108076094448</v>
      </c>
      <c r="Y125" s="21">
        <f>ROUND(50*MIN(1,3/K125)+50*MIN(1,30/P125),1)</f>
        <v>29.3</v>
      </c>
      <c r="Z125" s="3">
        <f t="shared" si="5"/>
        <v>200</v>
      </c>
      <c r="AA125" s="19">
        <v>94</v>
      </c>
      <c r="AB125" s="19">
        <v>89</v>
      </c>
      <c r="AC125" s="3" t="s">
        <v>83</v>
      </c>
      <c r="AD125" s="3" t="s">
        <v>93</v>
      </c>
      <c r="AE125" s="3" t="s">
        <v>253</v>
      </c>
      <c r="AF125" s="23" t="s">
        <v>85</v>
      </c>
    </row>
    <row r="126" spans="1:32" ht="16.5" x14ac:dyDescent="0.3">
      <c r="A126" s="3">
        <v>125</v>
      </c>
      <c r="B126" s="3">
        <v>7</v>
      </c>
      <c r="C126" s="3" t="s">
        <v>254</v>
      </c>
      <c r="D126" s="19">
        <v>19427</v>
      </c>
      <c r="E126" s="19">
        <f>ROUND(D126/INDEX(مناطق!$D$2:$D$23,B126),0)</f>
        <v>7215</v>
      </c>
      <c r="F126" s="20">
        <v>1.2853000000000001</v>
      </c>
      <c r="G126" s="19">
        <f>پارامترها!$B$5*F126/1000000</f>
        <v>1251.0467550000003</v>
      </c>
      <c r="H126" s="21">
        <v>353.4</v>
      </c>
      <c r="I126" s="19">
        <f>H126*پارامترها!$B$6</f>
        <v>26505</v>
      </c>
      <c r="J126" s="22">
        <v>115</v>
      </c>
      <c r="K126" s="21">
        <f t="shared" si="3"/>
        <v>21.186258542351595</v>
      </c>
      <c r="L126" s="21">
        <f>I126/(پارامترها!$B$5/1000000)</f>
        <v>27.230698104484507</v>
      </c>
      <c r="M126" s="21">
        <f>K126/پارامترها!$B$7</f>
        <v>70.620861807838651</v>
      </c>
      <c r="N126" s="21">
        <v>29.14</v>
      </c>
      <c r="O126" s="21">
        <f>N126*پارامترها!$B$6*پارامترها!$B$16</f>
        <v>65.564999999999998</v>
      </c>
      <c r="P126" s="21">
        <f>O126*12/G126*100</f>
        <v>62.889735883612097</v>
      </c>
      <c r="Q126" s="21">
        <f>O126*12/(پارامترها!$B$5/1000000)*100</f>
        <v>80.832177531206639</v>
      </c>
      <c r="R126" s="3" t="str">
        <f t="shared" si="4"/>
        <v>فشار شدید</v>
      </c>
      <c r="S126" s="21">
        <f>(1-NORMSDIST((LN(O126*12*1000000/پارامترها!$B$8)-پارامترها!$B$15)/پارامترها!$B$14))*100</f>
        <v>7.1179150350247689</v>
      </c>
      <c r="T126" s="21">
        <f>(1-NORMSDIST((LN(I126*1000000/5)-پارامترها!$B$15)/پارامترها!$B$14))*100</f>
        <v>1.6413007445246541</v>
      </c>
      <c r="U126" s="21">
        <f>MIN(100,پارامترها!$B$9/1000000/I126*100)</f>
        <v>7.5457460856442182</v>
      </c>
      <c r="V126" s="19">
        <f>MAX(0,I126-پارامترها!$B$9/1000000)</f>
        <v>24505</v>
      </c>
      <c r="W126" s="21">
        <f>V126/(G126*پارامترها!$B$7)</f>
        <v>65.291990892325458</v>
      </c>
      <c r="X126" s="21">
        <f>پارامترها!$B$12/1000000/(G126/12)*100</f>
        <v>38.631880297000961</v>
      </c>
      <c r="Y126" s="21">
        <f>ROUND(50*MIN(1,3/K126)+50*MIN(1,30/P126),1)</f>
        <v>30.9</v>
      </c>
      <c r="Z126" s="3">
        <f t="shared" si="5"/>
        <v>109</v>
      </c>
      <c r="AA126" s="19">
        <v>93</v>
      </c>
      <c r="AB126" s="19">
        <v>75</v>
      </c>
      <c r="AC126" s="3" t="s">
        <v>83</v>
      </c>
      <c r="AD126" s="3" t="s">
        <v>93</v>
      </c>
      <c r="AE126" s="3" t="s">
        <v>255</v>
      </c>
      <c r="AF126" s="23" t="s">
        <v>85</v>
      </c>
    </row>
    <row r="127" spans="1:32" ht="16.5" x14ac:dyDescent="0.3">
      <c r="A127" s="3">
        <v>126</v>
      </c>
      <c r="B127" s="3">
        <v>7</v>
      </c>
      <c r="C127" s="3" t="s">
        <v>256</v>
      </c>
      <c r="D127" s="19">
        <v>21177</v>
      </c>
      <c r="E127" s="19">
        <f>ROUND(D127/INDEX(مناطق!$D$2:$D$23,B127),0)</f>
        <v>7865</v>
      </c>
      <c r="F127" s="20">
        <v>1.0884</v>
      </c>
      <c r="G127" s="19">
        <f>پارامترها!$B$5*F127/1000000</f>
        <v>1059.3941400000001</v>
      </c>
      <c r="H127" s="21">
        <v>300.89999999999998</v>
      </c>
      <c r="I127" s="19">
        <f>H127*پارامترها!$B$6</f>
        <v>22567.5</v>
      </c>
      <c r="J127" s="22">
        <v>91.5</v>
      </c>
      <c r="K127" s="21">
        <f t="shared" si="3"/>
        <v>21.302269993677704</v>
      </c>
      <c r="L127" s="21">
        <f>I127/(پارامترها!$B$5/1000000)</f>
        <v>23.185390661118813</v>
      </c>
      <c r="M127" s="21">
        <f>K127/پارامترها!$B$7</f>
        <v>71.007566645592348</v>
      </c>
      <c r="N127" s="21">
        <v>31.51</v>
      </c>
      <c r="O127" s="21">
        <f>N127*پارامترها!$B$6*پارامترها!$B$16</f>
        <v>70.897499999999994</v>
      </c>
      <c r="P127" s="21">
        <f>O127*12/G127*100</f>
        <v>80.307221635188569</v>
      </c>
      <c r="Q127" s="21">
        <f>O127*12/(پارامترها!$B$5/1000000)*100</f>
        <v>87.406380027739232</v>
      </c>
      <c r="R127" s="3" t="str">
        <f t="shared" si="4"/>
        <v>فشار شدید</v>
      </c>
      <c r="S127" s="21">
        <f>(1-NORMSDIST((LN(O127*12*1000000/پارامترها!$B$8)-پارامترها!$B$15)/پارامترها!$B$14))*100</f>
        <v>6.1634928536798084</v>
      </c>
      <c r="T127" s="21">
        <f>(1-NORMSDIST((LN(I127*1000000/5)-پارامترها!$B$15)/پارامترها!$B$14))*100</f>
        <v>2.3753944701009444</v>
      </c>
      <c r="U127" s="21">
        <f>MIN(100,پارامترها!$B$9/1000000/I127*100)</f>
        <v>8.8623019829400675</v>
      </c>
      <c r="V127" s="19">
        <f>MAX(0,I127-پارامترها!$B$9/1000000)</f>
        <v>20567.5</v>
      </c>
      <c r="W127" s="21">
        <f>V127/(G127*پارامترها!$B$7)</f>
        <v>64.714661658722534</v>
      </c>
      <c r="X127" s="21">
        <f>پارامترها!$B$12/1000000/(G127/12)*100</f>
        <v>45.620687013722296</v>
      </c>
      <c r="Y127" s="21">
        <f>ROUND(50*MIN(1,3/K127)+50*MIN(1,30/P127),1)</f>
        <v>25.7</v>
      </c>
      <c r="Z127" s="3">
        <f t="shared" si="5"/>
        <v>313</v>
      </c>
      <c r="AA127" s="19">
        <v>92</v>
      </c>
      <c r="AB127" s="19">
        <v>86</v>
      </c>
      <c r="AC127" s="3" t="s">
        <v>83</v>
      </c>
      <c r="AD127" s="3" t="s">
        <v>93</v>
      </c>
      <c r="AE127" s="3" t="s">
        <v>257</v>
      </c>
      <c r="AF127" s="23" t="s">
        <v>85</v>
      </c>
    </row>
    <row r="128" spans="1:32" x14ac:dyDescent="0.2">
      <c r="A128" s="3">
        <v>127</v>
      </c>
      <c r="B128" s="3">
        <v>7</v>
      </c>
      <c r="C128" s="3" t="s">
        <v>258</v>
      </c>
      <c r="D128" s="19">
        <v>21519</v>
      </c>
      <c r="E128" s="19">
        <f>ROUND(D128/INDEX(مناطق!$D$2:$D$23,B128),0)</f>
        <v>7992</v>
      </c>
      <c r="F128" s="20">
        <v>1.0347</v>
      </c>
      <c r="G128" s="19">
        <f>پارامترها!$B$5*F128/1000000</f>
        <v>1007.1252450000001</v>
      </c>
      <c r="H128" s="21">
        <v>286.60000000000002</v>
      </c>
      <c r="I128" s="19">
        <f>H128*پارامترها!$B$6</f>
        <v>21495</v>
      </c>
      <c r="J128" s="22">
        <v>100</v>
      </c>
      <c r="K128" s="21">
        <f t="shared" si="3"/>
        <v>21.342926420238825</v>
      </c>
      <c r="L128" s="21">
        <f>I128/(پارامترها!$B$5/1000000)</f>
        <v>22.08352596702111</v>
      </c>
      <c r="M128" s="21">
        <f>K128/پارامترها!$B$7</f>
        <v>71.143088067462756</v>
      </c>
      <c r="N128" s="21">
        <v>27.44</v>
      </c>
      <c r="O128" s="21">
        <f>N128*پارامترها!$B$6*پارامترها!$B$16</f>
        <v>61.739999999999995</v>
      </c>
      <c r="P128" s="21">
        <f>O128*12/G128*100</f>
        <v>73.563839619569833</v>
      </c>
      <c r="Q128" s="21">
        <f>O128*12/(پارامترها!$B$5/1000000)*100</f>
        <v>76.116504854368898</v>
      </c>
      <c r="R128" s="3" t="str">
        <f t="shared" si="4"/>
        <v>فشار شدید</v>
      </c>
      <c r="S128" s="21">
        <f>(1-NORMSDIST((LN(O128*12*1000000/پارامترها!$B$8)-پارامترها!$B$15)/پارامترها!$B$14))*100</f>
        <v>7.9257937893633006</v>
      </c>
      <c r="T128" s="21">
        <f>(1-NORMSDIST((LN(I128*1000000/5)-پارامترها!$B$15)/پارامترها!$B$14))*100</f>
        <v>2.6459259906678856</v>
      </c>
      <c r="U128" s="21">
        <f>MIN(100,پارامترها!$B$9/1000000/I128*100)</f>
        <v>9.3044894161432889</v>
      </c>
      <c r="V128" s="19">
        <f>MAX(0,I128-پارامترها!$B$9/1000000)</f>
        <v>19495</v>
      </c>
      <c r="W128" s="21">
        <f>V128/(G128*پارامترها!$B$7)</f>
        <v>64.523586967908173</v>
      </c>
      <c r="X128" s="21">
        <f>پارامترها!$B$12/1000000/(G128/12)*100</f>
        <v>47.98835966534778</v>
      </c>
      <c r="Y128" s="21">
        <f>ROUND(50*MIN(1,3/K128)+50*MIN(1,30/P128),1)</f>
        <v>27.4</v>
      </c>
      <c r="Z128" s="3">
        <f t="shared" si="5"/>
        <v>278</v>
      </c>
      <c r="AA128" s="19">
        <v>89</v>
      </c>
      <c r="AB128" s="19">
        <v>85</v>
      </c>
      <c r="AC128" s="3" t="s">
        <v>83</v>
      </c>
      <c r="AD128" s="3" t="s">
        <v>84</v>
      </c>
      <c r="AE128" s="3" t="s">
        <v>258</v>
      </c>
      <c r="AF128" s="23" t="s">
        <v>85</v>
      </c>
    </row>
    <row r="129" spans="1:32" ht="16.5" x14ac:dyDescent="0.3">
      <c r="A129" s="3">
        <v>128</v>
      </c>
      <c r="B129" s="3">
        <v>7</v>
      </c>
      <c r="C129" s="3" t="s">
        <v>259</v>
      </c>
      <c r="D129" s="19">
        <v>9558</v>
      </c>
      <c r="E129" s="19">
        <f>ROUND(D129/INDEX(مناطق!$D$2:$D$23,B129),0)</f>
        <v>3550</v>
      </c>
      <c r="F129" s="20">
        <v>0.93279999999999996</v>
      </c>
      <c r="G129" s="19">
        <f>پارامترها!$B$5*F129/1000000</f>
        <v>907.94088000000011</v>
      </c>
      <c r="H129" s="21">
        <v>259.3</v>
      </c>
      <c r="I129" s="19">
        <f>H129*پارامترها!$B$6</f>
        <v>19447.5</v>
      </c>
      <c r="J129" s="22">
        <v>91</v>
      </c>
      <c r="K129" s="21">
        <f t="shared" si="3"/>
        <v>21.419346158309335</v>
      </c>
      <c r="L129" s="21">
        <f>I129/(پارامترها!$B$5/1000000)</f>
        <v>19.97996609647095</v>
      </c>
      <c r="M129" s="21">
        <f>K129/پارامترها!$B$7</f>
        <v>71.397820527697789</v>
      </c>
      <c r="N129" s="21">
        <v>26.99</v>
      </c>
      <c r="O129" s="21">
        <f>N129*پارامترها!$B$6*پارامترها!$B$16</f>
        <v>60.727499999999992</v>
      </c>
      <c r="P129" s="21">
        <f>O129*12/G129*100</f>
        <v>80.261833788120626</v>
      </c>
      <c r="Q129" s="21">
        <f>O129*12/(پارامترها!$B$5/1000000)*100</f>
        <v>74.868238557558925</v>
      </c>
      <c r="R129" s="3" t="str">
        <f t="shared" si="4"/>
        <v>فشار شدید</v>
      </c>
      <c r="S129" s="21">
        <f>(1-NORMSDIST((LN(O129*12*1000000/پارامترها!$B$8)-پارامترها!$B$15)/پارامترها!$B$14))*100</f>
        <v>8.1597670234398016</v>
      </c>
      <c r="T129" s="21">
        <f>(1-NORMSDIST((LN(I129*1000000/5)-پارامترها!$B$15)/پارامترها!$B$14))*100</f>
        <v>3.2833638752802319</v>
      </c>
      <c r="U129" s="21">
        <f>MIN(100,پارامترها!$B$9/1000000/I129*100)</f>
        <v>10.284098213137934</v>
      </c>
      <c r="V129" s="19">
        <f>MAX(0,I129-پارامترها!$B$9/1000000)</f>
        <v>17447.5</v>
      </c>
      <c r="W129" s="21">
        <f>V129/(G129*پارامترها!$B$7)</f>
        <v>64.055198542589395</v>
      </c>
      <c r="X129" s="21">
        <f>پارامترها!$B$12/1000000/(G129/12)*100</f>
        <v>53.230655816611652</v>
      </c>
      <c r="Y129" s="21">
        <f>ROUND(50*MIN(1,3/K129)+50*MIN(1,30/P129),1)</f>
        <v>25.7</v>
      </c>
      <c r="Z129" s="3">
        <f t="shared" si="5"/>
        <v>313</v>
      </c>
      <c r="AA129" s="19">
        <v>63</v>
      </c>
      <c r="AB129" s="19">
        <v>32</v>
      </c>
      <c r="AC129" s="3" t="s">
        <v>83</v>
      </c>
      <c r="AD129" s="3" t="s">
        <v>93</v>
      </c>
      <c r="AE129" s="3" t="s">
        <v>260</v>
      </c>
      <c r="AF129" s="23" t="s">
        <v>85</v>
      </c>
    </row>
    <row r="130" spans="1:32" ht="16.5" x14ac:dyDescent="0.3">
      <c r="A130" s="3">
        <v>129</v>
      </c>
      <c r="B130" s="3">
        <v>7</v>
      </c>
      <c r="C130" s="3" t="s">
        <v>261</v>
      </c>
      <c r="D130" s="19">
        <v>22372</v>
      </c>
      <c r="E130" s="19">
        <f>ROUND(D130/INDEX(مناطق!$D$2:$D$23,B130),0)</f>
        <v>8309</v>
      </c>
      <c r="F130" s="20">
        <v>0.90349999999999997</v>
      </c>
      <c r="G130" s="19">
        <f>پارامترها!$B$5*F130/1000000</f>
        <v>879.42172500000015</v>
      </c>
      <c r="H130" s="21">
        <v>251.4</v>
      </c>
      <c r="I130" s="19">
        <f>H130*پارامترها!$B$6</f>
        <v>18855</v>
      </c>
      <c r="J130" s="22">
        <v>75</v>
      </c>
      <c r="K130" s="21">
        <f t="shared" ref="K130:K193" si="6">I130/G130</f>
        <v>21.44022539356757</v>
      </c>
      <c r="L130" s="21">
        <f>I130/(پارامترها!$B$5/1000000)</f>
        <v>19.371243643088299</v>
      </c>
      <c r="M130" s="21">
        <f>K130/پارامترها!$B$7</f>
        <v>71.467417978558572</v>
      </c>
      <c r="N130" s="21">
        <v>26.31</v>
      </c>
      <c r="O130" s="21">
        <f>N130*پارامترها!$B$6*پارامترها!$B$16</f>
        <v>59.197499999999998</v>
      </c>
      <c r="P130" s="21">
        <f>O130*12/G130*100</f>
        <v>80.776944645073428</v>
      </c>
      <c r="Q130" s="21">
        <f>O130*12/(پارامترها!$B$5/1000000)*100</f>
        <v>72.981969486823857</v>
      </c>
      <c r="R130" s="3" t="str">
        <f t="shared" ref="R130:R193" si="7">IF(P130&lt;=30,"قابل استطاعت",IF(P130&lt;=50,"زیر فشار","فشار شدید"))</f>
        <v>فشار شدید</v>
      </c>
      <c r="S130" s="21">
        <f>(1-NORMSDIST((LN(O130*12*1000000/پارامترها!$B$8)-پارامترها!$B$15)/پارامترها!$B$14))*100</f>
        <v>8.5309990457720701</v>
      </c>
      <c r="T130" s="21">
        <f>(1-NORMSDIST((LN(I130*1000000/5)-پارامترها!$B$15)/پارامترها!$B$14))*100</f>
        <v>3.504284810933822</v>
      </c>
      <c r="U130" s="21">
        <f>MIN(100,پارامترها!$B$9/1000000/I130*100)</f>
        <v>10.607265977194379</v>
      </c>
      <c r="V130" s="19">
        <f>MAX(0,I130-پارامترها!$B$9/1000000)</f>
        <v>16855</v>
      </c>
      <c r="W130" s="21">
        <f>V130/(G130*پارامترها!$B$7)</f>
        <v>63.886678866539633</v>
      </c>
      <c r="X130" s="21">
        <f>پارامترها!$B$12/1000000/(G130/12)*100</f>
        <v>54.956896232136508</v>
      </c>
      <c r="Y130" s="21">
        <f>ROUND(50*MIN(1,3/K130)+50*MIN(1,30/P130),1)</f>
        <v>25.6</v>
      </c>
      <c r="Z130" s="3">
        <f t="shared" ref="Z130:Z193" si="8">RANK(Y130,$Y$2:$Y$350,0)</f>
        <v>322</v>
      </c>
      <c r="AA130" s="19">
        <v>90</v>
      </c>
      <c r="AB130" s="19">
        <v>73</v>
      </c>
      <c r="AC130" s="3" t="s">
        <v>83</v>
      </c>
      <c r="AD130" s="3" t="s">
        <v>93</v>
      </c>
      <c r="AE130" s="3" t="s">
        <v>262</v>
      </c>
      <c r="AF130" s="23" t="s">
        <v>85</v>
      </c>
    </row>
    <row r="131" spans="1:32" x14ac:dyDescent="0.2">
      <c r="A131" s="3">
        <v>130</v>
      </c>
      <c r="B131" s="3">
        <v>7</v>
      </c>
      <c r="C131" s="3" t="s">
        <v>263</v>
      </c>
      <c r="D131" s="19">
        <v>17392</v>
      </c>
      <c r="E131" s="19">
        <f>ROUND(D131/INDEX(مناطق!$D$2:$D$23,B131),0)</f>
        <v>6460</v>
      </c>
      <c r="F131" s="20">
        <v>0.87250000000000005</v>
      </c>
      <c r="G131" s="19">
        <f>پارامترها!$B$5*F131/1000000</f>
        <v>849.24787500000014</v>
      </c>
      <c r="H131" s="21">
        <v>243</v>
      </c>
      <c r="I131" s="19">
        <f>H131*پارامترها!$B$6</f>
        <v>18225</v>
      </c>
      <c r="J131" s="22">
        <v>71</v>
      </c>
      <c r="K131" s="21">
        <f t="shared" si="6"/>
        <v>21.460165561203198</v>
      </c>
      <c r="L131" s="21">
        <f>I131/(پارامترها!$B$5/1000000)</f>
        <v>18.723994452149789</v>
      </c>
      <c r="M131" s="21">
        <f>K131/پارامترها!$B$7</f>
        <v>71.533885204010659</v>
      </c>
      <c r="N131" s="21">
        <v>28.23</v>
      </c>
      <c r="O131" s="21">
        <f>N131*پارامترها!$B$6*پارامترها!$B$16</f>
        <v>63.517499999999998</v>
      </c>
      <c r="P131" s="21">
        <f>O131*12/G131*100</f>
        <v>89.751181302632048</v>
      </c>
      <c r="Q131" s="21">
        <f>O131*12/(پارامترها!$B$5/1000000)*100</f>
        <v>78.307905686546448</v>
      </c>
      <c r="R131" s="3" t="str">
        <f t="shared" si="7"/>
        <v>فشار شدید</v>
      </c>
      <c r="S131" s="21">
        <f>(1-NORMSDIST((LN(O131*12*1000000/پارامترها!$B$8)-پارامترها!$B$15)/پارامترها!$B$14))*100</f>
        <v>7.5360658749616167</v>
      </c>
      <c r="T131" s="21">
        <f>(1-NORMSDIST((LN(I131*1000000/5)-پارامترها!$B$15)/پارامترها!$B$14))*100</f>
        <v>3.7608444574494082</v>
      </c>
      <c r="U131" s="21">
        <f>MIN(100,پارامترها!$B$9/1000000/I131*100)</f>
        <v>10.973936899862826</v>
      </c>
      <c r="V131" s="19">
        <f>MAX(0,I131-پارامترها!$B$9/1000000)</f>
        <v>16225</v>
      </c>
      <c r="W131" s="21">
        <f>V131/(G131*پارامترها!$B$7)</f>
        <v>63.683801779702222</v>
      </c>
      <c r="X131" s="21">
        <f>پارامترها!$B$12/1000000/(G131/12)*100</f>
        <v>56.909519479352824</v>
      </c>
      <c r="Y131" s="21">
        <f>ROUND(50*MIN(1,3/K131)+50*MIN(1,30/P131),1)</f>
        <v>23.7</v>
      </c>
      <c r="Z131" s="3">
        <f t="shared" si="8"/>
        <v>347</v>
      </c>
      <c r="AA131" s="19">
        <v>89</v>
      </c>
      <c r="AB131" s="19">
        <v>83</v>
      </c>
      <c r="AC131" s="3" t="s">
        <v>83</v>
      </c>
      <c r="AD131" s="3" t="s">
        <v>84</v>
      </c>
      <c r="AE131" s="3" t="s">
        <v>263</v>
      </c>
      <c r="AF131" s="23" t="s">
        <v>85</v>
      </c>
    </row>
    <row r="132" spans="1:32" ht="16.5" x14ac:dyDescent="0.3">
      <c r="A132" s="3">
        <v>131</v>
      </c>
      <c r="B132" s="3">
        <v>7</v>
      </c>
      <c r="C132" s="3" t="s">
        <v>264</v>
      </c>
      <c r="D132" s="19">
        <v>42153</v>
      </c>
      <c r="E132" s="19">
        <f>ROUND(D132/INDEX(مناطق!$D$2:$D$23,B132),0)</f>
        <v>15656</v>
      </c>
      <c r="F132" s="20">
        <v>0.86899999999999999</v>
      </c>
      <c r="G132" s="19">
        <f>پارامترها!$B$5*F132/1000000</f>
        <v>845.84115000000008</v>
      </c>
      <c r="H132" s="21">
        <v>242.1</v>
      </c>
      <c r="I132" s="19">
        <f>H132*پارامترها!$B$6</f>
        <v>18157.5</v>
      </c>
      <c r="J132" s="22"/>
      <c r="K132" s="21">
        <f t="shared" si="6"/>
        <v>21.466796691080823</v>
      </c>
      <c r="L132" s="21">
        <f>I132/(پارامترها!$B$5/1000000)</f>
        <v>18.654646324549233</v>
      </c>
      <c r="M132" s="21">
        <f>K132/پارامترها!$B$7</f>
        <v>71.555988970269411</v>
      </c>
      <c r="N132" s="21">
        <v>23.83</v>
      </c>
      <c r="O132" s="21">
        <f>N132*پارامترها!$B$6*پارامترها!$B$16</f>
        <v>53.617499999999993</v>
      </c>
      <c r="P132" s="21">
        <f>O132*12/G132*100</f>
        <v>76.067474371517605</v>
      </c>
      <c r="Q132" s="21">
        <f>O132*12/(پارامترها!$B$5/1000000)*100</f>
        <v>66.102635228848797</v>
      </c>
      <c r="R132" s="3" t="str">
        <f t="shared" si="7"/>
        <v>فشار شدید</v>
      </c>
      <c r="S132" s="21">
        <f>(1-NORMSDIST((LN(O132*12*1000000/پارامترها!$B$8)-پارامترها!$B$15)/پارامترها!$B$14))*100</f>
        <v>10.091446071584231</v>
      </c>
      <c r="T132" s="21">
        <f>(1-NORMSDIST((LN(I132*1000000/5)-پارامترها!$B$15)/پارامترها!$B$14))*100</f>
        <v>3.7897630657430903</v>
      </c>
      <c r="U132" s="21">
        <f>MIN(100,پارامترها!$B$9/1000000/I132*100)</f>
        <v>11.014732204323282</v>
      </c>
      <c r="V132" s="19">
        <f>MAX(0,I132-پارامترها!$B$9/1000000)</f>
        <v>16157.5</v>
      </c>
      <c r="W132" s="21">
        <f>V132/(G132*پارامترها!$B$7)</f>
        <v>63.674288409039129</v>
      </c>
      <c r="X132" s="21">
        <f>پارامترها!$B$12/1000000/(G132/12)*100</f>
        <v>57.138729281628699</v>
      </c>
      <c r="Y132" s="21">
        <f>ROUND(50*MIN(1,3/K132)+50*MIN(1,30/P132),1)</f>
        <v>26.7</v>
      </c>
      <c r="Z132" s="3">
        <f t="shared" si="8"/>
        <v>295</v>
      </c>
      <c r="AA132" s="19">
        <v>0</v>
      </c>
      <c r="AB132" s="19">
        <v>0</v>
      </c>
      <c r="AC132" s="3" t="s">
        <v>103</v>
      </c>
      <c r="AD132" s="3" t="s">
        <v>104</v>
      </c>
      <c r="AE132" s="23" t="s">
        <v>105</v>
      </c>
      <c r="AF132" s="23" t="s">
        <v>106</v>
      </c>
    </row>
    <row r="133" spans="1:32" ht="16.5" x14ac:dyDescent="0.3">
      <c r="A133" s="3">
        <v>132</v>
      </c>
      <c r="B133" s="3">
        <v>7</v>
      </c>
      <c r="C133" s="3" t="s">
        <v>265</v>
      </c>
      <c r="D133" s="19">
        <v>16890</v>
      </c>
      <c r="E133" s="19">
        <f>ROUND(D133/INDEX(مناطق!$D$2:$D$23,B133),0)</f>
        <v>6273</v>
      </c>
      <c r="F133" s="20">
        <v>0.74060000000000004</v>
      </c>
      <c r="G133" s="19">
        <f>پارامترها!$B$5*F133/1000000</f>
        <v>720.86301000000014</v>
      </c>
      <c r="H133" s="21">
        <v>207.4</v>
      </c>
      <c r="I133" s="19">
        <f>H133*پارامترها!$B$6</f>
        <v>15555</v>
      </c>
      <c r="J133" s="22">
        <v>75</v>
      </c>
      <c r="K133" s="21">
        <f t="shared" si="6"/>
        <v>21.578302373983647</v>
      </c>
      <c r="L133" s="21">
        <f>I133/(پارامترها!$B$5/1000000)</f>
        <v>15.98089073817229</v>
      </c>
      <c r="M133" s="21">
        <f>K133/پارامترها!$B$7</f>
        <v>71.927674579945489</v>
      </c>
      <c r="N133" s="21">
        <v>19.53</v>
      </c>
      <c r="O133" s="21">
        <f>N133*پارامترها!$B$6*پارامترها!$B$16</f>
        <v>43.942499999999995</v>
      </c>
      <c r="P133" s="21">
        <f>O133*12/G133*100</f>
        <v>73.149820796048317</v>
      </c>
      <c r="Q133" s="21">
        <f>O133*12/(پارامترها!$B$5/1000000)*100</f>
        <v>54.17475728155339</v>
      </c>
      <c r="R133" s="3" t="str">
        <f t="shared" si="7"/>
        <v>فشار شدید</v>
      </c>
      <c r="S133" s="21">
        <f>(1-NORMSDIST((LN(O133*12*1000000/پارامترها!$B$8)-پارامترها!$B$15)/پارامترها!$B$14))*100</f>
        <v>13.836132539890178</v>
      </c>
      <c r="T133" s="21">
        <f>(1-NORMSDIST((LN(I133*1000000/5)-پارامترها!$B$15)/پارامترها!$B$14))*100</f>
        <v>5.1660334508660259</v>
      </c>
      <c r="U133" s="21">
        <f>MIN(100,پارامترها!$B$9/1000000/I133*100)</f>
        <v>12.857602057216329</v>
      </c>
      <c r="V133" s="19">
        <f>MAX(0,I133-پارامترها!$B$9/1000000)</f>
        <v>13555</v>
      </c>
      <c r="W133" s="21">
        <f>V133/(G133*پارامترها!$B$7)</f>
        <v>62.679500413446554</v>
      </c>
      <c r="X133" s="21">
        <f>پارامترها!$B$12/1000000/(G133/12)*100</f>
        <v>67.04503881411739</v>
      </c>
      <c r="Y133" s="21">
        <f>ROUND(50*MIN(1,3/K133)+50*MIN(1,30/P133),1)</f>
        <v>27.5</v>
      </c>
      <c r="Z133" s="3">
        <f t="shared" si="8"/>
        <v>273</v>
      </c>
      <c r="AA133" s="19">
        <v>88</v>
      </c>
      <c r="AB133" s="19">
        <v>70</v>
      </c>
      <c r="AC133" s="3" t="s">
        <v>83</v>
      </c>
      <c r="AD133" s="3" t="s">
        <v>93</v>
      </c>
      <c r="AE133" s="3" t="s">
        <v>266</v>
      </c>
      <c r="AF133" s="23" t="s">
        <v>85</v>
      </c>
    </row>
    <row r="134" spans="1:32" ht="16.5" x14ac:dyDescent="0.3">
      <c r="A134" s="3">
        <v>133</v>
      </c>
      <c r="B134" s="3">
        <v>7</v>
      </c>
      <c r="C134" s="3" t="s">
        <v>267</v>
      </c>
      <c r="D134" s="19">
        <v>14767</v>
      </c>
      <c r="E134" s="19">
        <f>ROUND(D134/INDEX(مناطق!$D$2:$D$23,B134),0)</f>
        <v>5485</v>
      </c>
      <c r="F134" s="20">
        <v>0.73460000000000003</v>
      </c>
      <c r="G134" s="19">
        <f>پارامترها!$B$5*F134/1000000</f>
        <v>715.02291000000014</v>
      </c>
      <c r="H134" s="21">
        <v>205.8</v>
      </c>
      <c r="I134" s="19">
        <f>H134*پارامترها!$B$6</f>
        <v>15435</v>
      </c>
      <c r="J134" s="22">
        <v>65</v>
      </c>
      <c r="K134" s="21">
        <f t="shared" si="6"/>
        <v>21.586720906607031</v>
      </c>
      <c r="L134" s="21">
        <f>I134/(پارامترها!$B$5/1000000)</f>
        <v>15.857605177993525</v>
      </c>
      <c r="M134" s="21">
        <f>K134/پارامترها!$B$7</f>
        <v>71.955736355356777</v>
      </c>
      <c r="N134" s="21">
        <v>22.47</v>
      </c>
      <c r="O134" s="21">
        <f>N134*پارامترها!$B$6*پارامترها!$B$16</f>
        <v>50.557499999999997</v>
      </c>
      <c r="P134" s="21">
        <f>O134*12/G134*100</f>
        <v>84.849029522704356</v>
      </c>
      <c r="Q134" s="21">
        <f>O134*12/(پارامترها!$B$5/1000000)*100</f>
        <v>62.330097087378618</v>
      </c>
      <c r="R134" s="3" t="str">
        <f t="shared" si="7"/>
        <v>فشار شدید</v>
      </c>
      <c r="S134" s="21">
        <f>(1-NORMSDIST((LN(O134*12*1000000/پارامترها!$B$8)-پارامترها!$B$15)/پارامترها!$B$14))*100</f>
        <v>11.110939842469991</v>
      </c>
      <c r="T134" s="21">
        <f>(1-NORMSDIST((LN(I134*1000000/5)-پارامترها!$B$15)/پارامترها!$B$14))*100</f>
        <v>5.2442148410560607</v>
      </c>
      <c r="U134" s="21">
        <f>MIN(100,پارامترها!$B$9/1000000/I134*100)</f>
        <v>12.957563977972143</v>
      </c>
      <c r="V134" s="19">
        <f>MAX(0,I134-پارامترها!$B$9/1000000)</f>
        <v>13435</v>
      </c>
      <c r="W134" s="21">
        <f>V134/(G134*پارامترها!$B$7)</f>
        <v>62.632025781290452</v>
      </c>
      <c r="X134" s="21">
        <f>پارامترها!$B$12/1000000/(G134/12)*100</f>
        <v>67.592643269446413</v>
      </c>
      <c r="Y134" s="21">
        <f>ROUND(50*MIN(1,3/K134)+50*MIN(1,30/P134),1)</f>
        <v>24.6</v>
      </c>
      <c r="Z134" s="3">
        <f t="shared" si="8"/>
        <v>340</v>
      </c>
      <c r="AA134" s="19">
        <v>88</v>
      </c>
      <c r="AB134" s="19">
        <v>81</v>
      </c>
      <c r="AC134" s="3" t="s">
        <v>83</v>
      </c>
      <c r="AD134" s="3" t="s">
        <v>93</v>
      </c>
      <c r="AE134" s="3" t="s">
        <v>268</v>
      </c>
      <c r="AF134" s="23" t="s">
        <v>85</v>
      </c>
    </row>
    <row r="135" spans="1:32" ht="16.5" x14ac:dyDescent="0.3">
      <c r="A135" s="3">
        <v>134</v>
      </c>
      <c r="B135" s="3">
        <v>7</v>
      </c>
      <c r="C135" s="3" t="s">
        <v>269</v>
      </c>
      <c r="D135" s="19">
        <v>21390</v>
      </c>
      <c r="E135" s="19">
        <f>ROUND(D135/INDEX(مناطق!$D$2:$D$23,B135),0)</f>
        <v>7944</v>
      </c>
      <c r="F135" s="20">
        <v>0.6915</v>
      </c>
      <c r="G135" s="19">
        <f>پارامترها!$B$5*F135/1000000</f>
        <v>673.07152500000007</v>
      </c>
      <c r="H135" s="21">
        <v>194.1</v>
      </c>
      <c r="I135" s="19">
        <f>H135*پارامترها!$B$6</f>
        <v>14557.5</v>
      </c>
      <c r="J135" s="22">
        <v>65</v>
      </c>
      <c r="K135" s="21">
        <f t="shared" si="6"/>
        <v>21.628459174528292</v>
      </c>
      <c r="L135" s="21">
        <f>I135/(پارامترها!$B$5/1000000)</f>
        <v>14.956079519186313</v>
      </c>
      <c r="M135" s="21">
        <f>K135/پارامترها!$B$7</f>
        <v>72.094863915094308</v>
      </c>
      <c r="N135" s="21">
        <v>20.79</v>
      </c>
      <c r="O135" s="21">
        <f>N135*پارامترها!$B$6*پارامترها!$B$16</f>
        <v>46.777499999999996</v>
      </c>
      <c r="P135" s="21">
        <f>O135*12/G135*100</f>
        <v>83.398268854116182</v>
      </c>
      <c r="Q135" s="21">
        <f>O135*12/(پارامترها!$B$5/1000000)*100</f>
        <v>57.669902912621339</v>
      </c>
      <c r="R135" s="3" t="str">
        <f t="shared" si="7"/>
        <v>فشار شدید</v>
      </c>
      <c r="S135" s="21">
        <f>(1-NORMSDIST((LN(O135*12*1000000/پارامترها!$B$8)-پارامترها!$B$15)/پارامترها!$B$14))*100</f>
        <v>12.569477645265327</v>
      </c>
      <c r="T135" s="21">
        <f>(1-NORMSDIST((LN(I135*1000000/5)-پارامترها!$B$15)/پارامترها!$B$14))*100</f>
        <v>5.8658624690876575</v>
      </c>
      <c r="U135" s="21">
        <f>MIN(100,پارامترها!$B$9/1000000/I135*100)</f>
        <v>13.738622703074016</v>
      </c>
      <c r="V135" s="19">
        <f>MAX(0,I135-پارامترها!$B$9/1000000)</f>
        <v>12557.5</v>
      </c>
      <c r="W135" s="21">
        <f>V135/(G135*پارامترها!$B$7)</f>
        <v>62.190022573504848</v>
      </c>
      <c r="X135" s="21">
        <f>پارامترها!$B$12/1000000/(G135/12)*100</f>
        <v>71.805575915741642</v>
      </c>
      <c r="Y135" s="21">
        <f>ROUND(50*MIN(1,3/K135)+50*MIN(1,30/P135),1)</f>
        <v>24.9</v>
      </c>
      <c r="Z135" s="3">
        <f t="shared" si="8"/>
        <v>338</v>
      </c>
      <c r="AA135" s="19">
        <v>165</v>
      </c>
      <c r="AB135" s="19">
        <v>176</v>
      </c>
      <c r="AC135" s="3" t="s">
        <v>83</v>
      </c>
      <c r="AD135" s="3" t="s">
        <v>93</v>
      </c>
      <c r="AE135" s="3" t="s">
        <v>270</v>
      </c>
      <c r="AF135" s="23" t="s">
        <v>85</v>
      </c>
    </row>
    <row r="136" spans="1:32" x14ac:dyDescent="0.2">
      <c r="A136" s="3">
        <v>135</v>
      </c>
      <c r="B136" s="3">
        <v>7</v>
      </c>
      <c r="C136" s="3" t="s">
        <v>271</v>
      </c>
      <c r="D136" s="19">
        <v>31341</v>
      </c>
      <c r="E136" s="19">
        <f>ROUND(D136/INDEX(مناطق!$D$2:$D$23,B136),0)</f>
        <v>11640</v>
      </c>
      <c r="F136" s="20">
        <v>0.64890000000000003</v>
      </c>
      <c r="G136" s="19">
        <f>پارامترها!$B$5*F136/1000000</f>
        <v>631.6068150000001</v>
      </c>
      <c r="H136" s="21">
        <v>182.6</v>
      </c>
      <c r="I136" s="19">
        <f>H136*پارامترها!$B$6</f>
        <v>13695</v>
      </c>
      <c r="J136" s="22">
        <v>56</v>
      </c>
      <c r="K136" s="21">
        <f t="shared" si="6"/>
        <v>21.68279327385028</v>
      </c>
      <c r="L136" s="21">
        <f>I136/(پارامترها!$B$5/1000000)</f>
        <v>14.069964555401446</v>
      </c>
      <c r="M136" s="21">
        <f>K136/پارامترها!$B$7</f>
        <v>72.275977579500932</v>
      </c>
      <c r="N136" s="21">
        <v>19.32</v>
      </c>
      <c r="O136" s="21">
        <f>N136*پارامترها!$B$6*پارامترها!$B$16</f>
        <v>43.47</v>
      </c>
      <c r="P136" s="21">
        <f>O136*12/G136*100</f>
        <v>82.5893558479099</v>
      </c>
      <c r="Q136" s="21">
        <f>O136*12/(پارامترها!$B$5/1000000)*100</f>
        <v>53.592233009708735</v>
      </c>
      <c r="R136" s="3" t="str">
        <f t="shared" si="7"/>
        <v>فشار شدید</v>
      </c>
      <c r="S136" s="21">
        <f>(1-NORMSDIST((LN(O136*12*1000000/پارامترها!$B$8)-پارامترها!$B$15)/پارامترها!$B$14))*100</f>
        <v>14.063688759018888</v>
      </c>
      <c r="T136" s="21">
        <f>(1-NORMSDIST((LN(I136*1000000/5)-پارامترها!$B$15)/پارامترها!$B$14))*100</f>
        <v>6.5747318962670942</v>
      </c>
      <c r="U136" s="21">
        <f>MIN(100,پارامترها!$B$9/1000000/I136*100)</f>
        <v>14.603870025556773</v>
      </c>
      <c r="V136" s="19">
        <f>MAX(0,I136-پارامترها!$B$9/1000000)</f>
        <v>11695</v>
      </c>
      <c r="W136" s="21">
        <f>V136/(G136*پارامترها!$B$7)</f>
        <v>61.720887754090064</v>
      </c>
      <c r="X136" s="21">
        <f>پارامترها!$B$12/1000000/(G136/12)*100</f>
        <v>76.519580437255883</v>
      </c>
      <c r="Y136" s="21">
        <f>ROUND(50*MIN(1,3/K136)+50*MIN(1,30/P136),1)</f>
        <v>25.1</v>
      </c>
      <c r="Z136" s="3">
        <f t="shared" si="8"/>
        <v>331</v>
      </c>
      <c r="AA136" s="19">
        <v>82</v>
      </c>
      <c r="AB136" s="19">
        <v>88</v>
      </c>
      <c r="AC136" s="3" t="s">
        <v>83</v>
      </c>
      <c r="AD136" s="3" t="s">
        <v>84</v>
      </c>
      <c r="AE136" s="3" t="s">
        <v>271</v>
      </c>
      <c r="AF136" s="23" t="s">
        <v>85</v>
      </c>
    </row>
    <row r="137" spans="1:32" x14ac:dyDescent="0.2">
      <c r="A137" s="3">
        <v>136</v>
      </c>
      <c r="B137" s="3">
        <v>7</v>
      </c>
      <c r="C137" s="3" t="s">
        <v>272</v>
      </c>
      <c r="D137" s="19">
        <v>12264</v>
      </c>
      <c r="E137" s="19">
        <f>ROUND(D137/INDEX(مناطق!$D$2:$D$23,B137),0)</f>
        <v>4555</v>
      </c>
      <c r="F137" s="20">
        <v>0.64419999999999999</v>
      </c>
      <c r="G137" s="19">
        <f>پارامترها!$B$5*F137/1000000</f>
        <v>627.03207000000009</v>
      </c>
      <c r="H137" s="21">
        <v>181.3</v>
      </c>
      <c r="I137" s="19">
        <f>H137*پارامترها!$B$6</f>
        <v>13597.5</v>
      </c>
      <c r="J137" s="22">
        <v>67.5</v>
      </c>
      <c r="K137" s="21">
        <f t="shared" si="6"/>
        <v>21.685493694126361</v>
      </c>
      <c r="L137" s="21">
        <f>I137/(پارامترها!$B$5/1000000)</f>
        <v>13.969795037756201</v>
      </c>
      <c r="M137" s="21">
        <f>K137/پارامترها!$B$7</f>
        <v>72.284978980421201</v>
      </c>
      <c r="N137" s="21">
        <v>18.420000000000002</v>
      </c>
      <c r="O137" s="21">
        <f>N137*پارامترها!$B$6*پارامترها!$B$16</f>
        <v>41.445000000000007</v>
      </c>
      <c r="P137" s="21">
        <f>O137*12/G137*100</f>
        <v>79.316517255648506</v>
      </c>
      <c r="Q137" s="21">
        <f>O137*12/(پارامترها!$B$5/1000000)*100</f>
        <v>51.095700416088761</v>
      </c>
      <c r="R137" s="3" t="str">
        <f t="shared" si="7"/>
        <v>فشار شدید</v>
      </c>
      <c r="S137" s="21">
        <f>(1-NORMSDIST((LN(O137*12*1000000/پارامترها!$B$8)-پارامترها!$B$15)/پارامترها!$B$14))*100</f>
        <v>15.098012347973388</v>
      </c>
      <c r="T137" s="21">
        <f>(1-NORMSDIST((LN(I137*1000000/5)-پارامترها!$B$15)/پارامترها!$B$14))*100</f>
        <v>6.6618224750011219</v>
      </c>
      <c r="U137" s="21">
        <f>MIN(100,پارامترها!$B$9/1000000/I137*100)</f>
        <v>14.708586137157564</v>
      </c>
      <c r="V137" s="19">
        <f>MAX(0,I137-پارامترها!$B$9/1000000)</f>
        <v>11597.5</v>
      </c>
      <c r="W137" s="21">
        <f>V137/(G137*پارامترها!$B$7)</f>
        <v>61.652880582859702</v>
      </c>
      <c r="X137" s="21">
        <f>پارامترها!$B$12/1000000/(G137/12)*100</f>
        <v>77.077857413435794</v>
      </c>
      <c r="Y137" s="21">
        <f>ROUND(50*MIN(1,3/K137)+50*MIN(1,30/P137),1)</f>
        <v>25.8</v>
      </c>
      <c r="Z137" s="3">
        <f t="shared" si="8"/>
        <v>312</v>
      </c>
      <c r="AA137" s="19">
        <v>86</v>
      </c>
      <c r="AB137" s="19">
        <v>62</v>
      </c>
      <c r="AC137" s="3" t="s">
        <v>83</v>
      </c>
      <c r="AD137" s="3" t="s">
        <v>84</v>
      </c>
      <c r="AE137" s="3" t="s">
        <v>273</v>
      </c>
      <c r="AF137" s="23" t="s">
        <v>85</v>
      </c>
    </row>
    <row r="138" spans="1:32" x14ac:dyDescent="0.2">
      <c r="A138" s="3">
        <v>137</v>
      </c>
      <c r="B138" s="3">
        <v>7</v>
      </c>
      <c r="C138" s="3" t="s">
        <v>274</v>
      </c>
      <c r="D138" s="19">
        <v>34031</v>
      </c>
      <c r="E138" s="19">
        <f>ROUND(D138/INDEX(مناطق!$D$2:$D$23,B138),0)</f>
        <v>12639</v>
      </c>
      <c r="F138" s="20">
        <v>0.63580000000000003</v>
      </c>
      <c r="G138" s="19">
        <f>پارامترها!$B$5*F138/1000000</f>
        <v>618.85593000000017</v>
      </c>
      <c r="H138" s="21">
        <v>179</v>
      </c>
      <c r="I138" s="19">
        <f>H138*پارامترها!$B$6</f>
        <v>13425</v>
      </c>
      <c r="J138" s="22">
        <v>55</v>
      </c>
      <c r="K138" s="21">
        <f t="shared" si="6"/>
        <v>21.693255811574751</v>
      </c>
      <c r="L138" s="21">
        <f>I138/(پارامترها!$B$5/1000000)</f>
        <v>13.792572044999227</v>
      </c>
      <c r="M138" s="21">
        <f>K138/پارامترها!$B$7</f>
        <v>72.310852705249175</v>
      </c>
      <c r="N138" s="21">
        <v>19.05</v>
      </c>
      <c r="O138" s="21">
        <f>N138*پارامترها!$B$6*پارامترها!$B$16</f>
        <v>42.862499999999997</v>
      </c>
      <c r="P138" s="21">
        <f>O138*12/G138*100</f>
        <v>83.11304377417855</v>
      </c>
      <c r="Q138" s="21">
        <f>O138*12/(پارامترها!$B$5/1000000)*100</f>
        <v>52.843273231622732</v>
      </c>
      <c r="R138" s="3" t="str">
        <f t="shared" si="7"/>
        <v>فشار شدید</v>
      </c>
      <c r="S138" s="21">
        <f>(1-NORMSDIST((LN(O138*12*1000000/پارامترها!$B$8)-پارامترها!$B$15)/پارامترها!$B$14))*100</f>
        <v>14.363709317140859</v>
      </c>
      <c r="T138" s="21">
        <f>(1-NORMSDIST((LN(I138*1000000/5)-پارامترها!$B$15)/پارامترها!$B$14))*100</f>
        <v>6.8196667525511012</v>
      </c>
      <c r="U138" s="21">
        <f>MIN(100,پارامترها!$B$9/1000000/I138*100)</f>
        <v>14.8975791433892</v>
      </c>
      <c r="V138" s="19">
        <f>MAX(0,I138-پارامترها!$B$9/1000000)</f>
        <v>11425</v>
      </c>
      <c r="W138" s="21">
        <f>V138/(G138*پارامترها!$B$7)</f>
        <v>61.53828619422508</v>
      </c>
      <c r="X138" s="21">
        <f>پارامترها!$B$12/1000000/(G138/12)*100</f>
        <v>78.096187080426759</v>
      </c>
      <c r="Y138" s="21">
        <f>ROUND(50*MIN(1,3/K138)+50*MIN(1,30/P138),1)</f>
        <v>25</v>
      </c>
      <c r="Z138" s="3">
        <f t="shared" si="8"/>
        <v>334</v>
      </c>
      <c r="AA138" s="19">
        <v>90</v>
      </c>
      <c r="AB138" s="19">
        <v>85</v>
      </c>
      <c r="AC138" s="3" t="s">
        <v>83</v>
      </c>
      <c r="AD138" s="3" t="s">
        <v>84</v>
      </c>
      <c r="AE138" s="3" t="s">
        <v>274</v>
      </c>
      <c r="AF138" s="23" t="s">
        <v>85</v>
      </c>
    </row>
    <row r="139" spans="1:32" x14ac:dyDescent="0.2">
      <c r="A139" s="3">
        <v>138</v>
      </c>
      <c r="B139" s="3">
        <v>8</v>
      </c>
      <c r="C139" s="3" t="s">
        <v>275</v>
      </c>
      <c r="D139" s="19">
        <v>32960</v>
      </c>
      <c r="E139" s="19">
        <f>ROUND(D139/INDEX(مناطق!$D$2:$D$23,B139),0)</f>
        <v>11518</v>
      </c>
      <c r="F139" s="20">
        <v>1.1594</v>
      </c>
      <c r="G139" s="19">
        <f>پارامترها!$B$5*F139/1000000</f>
        <v>1128.5019900000002</v>
      </c>
      <c r="H139" s="21">
        <v>301.60000000000002</v>
      </c>
      <c r="I139" s="19">
        <f>H139*پارامترها!$B$6</f>
        <v>22620</v>
      </c>
      <c r="J139" s="22">
        <v>84</v>
      </c>
      <c r="K139" s="21">
        <f t="shared" si="6"/>
        <v>20.044271255560652</v>
      </c>
      <c r="L139" s="21">
        <f>I139/(پارامترها!$B$5/1000000)</f>
        <v>23.239328093697022</v>
      </c>
      <c r="M139" s="21">
        <f>K139/پارامترها!$B$7</f>
        <v>66.814237518535506</v>
      </c>
      <c r="N139" s="21">
        <v>25.2</v>
      </c>
      <c r="O139" s="21">
        <f>N139*پارامترها!$B$6*پارامترها!$B$16</f>
        <v>56.699999999999996</v>
      </c>
      <c r="P139" s="21">
        <f>O139*12/G139*100</f>
        <v>60.292317251474216</v>
      </c>
      <c r="Q139" s="21">
        <f>O139*12/(پارامترها!$B$5/1000000)*100</f>
        <v>69.902912621359221</v>
      </c>
      <c r="R139" s="3" t="str">
        <f t="shared" si="7"/>
        <v>فشار شدید</v>
      </c>
      <c r="S139" s="21">
        <f>(1-NORMSDIST((LN(O139*12*1000000/پارامترها!$B$8)-پارامترها!$B$15)/پارامترها!$B$14))*100</f>
        <v>9.1866177452154076</v>
      </c>
      <c r="T139" s="21">
        <f>(1-NORMSDIST((LN(I139*1000000/5)-پارامترها!$B$15)/پارامترها!$B$14))*100</f>
        <v>2.3630878179746184</v>
      </c>
      <c r="U139" s="21">
        <f>MIN(100,پارامترها!$B$9/1000000/I139*100)</f>
        <v>8.8417329796640143</v>
      </c>
      <c r="V139" s="19">
        <f>MAX(0,I139-پارامترها!$B$9/1000000)</f>
        <v>20620</v>
      </c>
      <c r="W139" s="21">
        <f>V139/(G139*پارامترها!$B$7)</f>
        <v>60.906701044748111</v>
      </c>
      <c r="X139" s="21">
        <f>پارامترها!$B$12/1000000/(G139/12)*100</f>
        <v>42.826941302169516</v>
      </c>
      <c r="Y139" s="21">
        <f>ROUND(50*MIN(1,3/K139)+50*MIN(1,30/P139),1)</f>
        <v>32.4</v>
      </c>
      <c r="Z139" s="3">
        <f t="shared" si="8"/>
        <v>47</v>
      </c>
      <c r="AA139" s="19">
        <v>92</v>
      </c>
      <c r="AB139" s="19">
        <v>90</v>
      </c>
      <c r="AC139" s="3" t="s">
        <v>83</v>
      </c>
      <c r="AD139" s="3" t="s">
        <v>84</v>
      </c>
      <c r="AE139" s="3" t="s">
        <v>275</v>
      </c>
      <c r="AF139" s="23" t="s">
        <v>85</v>
      </c>
    </row>
    <row r="140" spans="1:32" x14ac:dyDescent="0.2">
      <c r="A140" s="3">
        <v>139</v>
      </c>
      <c r="B140" s="3">
        <v>8</v>
      </c>
      <c r="C140" s="3" t="s">
        <v>276</v>
      </c>
      <c r="D140" s="19">
        <v>36865</v>
      </c>
      <c r="E140" s="19">
        <f>ROUND(D140/INDEX(مناطق!$D$2:$D$23,B140),0)</f>
        <v>12883</v>
      </c>
      <c r="F140" s="20">
        <v>1.1167</v>
      </c>
      <c r="G140" s="19">
        <f>پارامترها!$B$5*F140/1000000</f>
        <v>1086.9399450000003</v>
      </c>
      <c r="H140" s="21">
        <v>290.89999999999998</v>
      </c>
      <c r="I140" s="19">
        <f>H140*پارامترها!$B$6</f>
        <v>21817.5</v>
      </c>
      <c r="J140" s="22">
        <v>72</v>
      </c>
      <c r="K140" s="21">
        <f t="shared" si="6"/>
        <v>20.07240611623671</v>
      </c>
      <c r="L140" s="21">
        <f>I140/(پارامترها!$B$5/1000000)</f>
        <v>22.414855910001538</v>
      </c>
      <c r="M140" s="21">
        <f>K140/پارامترها!$B$7</f>
        <v>66.908020387455707</v>
      </c>
      <c r="N140" s="21">
        <v>25.05</v>
      </c>
      <c r="O140" s="21">
        <f>N140*پارامترها!$B$6*پارامترها!$B$16</f>
        <v>56.362499999999997</v>
      </c>
      <c r="P140" s="21">
        <f>O140*12/G140*100</f>
        <v>62.225148970856871</v>
      </c>
      <c r="Q140" s="21">
        <f>O140*12/(پارامترها!$B$5/1000000)*100</f>
        <v>69.486823855755873</v>
      </c>
      <c r="R140" s="3" t="str">
        <f t="shared" si="7"/>
        <v>فشار شدید</v>
      </c>
      <c r="S140" s="21">
        <f>(1-NORMSDIST((LN(O140*12*1000000/پارامترها!$B$8)-پارامترها!$B$15)/پارامترها!$B$14))*100</f>
        <v>9.2802883680867314</v>
      </c>
      <c r="T140" s="21">
        <f>(1-NORMSDIST((LN(I140*1000000/5)-پارامترها!$B$15)/پارامترها!$B$14))*100</f>
        <v>2.5605764823658839</v>
      </c>
      <c r="U140" s="21">
        <f>MIN(100,پارامترها!$B$9/1000000/I140*100)</f>
        <v>9.1669531339521022</v>
      </c>
      <c r="V140" s="19">
        <f>MAX(0,I140-پارامترها!$B$9/1000000)</f>
        <v>19817.5</v>
      </c>
      <c r="W140" s="21">
        <f>V140/(G140*پارامترها!$B$7)</f>
        <v>60.774593515682518</v>
      </c>
      <c r="X140" s="21">
        <f>پارامترها!$B$12/1000000/(G140/12)*100</f>
        <v>44.464543517269931</v>
      </c>
      <c r="Y140" s="21">
        <f>ROUND(50*MIN(1,3/K140)+50*MIN(1,30/P140),1)</f>
        <v>31.6</v>
      </c>
      <c r="Z140" s="3">
        <f t="shared" si="8"/>
        <v>81</v>
      </c>
      <c r="AA140" s="19">
        <v>91</v>
      </c>
      <c r="AB140" s="19">
        <v>89</v>
      </c>
      <c r="AC140" s="3" t="s">
        <v>83</v>
      </c>
      <c r="AD140" s="3" t="s">
        <v>84</v>
      </c>
      <c r="AE140" s="3" t="s">
        <v>276</v>
      </c>
      <c r="AF140" s="23" t="s">
        <v>85</v>
      </c>
    </row>
    <row r="141" spans="1:32" x14ac:dyDescent="0.2">
      <c r="A141" s="3">
        <v>140</v>
      </c>
      <c r="B141" s="3">
        <v>8</v>
      </c>
      <c r="C141" s="3" t="s">
        <v>179</v>
      </c>
      <c r="D141" s="19">
        <v>30372</v>
      </c>
      <c r="E141" s="19">
        <f>ROUND(D141/INDEX(مناطق!$D$2:$D$23,B141),0)</f>
        <v>10614</v>
      </c>
      <c r="F141" s="20">
        <v>1.0353000000000001</v>
      </c>
      <c r="G141" s="19">
        <f>پارامترها!$B$5*F141/1000000</f>
        <v>1007.7092550000002</v>
      </c>
      <c r="H141" s="21">
        <v>270.3</v>
      </c>
      <c r="I141" s="19">
        <f>H141*پارامترها!$B$6</f>
        <v>20272.5</v>
      </c>
      <c r="J141" s="22">
        <v>81</v>
      </c>
      <c r="K141" s="21">
        <f t="shared" si="6"/>
        <v>20.117409758234281</v>
      </c>
      <c r="L141" s="21">
        <f>I141/(پارامترها!$B$5/1000000)</f>
        <v>20.82755432269995</v>
      </c>
      <c r="M141" s="21">
        <f>K141/پارامترها!$B$7</f>
        <v>67.058032527447608</v>
      </c>
      <c r="N141" s="21">
        <v>23.36</v>
      </c>
      <c r="O141" s="21">
        <f>N141*پارامترها!$B$6*پارامترها!$B$16</f>
        <v>52.559999999999995</v>
      </c>
      <c r="P141" s="21">
        <f>O141*12/G141*100</f>
        <v>62.589481725063621</v>
      </c>
      <c r="Q141" s="21">
        <f>O141*12/(پارامترها!$B$5/1000000)*100</f>
        <v>64.798890429958377</v>
      </c>
      <c r="R141" s="3" t="str">
        <f t="shared" si="7"/>
        <v>فشار شدید</v>
      </c>
      <c r="S141" s="21">
        <f>(1-NORMSDIST((LN(O141*12*1000000/پارامترها!$B$8)-پارامترها!$B$15)/پارامترها!$B$14))*100</f>
        <v>10.429105929382921</v>
      </c>
      <c r="T141" s="21">
        <f>(1-NORMSDIST((LN(I141*1000000/5)-پارامترها!$B$15)/پارامترها!$B$14))*100</f>
        <v>3.0048949850329576</v>
      </c>
      <c r="U141" s="21">
        <f>MIN(100,پارامترها!$B$9/1000000/I141*100)</f>
        <v>9.8655814527068681</v>
      </c>
      <c r="V141" s="19">
        <f>MAX(0,I141-پارامترها!$B$9/1000000)</f>
        <v>18272.5</v>
      </c>
      <c r="W141" s="21">
        <f>V141/(G141*پارامترها!$B$7)</f>
        <v>60.442367707869593</v>
      </c>
      <c r="X141" s="21">
        <f>پارامترها!$B$12/1000000/(G141/12)*100</f>
        <v>47.960548387651244</v>
      </c>
      <c r="Y141" s="21">
        <f>ROUND(50*MIN(1,3/K141)+50*MIN(1,30/P141),1)</f>
        <v>31.4</v>
      </c>
      <c r="Z141" s="3">
        <f t="shared" si="8"/>
        <v>88</v>
      </c>
      <c r="AA141" s="19">
        <v>92</v>
      </c>
      <c r="AB141" s="19">
        <v>81</v>
      </c>
      <c r="AC141" s="3" t="s">
        <v>83</v>
      </c>
      <c r="AD141" s="3" t="s">
        <v>84</v>
      </c>
      <c r="AE141" s="3" t="s">
        <v>179</v>
      </c>
      <c r="AF141" s="23" t="s">
        <v>85</v>
      </c>
    </row>
    <row r="142" spans="1:32" x14ac:dyDescent="0.2">
      <c r="A142" s="3">
        <v>141</v>
      </c>
      <c r="B142" s="3">
        <v>8</v>
      </c>
      <c r="C142" s="3" t="s">
        <v>277</v>
      </c>
      <c r="D142" s="19">
        <v>40134</v>
      </c>
      <c r="E142" s="19">
        <f>ROUND(D142/INDEX(مناطق!$D$2:$D$23,B142),0)</f>
        <v>14025</v>
      </c>
      <c r="F142" s="20">
        <v>1.0001</v>
      </c>
      <c r="G142" s="19">
        <f>پارامترها!$B$5*F142/1000000</f>
        <v>973.44733500000007</v>
      </c>
      <c r="H142" s="21">
        <v>261.5</v>
      </c>
      <c r="I142" s="19">
        <f>H142*پارامترها!$B$6</f>
        <v>19612.5</v>
      </c>
      <c r="J142" s="22">
        <v>70</v>
      </c>
      <c r="K142" s="21">
        <f t="shared" si="6"/>
        <v>20.147468994817267</v>
      </c>
      <c r="L142" s="21">
        <f>I142/(پارامترها!$B$5/1000000)</f>
        <v>20.14948374171675</v>
      </c>
      <c r="M142" s="21">
        <f>K142/پارامترها!$B$7</f>
        <v>67.158229982724222</v>
      </c>
      <c r="N142" s="21">
        <v>25.44</v>
      </c>
      <c r="O142" s="21">
        <f>N142*پارامترها!$B$6*پارامترها!$B$16</f>
        <v>57.239999999999995</v>
      </c>
      <c r="P142" s="21">
        <f>O142*12/G142*100</f>
        <v>70.561598486475887</v>
      </c>
      <c r="Q142" s="21">
        <f>O142*12/(پارامترها!$B$5/1000000)*100</f>
        <v>70.568654646324518</v>
      </c>
      <c r="R142" s="3" t="str">
        <f t="shared" si="7"/>
        <v>فشار شدید</v>
      </c>
      <c r="S142" s="21">
        <f>(1-NORMSDIST((LN(O142*12*1000000/پارامترها!$B$8)-پارامترها!$B$15)/پارامترها!$B$14))*100</f>
        <v>9.039339673782532</v>
      </c>
      <c r="T142" s="21">
        <f>(1-NORMSDIST((LN(I142*1000000/5)-پارامترها!$B$15)/پارامترها!$B$14))*100</f>
        <v>3.2250757955363918</v>
      </c>
      <c r="U142" s="21">
        <f>MIN(100,پارامترها!$B$9/1000000/I142*100)</f>
        <v>10.197578075207138</v>
      </c>
      <c r="V142" s="19">
        <f>MAX(0,I142-پارامترها!$B$9/1000000)</f>
        <v>17612.5</v>
      </c>
      <c r="W142" s="21">
        <f>V142/(G142*پارامترها!$B$7)</f>
        <v>60.309717046308762</v>
      </c>
      <c r="X142" s="21">
        <f>پارامترها!$B$12/1000000/(G142/12)*100</f>
        <v>49.648590886646673</v>
      </c>
      <c r="Y142" s="21">
        <f>ROUND(50*MIN(1,3/K142)+50*MIN(1,30/P142),1)</f>
        <v>28.7</v>
      </c>
      <c r="Z142" s="3">
        <f t="shared" si="8"/>
        <v>234</v>
      </c>
      <c r="AA142" s="19">
        <v>89</v>
      </c>
      <c r="AB142" s="19">
        <v>85</v>
      </c>
      <c r="AC142" s="3" t="s">
        <v>83</v>
      </c>
      <c r="AD142" s="3" t="s">
        <v>84</v>
      </c>
      <c r="AE142" s="3" t="s">
        <v>277</v>
      </c>
      <c r="AF142" s="23" t="s">
        <v>85</v>
      </c>
    </row>
    <row r="143" spans="1:32" x14ac:dyDescent="0.2">
      <c r="A143" s="3">
        <v>142</v>
      </c>
      <c r="B143" s="3">
        <v>8</v>
      </c>
      <c r="C143" s="3" t="s">
        <v>278</v>
      </c>
      <c r="D143" s="19">
        <v>30387</v>
      </c>
      <c r="E143" s="19">
        <f>ROUND(D143/INDEX(مناطق!$D$2:$D$23,B143),0)</f>
        <v>10619</v>
      </c>
      <c r="F143" s="20">
        <v>0.96860000000000002</v>
      </c>
      <c r="G143" s="19">
        <f>پارامترها!$B$5*F143/1000000</f>
        <v>942.78681000000017</v>
      </c>
      <c r="H143" s="21">
        <v>253.5</v>
      </c>
      <c r="I143" s="19">
        <f>H143*پارامترها!$B$6</f>
        <v>19012.5</v>
      </c>
      <c r="J143" s="22">
        <v>76</v>
      </c>
      <c r="K143" s="21">
        <f t="shared" si="6"/>
        <v>20.166277039875002</v>
      </c>
      <c r="L143" s="21">
        <f>I143/(پارامترها!$B$5/1000000)</f>
        <v>19.53305594082293</v>
      </c>
      <c r="M143" s="21">
        <f>K143/پارامترها!$B$7</f>
        <v>67.220923466250014</v>
      </c>
      <c r="N143" s="21">
        <v>23.93</v>
      </c>
      <c r="O143" s="21">
        <f>N143*پارامترها!$B$6*پارامترها!$B$16</f>
        <v>53.842500000000001</v>
      </c>
      <c r="P143" s="21">
        <f>O143*12/G143*100</f>
        <v>68.53193035231368</v>
      </c>
      <c r="Q143" s="21">
        <f>O143*12/(پارامترها!$B$5/1000000)*100</f>
        <v>66.380027739251034</v>
      </c>
      <c r="R143" s="3" t="str">
        <f t="shared" si="7"/>
        <v>فشار شدید</v>
      </c>
      <c r="S143" s="21">
        <f>(1-NORMSDIST((LN(O143*12*1000000/پارامترها!$B$8)-پارامترها!$B$15)/پارامترها!$B$14))*100</f>
        <v>10.021488609074947</v>
      </c>
      <c r="T143" s="21">
        <f>(1-NORMSDIST((LN(I143*1000000/5)-پارامترها!$B$15)/پارامترها!$B$14))*100</f>
        <v>3.4437225270873006</v>
      </c>
      <c r="U143" s="21">
        <f>MIN(100,پارامترها!$B$9/1000000/I143*100)</f>
        <v>10.519395134779751</v>
      </c>
      <c r="V143" s="19">
        <f>MAX(0,I143-پارامترها!$B$9/1000000)</f>
        <v>17012.5</v>
      </c>
      <c r="W143" s="21">
        <f>V143/(G143*پارامترها!$B$7)</f>
        <v>60.149688913587291</v>
      </c>
      <c r="X143" s="21">
        <f>پارامترها!$B$12/1000000/(G143/12)*100</f>
        <v>51.263220881411662</v>
      </c>
      <c r="Y143" s="21">
        <f>ROUND(50*MIN(1,3/K143)+50*MIN(1,30/P143),1)</f>
        <v>29.3</v>
      </c>
      <c r="Z143" s="3">
        <f t="shared" si="8"/>
        <v>200</v>
      </c>
      <c r="AA143" s="19">
        <v>90</v>
      </c>
      <c r="AB143" s="19">
        <v>87</v>
      </c>
      <c r="AC143" s="3" t="s">
        <v>83</v>
      </c>
      <c r="AD143" s="3" t="s">
        <v>84</v>
      </c>
      <c r="AE143" s="3" t="s">
        <v>278</v>
      </c>
      <c r="AF143" s="23" t="s">
        <v>85</v>
      </c>
    </row>
    <row r="144" spans="1:32" ht="16.5" x14ac:dyDescent="0.3">
      <c r="A144" s="3">
        <v>143</v>
      </c>
      <c r="B144" s="3">
        <v>8</v>
      </c>
      <c r="C144" s="3" t="s">
        <v>279</v>
      </c>
      <c r="D144" s="19">
        <v>56763</v>
      </c>
      <c r="E144" s="19">
        <f>ROUND(D144/INDEX(مناطق!$D$2:$D$23,B144),0)</f>
        <v>19836</v>
      </c>
      <c r="F144" s="20">
        <v>0.93149999999999999</v>
      </c>
      <c r="G144" s="19">
        <f>پارامترها!$B$5*F144/1000000</f>
        <v>906.67552500000011</v>
      </c>
      <c r="H144" s="21">
        <v>244.1</v>
      </c>
      <c r="I144" s="19">
        <f>H144*پارامترها!$B$6</f>
        <v>18307.5</v>
      </c>
      <c r="J144" s="22">
        <v>83.5</v>
      </c>
      <c r="K144" s="21">
        <f t="shared" si="6"/>
        <v>20.191898308934718</v>
      </c>
      <c r="L144" s="21">
        <f>I144/(پارامترها!$B$5/1000000)</f>
        <v>18.808753274772691</v>
      </c>
      <c r="M144" s="21">
        <f>K144/پارامترها!$B$7</f>
        <v>67.30632769644906</v>
      </c>
      <c r="N144" s="21">
        <v>22.98</v>
      </c>
      <c r="O144" s="21">
        <f>N144*پارامترها!$B$6*پارامترها!$B$16</f>
        <v>51.704999999999998</v>
      </c>
      <c r="P144" s="21">
        <f>O144*12/G144*100</f>
        <v>68.432419635458885</v>
      </c>
      <c r="Q144" s="21">
        <f>O144*12/(پارامترها!$B$5/1000000)*100</f>
        <v>63.744798890429955</v>
      </c>
      <c r="R144" s="3" t="str">
        <f t="shared" si="7"/>
        <v>فشار شدید</v>
      </c>
      <c r="S144" s="21">
        <f>(1-NORMSDIST((LN(O144*12*1000000/پارامترها!$B$8)-پارامترها!$B$15)/پارامترها!$B$14))*100</f>
        <v>10.713199450084099</v>
      </c>
      <c r="T144" s="21">
        <f>(1-NORMSDIST((LN(I144*1000000/5)-پارامترها!$B$15)/پارامترها!$B$14))*100</f>
        <v>3.7258879771008169</v>
      </c>
      <c r="U144" s="21">
        <f>MIN(100,پارامترها!$B$9/1000000/I144*100)</f>
        <v>10.924484500887614</v>
      </c>
      <c r="V144" s="19">
        <f>MAX(0,I144-پارامترها!$B$9/1000000)</f>
        <v>16307.5</v>
      </c>
      <c r="W144" s="21">
        <f>V144/(G144*پارامترها!$B$7)</f>
        <v>59.953458359133862</v>
      </c>
      <c r="X144" s="21">
        <f>پارامترها!$B$12/1000000/(G144/12)*100</f>
        <v>53.304944439866176</v>
      </c>
      <c r="Y144" s="21">
        <f>ROUND(50*MIN(1,3/K144)+50*MIN(1,30/P144),1)</f>
        <v>29.3</v>
      </c>
      <c r="Z144" s="3">
        <f t="shared" si="8"/>
        <v>200</v>
      </c>
      <c r="AA144" s="19">
        <v>174</v>
      </c>
      <c r="AB144" s="19">
        <v>172</v>
      </c>
      <c r="AC144" s="3" t="s">
        <v>83</v>
      </c>
      <c r="AD144" s="3" t="s">
        <v>93</v>
      </c>
      <c r="AE144" s="3" t="s">
        <v>280</v>
      </c>
      <c r="AF144" s="23" t="s">
        <v>85</v>
      </c>
    </row>
    <row r="145" spans="1:32" x14ac:dyDescent="0.2">
      <c r="A145" s="3">
        <v>144</v>
      </c>
      <c r="B145" s="3">
        <v>8</v>
      </c>
      <c r="C145" s="3" t="s">
        <v>281</v>
      </c>
      <c r="D145" s="19">
        <v>18836</v>
      </c>
      <c r="E145" s="19">
        <f>ROUND(D145/INDEX(مناطق!$D$2:$D$23,B145),0)</f>
        <v>6582</v>
      </c>
      <c r="F145" s="20">
        <v>0.86860000000000004</v>
      </c>
      <c r="G145" s="19">
        <f>پارامترها!$B$5*F145/1000000</f>
        <v>845.45181000000014</v>
      </c>
      <c r="H145" s="21">
        <v>228.2</v>
      </c>
      <c r="I145" s="19">
        <f>H145*پارامترها!$B$6</f>
        <v>17115</v>
      </c>
      <c r="J145" s="22">
        <v>61</v>
      </c>
      <c r="K145" s="21">
        <f t="shared" si="6"/>
        <v>20.243613884982985</v>
      </c>
      <c r="L145" s="21">
        <f>I145/(پارامترها!$B$5/1000000)</f>
        <v>17.583603020496223</v>
      </c>
      <c r="M145" s="21">
        <f>K145/پارامترها!$B$7</f>
        <v>67.478712949943287</v>
      </c>
      <c r="N145" s="21">
        <v>22.23</v>
      </c>
      <c r="O145" s="21">
        <f>N145*پارامترها!$B$6*پارامترها!$B$16</f>
        <v>50.017499999999998</v>
      </c>
      <c r="P145" s="21">
        <f>O145*12/G145*100</f>
        <v>70.992810341254099</v>
      </c>
      <c r="Q145" s="21">
        <f>O145*12/(پارامترها!$B$5/1000000)*100</f>
        <v>61.664355062413314</v>
      </c>
      <c r="R145" s="3" t="str">
        <f t="shared" si="7"/>
        <v>فشار شدید</v>
      </c>
      <c r="S145" s="21">
        <f>(1-NORMSDIST((LN(O145*12*1000000/پارامترها!$B$8)-پارامترها!$B$15)/پارامترها!$B$14))*100</f>
        <v>11.304941981096162</v>
      </c>
      <c r="T145" s="21">
        <f>(1-NORMSDIST((LN(I145*1000000/5)-پارامترها!$B$15)/پارامترها!$B$14))*100</f>
        <v>4.2755518943919713</v>
      </c>
      <c r="U145" s="21">
        <f>MIN(100,پارامترها!$B$9/1000000/I145*100)</f>
        <v>11.685655857434998</v>
      </c>
      <c r="V145" s="19">
        <f>MAX(0,I145-پارامترها!$B$9/1000000)</f>
        <v>15115</v>
      </c>
      <c r="W145" s="21">
        <f>V145/(G145*پارامترها!$B$7)</f>
        <v>59.593382777586491</v>
      </c>
      <c r="X145" s="21">
        <f>پارامترها!$B$12/1000000/(G145/12)*100</f>
        <v>57.165042304553694</v>
      </c>
      <c r="Y145" s="21">
        <f>ROUND(50*MIN(1,3/K145)+50*MIN(1,30/P145),1)</f>
        <v>28.5</v>
      </c>
      <c r="Z145" s="3">
        <f t="shared" si="8"/>
        <v>238</v>
      </c>
      <c r="AA145" s="19">
        <v>86</v>
      </c>
      <c r="AB145" s="19">
        <v>86</v>
      </c>
      <c r="AC145" s="3" t="s">
        <v>83</v>
      </c>
      <c r="AD145" s="3" t="s">
        <v>84</v>
      </c>
      <c r="AE145" s="3" t="s">
        <v>281</v>
      </c>
      <c r="AF145" s="23" t="s">
        <v>85</v>
      </c>
    </row>
    <row r="146" spans="1:32" x14ac:dyDescent="0.2">
      <c r="A146" s="3">
        <v>145</v>
      </c>
      <c r="B146" s="3">
        <v>8</v>
      </c>
      <c r="C146" s="3" t="s">
        <v>282</v>
      </c>
      <c r="D146" s="19">
        <v>53078</v>
      </c>
      <c r="E146" s="19">
        <f>ROUND(D146/INDEX(مناطق!$D$2:$D$23,B146),0)</f>
        <v>18549</v>
      </c>
      <c r="F146" s="20">
        <v>0.86029999999999995</v>
      </c>
      <c r="G146" s="19">
        <f>پارامترها!$B$5*F146/1000000</f>
        <v>837.37300500000003</v>
      </c>
      <c r="H146" s="21">
        <v>226.1</v>
      </c>
      <c r="I146" s="19">
        <f>H146*پارامترها!$B$6</f>
        <v>16957.5</v>
      </c>
      <c r="J146" s="22">
        <v>65.5</v>
      </c>
      <c r="K146" s="21">
        <f t="shared" si="6"/>
        <v>20.250831945555731</v>
      </c>
      <c r="L146" s="21">
        <f>I146/(پارامترها!$B$5/1000000)</f>
        <v>17.421790722761592</v>
      </c>
      <c r="M146" s="21">
        <f>K146/پارامترها!$B$7</f>
        <v>67.502773151852438</v>
      </c>
      <c r="N146" s="21">
        <v>21.35</v>
      </c>
      <c r="O146" s="21">
        <f>N146*پارامترها!$B$6*پارامترها!$B$16</f>
        <v>48.037500000000001</v>
      </c>
      <c r="P146" s="21">
        <f>O146*12/G146*100</f>
        <v>68.840289400062531</v>
      </c>
      <c r="Q146" s="21">
        <f>O146*12/(پارامترها!$B$5/1000000)*100</f>
        <v>59.22330097087378</v>
      </c>
      <c r="R146" s="3" t="str">
        <f t="shared" si="7"/>
        <v>فشار شدید</v>
      </c>
      <c r="S146" s="21">
        <f>(1-NORMSDIST((LN(O146*12*1000000/پارامترها!$B$8)-پارامترها!$B$15)/پارامترها!$B$14))*100</f>
        <v>12.056270638314526</v>
      </c>
      <c r="T146" s="21">
        <f>(1-NORMSDIST((LN(I146*1000000/5)-پارامترها!$B$15)/پارامترها!$B$14))*100</f>
        <v>4.3558705384204588</v>
      </c>
      <c r="U146" s="21">
        <f>MIN(100,پارامترها!$B$9/1000000/I146*100)</f>
        <v>11.794191360754828</v>
      </c>
      <c r="V146" s="19">
        <f>MAX(0,I146-پارامترها!$B$9/1000000)</f>
        <v>14957.5</v>
      </c>
      <c r="W146" s="21">
        <f>V146/(G146*پارامترها!$B$7)</f>
        <v>59.541366912506732</v>
      </c>
      <c r="X146" s="21">
        <f>پارامترها!$B$12/1000000/(G146/12)*100</f>
        <v>57.716559044211721</v>
      </c>
      <c r="Y146" s="21">
        <f>ROUND(50*MIN(1,3/K146)+50*MIN(1,30/P146),1)</f>
        <v>29.2</v>
      </c>
      <c r="Z146" s="3">
        <f t="shared" si="8"/>
        <v>218</v>
      </c>
      <c r="AA146" s="19">
        <v>91</v>
      </c>
      <c r="AB146" s="19">
        <v>74</v>
      </c>
      <c r="AC146" s="3" t="s">
        <v>83</v>
      </c>
      <c r="AD146" s="3" t="s">
        <v>84</v>
      </c>
      <c r="AE146" s="3" t="s">
        <v>282</v>
      </c>
      <c r="AF146" s="23" t="s">
        <v>85</v>
      </c>
    </row>
    <row r="147" spans="1:32" x14ac:dyDescent="0.2">
      <c r="A147" s="3">
        <v>146</v>
      </c>
      <c r="B147" s="3">
        <v>8</v>
      </c>
      <c r="C147" s="3" t="s">
        <v>283</v>
      </c>
      <c r="D147" s="19">
        <v>23983</v>
      </c>
      <c r="E147" s="19">
        <f>ROUND(D147/INDEX(مناطق!$D$2:$D$23,B147),0)</f>
        <v>8381</v>
      </c>
      <c r="F147" s="20">
        <v>0.75119999999999998</v>
      </c>
      <c r="G147" s="19">
        <f>پارامترها!$B$5*F147/1000000</f>
        <v>731.18052000000012</v>
      </c>
      <c r="H147" s="21">
        <v>198.3</v>
      </c>
      <c r="I147" s="19">
        <f>H147*پارامترها!$B$6</f>
        <v>14872.5</v>
      </c>
      <c r="J147" s="22">
        <v>64</v>
      </c>
      <c r="K147" s="21">
        <f t="shared" si="6"/>
        <v>20.340394188838616</v>
      </c>
      <c r="L147" s="21">
        <f>I147/(پارامترها!$B$5/1000000)</f>
        <v>15.279704114655569</v>
      </c>
      <c r="M147" s="21">
        <f>K147/پارامترها!$B$7</f>
        <v>67.80131396279539</v>
      </c>
      <c r="N147" s="21">
        <v>19.45</v>
      </c>
      <c r="O147" s="21">
        <f>N147*پارامترها!$B$6*پارامترها!$B$16</f>
        <v>43.762499999999996</v>
      </c>
      <c r="P147" s="21">
        <f>O147*12/G147*100</f>
        <v>71.822208830180529</v>
      </c>
      <c r="Q147" s="21">
        <f>O147*12/(پارامترها!$B$5/1000000)*100</f>
        <v>53.952843273231608</v>
      </c>
      <c r="R147" s="3" t="str">
        <f t="shared" si="7"/>
        <v>فشار شدید</v>
      </c>
      <c r="S147" s="21">
        <f>(1-NORMSDIST((LN(O147*12*1000000/پارامترها!$B$8)-پارامترها!$B$15)/پارامترها!$B$14))*100</f>
        <v>13.922233492936753</v>
      </c>
      <c r="T147" s="21">
        <f>(1-NORMSDIST((LN(I147*1000000/5)-پارامترها!$B$15)/پارامترها!$B$14))*100</f>
        <v>5.632107165930222</v>
      </c>
      <c r="U147" s="21">
        <f>MIN(100,پارامترها!$B$9/1000000/I147*100)</f>
        <v>13.447638258530844</v>
      </c>
      <c r="V147" s="19">
        <f>MAX(0,I147-پارامترها!$B$9/1000000)</f>
        <v>12872.5</v>
      </c>
      <c r="W147" s="21">
        <f>V147/(G147*پارامترها!$B$7)</f>
        <v>58.683638526547902</v>
      </c>
      <c r="X147" s="21">
        <f>پارامترها!$B$12/1000000/(G147/12)*100</f>
        <v>66.098982622118399</v>
      </c>
      <c r="Y147" s="21">
        <f>ROUND(50*MIN(1,3/K147)+50*MIN(1,30/P147),1)</f>
        <v>28.3</v>
      </c>
      <c r="Z147" s="3">
        <f t="shared" si="8"/>
        <v>245</v>
      </c>
      <c r="AA147" s="19">
        <v>91</v>
      </c>
      <c r="AB147" s="19">
        <v>77</v>
      </c>
      <c r="AC147" s="3" t="s">
        <v>83</v>
      </c>
      <c r="AD147" s="3" t="s">
        <v>84</v>
      </c>
      <c r="AE147" s="3" t="s">
        <v>283</v>
      </c>
      <c r="AF147" s="23" t="s">
        <v>85</v>
      </c>
    </row>
    <row r="148" spans="1:32" ht="16.5" x14ac:dyDescent="0.3">
      <c r="A148" s="3">
        <v>147</v>
      </c>
      <c r="B148" s="3">
        <v>8</v>
      </c>
      <c r="C148" s="3" t="s">
        <v>284</v>
      </c>
      <c r="D148" s="19">
        <v>26773</v>
      </c>
      <c r="E148" s="19">
        <f>ROUND(D148/INDEX(مناطق!$D$2:$D$23,B148),0)</f>
        <v>9356</v>
      </c>
      <c r="F148" s="20">
        <v>0.71970000000000001</v>
      </c>
      <c r="G148" s="19">
        <f>پارامترها!$B$5*F148/1000000</f>
        <v>700.51999500000011</v>
      </c>
      <c r="H148" s="21">
        <v>190.3</v>
      </c>
      <c r="I148" s="19">
        <f>H148*پارامترها!$B$6</f>
        <v>14272.5</v>
      </c>
      <c r="J148" s="22">
        <v>65</v>
      </c>
      <c r="K148" s="21">
        <f t="shared" si="6"/>
        <v>20.374150776381477</v>
      </c>
      <c r="L148" s="21">
        <f>I148/(پارامترها!$B$5/1000000)</f>
        <v>14.663276313761749</v>
      </c>
      <c r="M148" s="21">
        <f>K148/پارامترها!$B$7</f>
        <v>67.913835921271598</v>
      </c>
      <c r="N148" s="21">
        <v>20.18</v>
      </c>
      <c r="O148" s="21">
        <f>N148*پارامترها!$B$6*پارامترها!$B$16</f>
        <v>45.405000000000001</v>
      </c>
      <c r="P148" s="21">
        <f>O148*12/G148*100</f>
        <v>77.779364456256516</v>
      </c>
      <c r="Q148" s="21">
        <f>O148*12/(پارامترها!$B$5/1000000)*100</f>
        <v>55.977808599167808</v>
      </c>
      <c r="R148" s="3" t="str">
        <f t="shared" si="7"/>
        <v>فشار شدید</v>
      </c>
      <c r="S148" s="21">
        <f>(1-NORMSDIST((LN(O148*12*1000000/پارامترها!$B$8)-پارامترها!$B$15)/پارامترها!$B$14))*100</f>
        <v>13.162359449227345</v>
      </c>
      <c r="T148" s="21">
        <f>(1-NORMSDIST((LN(I148*1000000/5)-پارامترها!$B$15)/پارامترها!$B$14))*100</f>
        <v>6.0884579811932742</v>
      </c>
      <c r="U148" s="21">
        <f>MIN(100,پارامترها!$B$9/1000000/I148*100)</f>
        <v>14.012961989840603</v>
      </c>
      <c r="V148" s="19">
        <f>MAX(0,I148-پارامترها!$B$9/1000000)</f>
        <v>12272.5</v>
      </c>
      <c r="W148" s="21">
        <f>V148/(G148*پارامترها!$B$7)</f>
        <v>58.397095907781086</v>
      </c>
      <c r="X148" s="21">
        <f>پارامترها!$B$12/1000000/(G148/12)*100</f>
        <v>68.992018543469982</v>
      </c>
      <c r="Y148" s="21">
        <f>ROUND(50*MIN(1,3/K148)+50*MIN(1,30/P148),1)</f>
        <v>26.6</v>
      </c>
      <c r="Z148" s="3">
        <f t="shared" si="8"/>
        <v>297</v>
      </c>
      <c r="AA148" s="19">
        <v>86</v>
      </c>
      <c r="AB148" s="19">
        <v>78</v>
      </c>
      <c r="AC148" s="3" t="s">
        <v>83</v>
      </c>
      <c r="AD148" s="3" t="s">
        <v>93</v>
      </c>
      <c r="AE148" s="3" t="s">
        <v>285</v>
      </c>
      <c r="AF148" s="23" t="s">
        <v>85</v>
      </c>
    </row>
    <row r="149" spans="1:32" ht="16.5" x14ac:dyDescent="0.3">
      <c r="A149" s="3">
        <v>148</v>
      </c>
      <c r="B149" s="3">
        <v>8</v>
      </c>
      <c r="C149" s="3" t="s">
        <v>286</v>
      </c>
      <c r="D149" s="19">
        <v>17296</v>
      </c>
      <c r="E149" s="19">
        <f>ROUND(D149/INDEX(مناطق!$D$2:$D$23,B149),0)</f>
        <v>6044</v>
      </c>
      <c r="F149" s="20">
        <v>0.71970000000000001</v>
      </c>
      <c r="G149" s="19">
        <f>پارامترها!$B$5*F149/1000000</f>
        <v>700.51999500000011</v>
      </c>
      <c r="H149" s="21">
        <v>190.3</v>
      </c>
      <c r="I149" s="19">
        <f>H149*پارامترها!$B$6</f>
        <v>14272.5</v>
      </c>
      <c r="J149" s="22">
        <v>65</v>
      </c>
      <c r="K149" s="21">
        <f t="shared" si="6"/>
        <v>20.374150776381477</v>
      </c>
      <c r="L149" s="21">
        <f>I149/(پارامترها!$B$5/1000000)</f>
        <v>14.663276313761749</v>
      </c>
      <c r="M149" s="21">
        <f>K149/پارامترها!$B$7</f>
        <v>67.913835921271598</v>
      </c>
      <c r="N149" s="21">
        <v>20.18</v>
      </c>
      <c r="O149" s="21">
        <f>N149*پارامترها!$B$6*پارامترها!$B$16</f>
        <v>45.405000000000001</v>
      </c>
      <c r="P149" s="21">
        <f>O149*12/G149*100</f>
        <v>77.779364456256516</v>
      </c>
      <c r="Q149" s="21">
        <f>O149*12/(پارامترها!$B$5/1000000)*100</f>
        <v>55.977808599167808</v>
      </c>
      <c r="R149" s="3" t="str">
        <f t="shared" si="7"/>
        <v>فشار شدید</v>
      </c>
      <c r="S149" s="21">
        <f>(1-NORMSDIST((LN(O149*12*1000000/پارامترها!$B$8)-پارامترها!$B$15)/پارامترها!$B$14))*100</f>
        <v>13.162359449227345</v>
      </c>
      <c r="T149" s="21">
        <f>(1-NORMSDIST((LN(I149*1000000/5)-پارامترها!$B$15)/پارامترها!$B$14))*100</f>
        <v>6.0884579811932742</v>
      </c>
      <c r="U149" s="21">
        <f>MIN(100,پارامترها!$B$9/1000000/I149*100)</f>
        <v>14.012961989840603</v>
      </c>
      <c r="V149" s="19">
        <f>MAX(0,I149-پارامترها!$B$9/1000000)</f>
        <v>12272.5</v>
      </c>
      <c r="W149" s="21">
        <f>V149/(G149*پارامترها!$B$7)</f>
        <v>58.397095907781086</v>
      </c>
      <c r="X149" s="21">
        <f>پارامترها!$B$12/1000000/(G149/12)*100</f>
        <v>68.992018543469982</v>
      </c>
      <c r="Y149" s="21">
        <f>ROUND(50*MIN(1,3/K149)+50*MIN(1,30/P149),1)</f>
        <v>26.6</v>
      </c>
      <c r="Z149" s="3">
        <f t="shared" si="8"/>
        <v>297</v>
      </c>
      <c r="AA149" s="19">
        <v>86</v>
      </c>
      <c r="AB149" s="19">
        <v>78</v>
      </c>
      <c r="AC149" s="3" t="s">
        <v>83</v>
      </c>
      <c r="AD149" s="3" t="s">
        <v>93</v>
      </c>
      <c r="AE149" s="3" t="s">
        <v>285</v>
      </c>
      <c r="AF149" s="23" t="s">
        <v>85</v>
      </c>
    </row>
    <row r="150" spans="1:32" x14ac:dyDescent="0.2">
      <c r="A150" s="3">
        <v>149</v>
      </c>
      <c r="B150" s="3">
        <v>8</v>
      </c>
      <c r="C150" s="3" t="s">
        <v>287</v>
      </c>
      <c r="D150" s="19">
        <v>22549</v>
      </c>
      <c r="E150" s="19">
        <f>ROUND(D150/INDEX(مناطق!$D$2:$D$23,B150),0)</f>
        <v>7880</v>
      </c>
      <c r="F150" s="20">
        <v>0.70620000000000005</v>
      </c>
      <c r="G150" s="19">
        <f>پارامترها!$B$5*F150/1000000</f>
        <v>687.37977000000012</v>
      </c>
      <c r="H150" s="21">
        <v>186.8</v>
      </c>
      <c r="I150" s="19">
        <f>H150*پارامترها!$B$6</f>
        <v>14010</v>
      </c>
      <c r="J150" s="22">
        <v>60</v>
      </c>
      <c r="K150" s="21">
        <f t="shared" si="6"/>
        <v>20.381746177953413</v>
      </c>
      <c r="L150" s="21">
        <f>I150/(پارامترها!$B$5/1000000)</f>
        <v>14.393589150870703</v>
      </c>
      <c r="M150" s="21">
        <f>K150/پارامترها!$B$7</f>
        <v>67.939153926511381</v>
      </c>
      <c r="N150" s="21">
        <v>17.73</v>
      </c>
      <c r="O150" s="21">
        <f>N150*پارامترها!$B$6*پارامترها!$B$16</f>
        <v>39.892499999999998</v>
      </c>
      <c r="P150" s="21">
        <f>O150*12/G150*100</f>
        <v>69.642724574218988</v>
      </c>
      <c r="Q150" s="21">
        <f>O150*12/(پارامترها!$B$5/1000000)*100</f>
        <v>49.181692094313448</v>
      </c>
      <c r="R150" s="3" t="str">
        <f t="shared" si="7"/>
        <v>فشار شدید</v>
      </c>
      <c r="S150" s="21">
        <f>(1-NORMSDIST((LN(O150*12*1000000/پارامترها!$B$8)-پارامترها!$B$15)/پارامترها!$B$14))*100</f>
        <v>15.961414122217278</v>
      </c>
      <c r="T150" s="21">
        <f>(1-NORMSDIST((LN(I150*1000000/5)-پارامترها!$B$15)/پارامترها!$B$14))*100</f>
        <v>6.3034083281129245</v>
      </c>
      <c r="U150" s="21">
        <f>MIN(100,پارامترها!$B$9/1000000/I150*100)</f>
        <v>14.275517487508923</v>
      </c>
      <c r="V150" s="19">
        <f>MAX(0,I150-پارامترها!$B$9/1000000)</f>
        <v>12010</v>
      </c>
      <c r="W150" s="21">
        <f>V150/(G150*پارامترها!$B$7)</f>
        <v>58.240488126866651</v>
      </c>
      <c r="X150" s="21">
        <f>پارامترها!$B$12/1000000/(G150/12)*100</f>
        <v>70.310897402627219</v>
      </c>
      <c r="Y150" s="21">
        <f>ROUND(50*MIN(1,3/K150)+50*MIN(1,30/P150),1)</f>
        <v>28.9</v>
      </c>
      <c r="Z150" s="3">
        <f t="shared" si="8"/>
        <v>229</v>
      </c>
      <c r="AA150" s="19">
        <v>84</v>
      </c>
      <c r="AB150" s="19">
        <v>77</v>
      </c>
      <c r="AC150" s="3" t="s">
        <v>83</v>
      </c>
      <c r="AD150" s="3" t="s">
        <v>84</v>
      </c>
      <c r="AE150" s="3" t="s">
        <v>287</v>
      </c>
      <c r="AF150" s="23" t="s">
        <v>85</v>
      </c>
    </row>
    <row r="151" spans="1:32" x14ac:dyDescent="0.2">
      <c r="A151" s="3">
        <v>150</v>
      </c>
      <c r="B151" s="3">
        <v>8</v>
      </c>
      <c r="C151" s="3" t="s">
        <v>288</v>
      </c>
      <c r="D151" s="19">
        <v>35048</v>
      </c>
      <c r="E151" s="19">
        <f>ROUND(D151/INDEX(مناطق!$D$2:$D$23,B151),0)</f>
        <v>12248</v>
      </c>
      <c r="F151" s="20">
        <v>0.66569999999999996</v>
      </c>
      <c r="G151" s="19">
        <f>پارامترها!$B$5*F151/1000000</f>
        <v>647.95909500000005</v>
      </c>
      <c r="H151" s="21">
        <v>176.4</v>
      </c>
      <c r="I151" s="19">
        <f>H151*پارامترها!$B$6</f>
        <v>13230</v>
      </c>
      <c r="J151" s="22">
        <v>58</v>
      </c>
      <c r="K151" s="21">
        <f t="shared" si="6"/>
        <v>20.417955550110765</v>
      </c>
      <c r="L151" s="21">
        <f>I151/(پارامترها!$B$5/1000000)</f>
        <v>13.592233009708735</v>
      </c>
      <c r="M151" s="21">
        <f>K151/پارامترها!$B$7</f>
        <v>68.059851833702552</v>
      </c>
      <c r="N151" s="21">
        <v>17.61</v>
      </c>
      <c r="O151" s="21">
        <f>N151*پارامترها!$B$6*پارامترها!$B$16</f>
        <v>39.622499999999995</v>
      </c>
      <c r="P151" s="21">
        <f>O151*12/G151*100</f>
        <v>73.379632089275617</v>
      </c>
      <c r="Q151" s="21">
        <f>O151*12/(پارامترها!$B$5/1000000)*100</f>
        <v>48.848821081830771</v>
      </c>
      <c r="R151" s="3" t="str">
        <f t="shared" si="7"/>
        <v>فشار شدید</v>
      </c>
      <c r="S151" s="21">
        <f>(1-NORMSDIST((LN(O151*12*1000000/پارامترها!$B$8)-پارامترها!$B$15)/پارامترها!$B$14))*100</f>
        <v>16.118314772100174</v>
      </c>
      <c r="T151" s="21">
        <f>(1-NORMSDIST((LN(I151*1000000/5)-پارامترها!$B$15)/پارامترها!$B$14))*100</f>
        <v>7.0040926112142969</v>
      </c>
      <c r="U151" s="21">
        <f>MIN(100,پارامترها!$B$9/1000000/I151*100)</f>
        <v>15.117157974300833</v>
      </c>
      <c r="V151" s="19">
        <f>MAX(0,I151-پارامترها!$B$9/1000000)</f>
        <v>11230</v>
      </c>
      <c r="W151" s="21">
        <f>V151/(G151*پارامترها!$B$7)</f>
        <v>57.77113651492666</v>
      </c>
      <c r="X151" s="21">
        <f>پارامترها!$B$12/1000000/(G151/12)*100</f>
        <v>74.588486924643746</v>
      </c>
      <c r="Y151" s="21">
        <f>ROUND(50*MIN(1,3/K151)+50*MIN(1,30/P151),1)</f>
        <v>27.8</v>
      </c>
      <c r="Z151" s="3">
        <f t="shared" si="8"/>
        <v>266</v>
      </c>
      <c r="AA151" s="19">
        <v>86</v>
      </c>
      <c r="AB151" s="19">
        <v>83</v>
      </c>
      <c r="AC151" s="3" t="s">
        <v>83</v>
      </c>
      <c r="AD151" s="3" t="s">
        <v>84</v>
      </c>
      <c r="AE151" s="3" t="s">
        <v>288</v>
      </c>
      <c r="AF151" s="23" t="s">
        <v>85</v>
      </c>
    </row>
    <row r="152" spans="1:32" x14ac:dyDescent="0.2">
      <c r="A152" s="3">
        <v>151</v>
      </c>
      <c r="B152" s="3">
        <v>9</v>
      </c>
      <c r="C152" s="3" t="s">
        <v>289</v>
      </c>
      <c r="D152" s="19">
        <v>5538</v>
      </c>
      <c r="E152" s="19">
        <f>ROUND(D152/INDEX(مناطق!$D$2:$D$23,B152),0)</f>
        <v>1834</v>
      </c>
      <c r="F152" s="20">
        <v>0.753</v>
      </c>
      <c r="G152" s="19">
        <f>پارامترها!$B$5*F152/1000000</f>
        <v>732.93255000000011</v>
      </c>
      <c r="H152" s="21">
        <v>188.7</v>
      </c>
      <c r="I152" s="19">
        <f>H152*پارامترها!$B$6</f>
        <v>14152.5</v>
      </c>
      <c r="J152" s="22">
        <v>105</v>
      </c>
      <c r="K152" s="21">
        <f t="shared" si="6"/>
        <v>19.309416671424945</v>
      </c>
      <c r="L152" s="21">
        <f>I152/(پارامترها!$B$5/1000000)</f>
        <v>14.539990753582984</v>
      </c>
      <c r="M152" s="21">
        <f>K152/پارامترها!$B$7</f>
        <v>64.364722238083147</v>
      </c>
      <c r="N152" s="21">
        <v>18.57</v>
      </c>
      <c r="O152" s="21">
        <f>N152*پارامترها!$B$6*پارامترها!$B$16</f>
        <v>41.782499999999999</v>
      </c>
      <c r="P152" s="21">
        <f>O152*12/G152*100</f>
        <v>68.40875057329626</v>
      </c>
      <c r="Q152" s="21">
        <f>O152*12/(پارامترها!$B$5/1000000)*100</f>
        <v>51.51178918169208</v>
      </c>
      <c r="R152" s="3" t="str">
        <f t="shared" si="7"/>
        <v>فشار شدید</v>
      </c>
      <c r="S152" s="21">
        <f>(1-NORMSDIST((LN(O152*12*1000000/پارامترها!$B$8)-پارامترها!$B$15)/پارامترها!$B$14))*100</f>
        <v>14.918679496996212</v>
      </c>
      <c r="T152" s="21">
        <f>(1-NORMSDIST((LN(I152*1000000/5)-پارامترها!$B$15)/پارامترها!$B$14))*100</f>
        <v>6.1855047731081196</v>
      </c>
      <c r="U152" s="21">
        <f>MIN(100,پارامترها!$B$9/1000000/I152*100)</f>
        <v>14.131778837661191</v>
      </c>
      <c r="V152" s="19">
        <f>MAX(0,I152-پارامترها!$B$9/1000000)</f>
        <v>12152.5</v>
      </c>
      <c r="W152" s="21">
        <f>V152/(G152*پارامترها!$B$7)</f>
        <v>55.268842041922312</v>
      </c>
      <c r="X152" s="21">
        <f>پارامترها!$B$12/1000000/(G152/12)*100</f>
        <v>65.940977085969905</v>
      </c>
      <c r="Y152" s="21">
        <f>ROUND(50*MIN(1,3/K152)+50*MIN(1,30/P152),1)</f>
        <v>29.7</v>
      </c>
      <c r="Z152" s="3">
        <f t="shared" si="8"/>
        <v>179</v>
      </c>
      <c r="AA152" s="19">
        <v>2</v>
      </c>
      <c r="AB152" s="19">
        <v>0</v>
      </c>
      <c r="AC152" s="3" t="s">
        <v>103</v>
      </c>
      <c r="AD152" s="3" t="s">
        <v>84</v>
      </c>
      <c r="AE152" s="3" t="s">
        <v>289</v>
      </c>
      <c r="AF152" s="23" t="s">
        <v>152</v>
      </c>
    </row>
    <row r="153" spans="1:32" x14ac:dyDescent="0.2">
      <c r="A153" s="3">
        <v>152</v>
      </c>
      <c r="B153" s="3">
        <v>9</v>
      </c>
      <c r="C153" s="3" t="s">
        <v>290</v>
      </c>
      <c r="D153" s="19">
        <v>22087</v>
      </c>
      <c r="E153" s="19">
        <f>ROUND(D153/INDEX(مناطق!$D$2:$D$23,B153),0)</f>
        <v>7313</v>
      </c>
      <c r="F153" s="20">
        <v>0.72419999999999995</v>
      </c>
      <c r="G153" s="19">
        <f>پارامترها!$B$5*F153/1000000</f>
        <v>704.90007000000003</v>
      </c>
      <c r="H153" s="21">
        <v>181.7</v>
      </c>
      <c r="I153" s="19">
        <f>H153*پارامترها!$B$6</f>
        <v>13627.5</v>
      </c>
      <c r="J153" s="22">
        <v>65</v>
      </c>
      <c r="K153" s="21">
        <f t="shared" si="6"/>
        <v>19.332527516985493</v>
      </c>
      <c r="L153" s="21">
        <f>I153/(پارامترها!$B$5/1000000)</f>
        <v>14.000616427800892</v>
      </c>
      <c r="M153" s="21">
        <f>K153/پارامترها!$B$7</f>
        <v>64.441758389951644</v>
      </c>
      <c r="N153" s="21">
        <v>19.399999999999999</v>
      </c>
      <c r="O153" s="21">
        <f>N153*پارامترها!$B$6*پارامترها!$B$16</f>
        <v>43.65</v>
      </c>
      <c r="P153" s="21">
        <f>O153*12/G153*100</f>
        <v>74.308405161599694</v>
      </c>
      <c r="Q153" s="21">
        <f>O153*12/(پارامترها!$B$5/1000000)*100</f>
        <v>53.814147018030503</v>
      </c>
      <c r="R153" s="3" t="str">
        <f t="shared" si="7"/>
        <v>فشار شدید</v>
      </c>
      <c r="S153" s="21">
        <f>(1-NORMSDIST((LN(O153*12*1000000/پارامترها!$B$8)-پارامترها!$B$15)/پارامترها!$B$14))*100</f>
        <v>13.97641224256887</v>
      </c>
      <c r="T153" s="21">
        <f>(1-NORMSDIST((LN(I153*1000000/5)-پارامترها!$B$15)/پارامترها!$B$14))*100</f>
        <v>6.6348643260055962</v>
      </c>
      <c r="U153" s="21">
        <f>MIN(100,پارامترها!$B$9/1000000/I153*100)</f>
        <v>14.67620620069712</v>
      </c>
      <c r="V153" s="19">
        <f>MAX(0,I153-پارامترها!$B$9/1000000)</f>
        <v>11627.5</v>
      </c>
      <c r="W153" s="21">
        <f>V153/(G153*پارامترها!$B$7)</f>
        <v>54.984153049287301</v>
      </c>
      <c r="X153" s="21">
        <f>پارامترها!$B$12/1000000/(G153/12)*100</f>
        <v>68.563319173895806</v>
      </c>
      <c r="Y153" s="21">
        <f>ROUND(50*MIN(1,3/K153)+50*MIN(1,30/P153),1)</f>
        <v>27.9</v>
      </c>
      <c r="Z153" s="3">
        <f t="shared" si="8"/>
        <v>264</v>
      </c>
      <c r="AA153" s="19">
        <v>92</v>
      </c>
      <c r="AB153" s="19">
        <v>87</v>
      </c>
      <c r="AC153" s="3" t="s">
        <v>83</v>
      </c>
      <c r="AD153" s="3" t="s">
        <v>84</v>
      </c>
      <c r="AE153" s="3" t="s">
        <v>290</v>
      </c>
      <c r="AF153" s="23" t="s">
        <v>85</v>
      </c>
    </row>
    <row r="154" spans="1:32" x14ac:dyDescent="0.2">
      <c r="A154" s="3">
        <v>153</v>
      </c>
      <c r="B154" s="3">
        <v>9</v>
      </c>
      <c r="C154" s="3" t="s">
        <v>291</v>
      </c>
      <c r="D154" s="19">
        <v>36394</v>
      </c>
      <c r="E154" s="19">
        <f>ROUND(D154/INDEX(مناطق!$D$2:$D$23,B154),0)</f>
        <v>12050</v>
      </c>
      <c r="F154" s="20">
        <v>0.72240000000000004</v>
      </c>
      <c r="G154" s="19">
        <f>پارامترها!$B$5*F154/1000000</f>
        <v>703.14804000000015</v>
      </c>
      <c r="H154" s="21">
        <v>181.2</v>
      </c>
      <c r="I154" s="19">
        <f>H154*پارامترها!$B$6</f>
        <v>13590</v>
      </c>
      <c r="J154" s="22">
        <v>64</v>
      </c>
      <c r="K154" s="21">
        <f t="shared" si="6"/>
        <v>19.327366680848598</v>
      </c>
      <c r="L154" s="21">
        <f>I154/(پارامترها!$B$5/1000000)</f>
        <v>13.962089690245028</v>
      </c>
      <c r="M154" s="21">
        <f>K154/پارامترها!$B$7</f>
        <v>64.424555602828661</v>
      </c>
      <c r="N154" s="21">
        <v>20.8</v>
      </c>
      <c r="O154" s="21">
        <f>N154*پارامترها!$B$6*پارامترها!$B$16</f>
        <v>46.8</v>
      </c>
      <c r="P154" s="21">
        <f>O154*12/G154*100</f>
        <v>79.869382840063068</v>
      </c>
      <c r="Q154" s="21">
        <f>O154*12/(پارامترها!$B$5/1000000)*100</f>
        <v>57.69764216366157</v>
      </c>
      <c r="R154" s="3" t="str">
        <f t="shared" si="7"/>
        <v>فشار شدید</v>
      </c>
      <c r="S154" s="21">
        <f>(1-NORMSDIST((LN(O154*12*1000000/پارامترها!$B$8)-پارامترها!$B$15)/پارامترها!$B$14))*100</f>
        <v>12.560059239880816</v>
      </c>
      <c r="T154" s="21">
        <f>(1-NORMSDIST((LN(I154*1000000/5)-پارامترها!$B$15)/پارامترها!$B$14))*100</f>
        <v>6.6685845559926404</v>
      </c>
      <c r="U154" s="21">
        <f>MIN(100,پارامترها!$B$9/1000000/I154*100)</f>
        <v>14.716703458425313</v>
      </c>
      <c r="V154" s="19">
        <f>MAX(0,I154-پارامترها!$B$9/1000000)</f>
        <v>11590</v>
      </c>
      <c r="W154" s="21">
        <f>V154/(G154*پارامترها!$B$7)</f>
        <v>54.943384800352042</v>
      </c>
      <c r="X154" s="21">
        <f>پارامترها!$B$12/1000000/(G154/12)*100</f>
        <v>68.734158009046695</v>
      </c>
      <c r="Y154" s="21">
        <f>ROUND(50*MIN(1,3/K154)+50*MIN(1,30/P154),1)</f>
        <v>26.5</v>
      </c>
      <c r="Z154" s="3">
        <f t="shared" si="8"/>
        <v>300</v>
      </c>
      <c r="AA154" s="19">
        <v>87</v>
      </c>
      <c r="AB154" s="19">
        <v>92</v>
      </c>
      <c r="AC154" s="3" t="s">
        <v>83</v>
      </c>
      <c r="AD154" s="3" t="s">
        <v>84</v>
      </c>
      <c r="AE154" s="3" t="s">
        <v>291</v>
      </c>
      <c r="AF154" s="23" t="s">
        <v>85</v>
      </c>
    </row>
    <row r="155" spans="1:32" ht="16.5" x14ac:dyDescent="0.3">
      <c r="A155" s="3">
        <v>154</v>
      </c>
      <c r="B155" s="3">
        <v>9</v>
      </c>
      <c r="C155" s="3" t="s">
        <v>292</v>
      </c>
      <c r="D155" s="19">
        <v>24140</v>
      </c>
      <c r="E155" s="19">
        <f>ROUND(D155/INDEX(مناطق!$D$2:$D$23,B155),0)</f>
        <v>7993</v>
      </c>
      <c r="F155" s="20">
        <v>0.65249999999999997</v>
      </c>
      <c r="G155" s="19">
        <f>پارامترها!$B$5*F155/1000000</f>
        <v>635.11087499999996</v>
      </c>
      <c r="H155" s="21">
        <v>164.3</v>
      </c>
      <c r="I155" s="19">
        <f>H155*پارامترها!$B$6</f>
        <v>12322.5</v>
      </c>
      <c r="J155" s="22"/>
      <c r="K155" s="21">
        <f t="shared" si="6"/>
        <v>19.402124077941512</v>
      </c>
      <c r="L155" s="21">
        <f>I155/(پارامترها!$B$5/1000000)</f>
        <v>12.659885960856833</v>
      </c>
      <c r="M155" s="21">
        <f>K155/پارامترها!$B$7</f>
        <v>64.673746926471708</v>
      </c>
      <c r="N155" s="21">
        <v>16.170000000000002</v>
      </c>
      <c r="O155" s="21">
        <f>N155*پارامترها!$B$6*پارامترها!$B$16</f>
        <v>36.382500000000007</v>
      </c>
      <c r="P155" s="21">
        <f>O155*12/G155*100</f>
        <v>68.74232786519363</v>
      </c>
      <c r="Q155" s="21">
        <f>O155*12/(پارامترها!$B$5/1000000)*100</f>
        <v>44.854368932038838</v>
      </c>
      <c r="R155" s="3" t="str">
        <f t="shared" si="7"/>
        <v>فشار شدید</v>
      </c>
      <c r="S155" s="21">
        <f>(1-NORMSDIST((LN(O155*12*1000000/پارامترها!$B$8)-پارامترها!$B$15)/پارامترها!$B$14))*100</f>
        <v>18.174548183903738</v>
      </c>
      <c r="T155" s="21">
        <f>(1-NORMSDIST((LN(I155*1000000/5)-پارامترها!$B$15)/پارامترها!$B$14))*100</f>
        <v>7.954764133676429</v>
      </c>
      <c r="U155" s="21">
        <f>MIN(100,پارامترها!$B$9/1000000/I155*100)</f>
        <v>16.230472712517752</v>
      </c>
      <c r="V155" s="19">
        <f>MAX(0,I155-پارامترها!$B$9/1000000)</f>
        <v>10322.5</v>
      </c>
      <c r="W155" s="21">
        <f>V155/(G155*پارامترها!$B$7)</f>
        <v>54.176892079407928</v>
      </c>
      <c r="X155" s="21">
        <f>پارامترها!$B$12/1000000/(G155/12)*100</f>
        <v>76.097403441739999</v>
      </c>
      <c r="Y155" s="21">
        <f>ROUND(50*MIN(1,3/K155)+50*MIN(1,30/P155),1)</f>
        <v>29.6</v>
      </c>
      <c r="Z155" s="3">
        <f t="shared" si="8"/>
        <v>185</v>
      </c>
      <c r="AA155" s="19">
        <v>0</v>
      </c>
      <c r="AB155" s="19">
        <v>0</v>
      </c>
      <c r="AC155" s="3" t="s">
        <v>103</v>
      </c>
      <c r="AD155" s="3" t="s">
        <v>104</v>
      </c>
      <c r="AE155" s="23" t="s">
        <v>105</v>
      </c>
      <c r="AF155" s="23" t="s">
        <v>106</v>
      </c>
    </row>
    <row r="156" spans="1:32" ht="16.5" x14ac:dyDescent="0.3">
      <c r="A156" s="3">
        <v>155</v>
      </c>
      <c r="B156" s="3">
        <v>9</v>
      </c>
      <c r="C156" s="3" t="s">
        <v>293</v>
      </c>
      <c r="D156" s="19">
        <v>19790</v>
      </c>
      <c r="E156" s="19">
        <f>ROUND(D156/INDEX(مناطق!$D$2:$D$23,B156),0)</f>
        <v>6552</v>
      </c>
      <c r="F156" s="20">
        <v>0.65249999999999997</v>
      </c>
      <c r="G156" s="19">
        <f>پارامترها!$B$5*F156/1000000</f>
        <v>635.11087499999996</v>
      </c>
      <c r="H156" s="21">
        <v>164.3</v>
      </c>
      <c r="I156" s="19">
        <f>H156*پارامترها!$B$6</f>
        <v>12322.5</v>
      </c>
      <c r="J156" s="22"/>
      <c r="K156" s="21">
        <f t="shared" si="6"/>
        <v>19.402124077941512</v>
      </c>
      <c r="L156" s="21">
        <f>I156/(پارامترها!$B$5/1000000)</f>
        <v>12.659885960856833</v>
      </c>
      <c r="M156" s="21">
        <f>K156/پارامترها!$B$7</f>
        <v>64.673746926471708</v>
      </c>
      <c r="N156" s="21">
        <v>16.170000000000002</v>
      </c>
      <c r="O156" s="21">
        <f>N156*پارامترها!$B$6*پارامترها!$B$16</f>
        <v>36.382500000000007</v>
      </c>
      <c r="P156" s="21">
        <f>O156*12/G156*100</f>
        <v>68.74232786519363</v>
      </c>
      <c r="Q156" s="21">
        <f>O156*12/(پارامترها!$B$5/1000000)*100</f>
        <v>44.854368932038838</v>
      </c>
      <c r="R156" s="3" t="str">
        <f t="shared" si="7"/>
        <v>فشار شدید</v>
      </c>
      <c r="S156" s="21">
        <f>(1-NORMSDIST((LN(O156*12*1000000/پارامترها!$B$8)-پارامترها!$B$15)/پارامترها!$B$14))*100</f>
        <v>18.174548183903738</v>
      </c>
      <c r="T156" s="21">
        <f>(1-NORMSDIST((LN(I156*1000000/5)-پارامترها!$B$15)/پارامترها!$B$14))*100</f>
        <v>7.954764133676429</v>
      </c>
      <c r="U156" s="21">
        <f>MIN(100,پارامترها!$B$9/1000000/I156*100)</f>
        <v>16.230472712517752</v>
      </c>
      <c r="V156" s="19">
        <f>MAX(0,I156-پارامترها!$B$9/1000000)</f>
        <v>10322.5</v>
      </c>
      <c r="W156" s="21">
        <f>V156/(G156*پارامترها!$B$7)</f>
        <v>54.176892079407928</v>
      </c>
      <c r="X156" s="21">
        <f>پارامترها!$B$12/1000000/(G156/12)*100</f>
        <v>76.097403441739999</v>
      </c>
      <c r="Y156" s="21">
        <f>ROUND(50*MIN(1,3/K156)+50*MIN(1,30/P156),1)</f>
        <v>29.6</v>
      </c>
      <c r="Z156" s="3">
        <f t="shared" si="8"/>
        <v>185</v>
      </c>
      <c r="AA156" s="19">
        <v>0</v>
      </c>
      <c r="AB156" s="19">
        <v>0</v>
      </c>
      <c r="AC156" s="3" t="s">
        <v>103</v>
      </c>
      <c r="AD156" s="3" t="s">
        <v>104</v>
      </c>
      <c r="AE156" s="23" t="s">
        <v>105</v>
      </c>
      <c r="AF156" s="23" t="s">
        <v>106</v>
      </c>
    </row>
    <row r="157" spans="1:32" ht="16.5" x14ac:dyDescent="0.3">
      <c r="A157" s="3">
        <v>156</v>
      </c>
      <c r="B157" s="3">
        <v>9</v>
      </c>
      <c r="C157" s="3" t="s">
        <v>294</v>
      </c>
      <c r="D157" s="19">
        <v>86</v>
      </c>
      <c r="E157" s="19">
        <f>ROUND(D157/INDEX(مناطق!$D$2:$D$23,B157),0)</f>
        <v>28</v>
      </c>
      <c r="F157" s="20">
        <v>0.65249999999999997</v>
      </c>
      <c r="G157" s="19">
        <f>پارامترها!$B$5*F157/1000000</f>
        <v>635.11087499999996</v>
      </c>
      <c r="H157" s="21">
        <v>164.3</v>
      </c>
      <c r="I157" s="19">
        <f>H157*پارامترها!$B$6</f>
        <v>12322.5</v>
      </c>
      <c r="J157" s="22"/>
      <c r="K157" s="21">
        <f t="shared" si="6"/>
        <v>19.402124077941512</v>
      </c>
      <c r="L157" s="21">
        <f>I157/(پارامترها!$B$5/1000000)</f>
        <v>12.659885960856833</v>
      </c>
      <c r="M157" s="21">
        <f>K157/پارامترها!$B$7</f>
        <v>64.673746926471708</v>
      </c>
      <c r="N157" s="21">
        <v>16.170000000000002</v>
      </c>
      <c r="O157" s="21">
        <f>N157*پارامترها!$B$6*پارامترها!$B$16</f>
        <v>36.382500000000007</v>
      </c>
      <c r="P157" s="21">
        <f>O157*12/G157*100</f>
        <v>68.74232786519363</v>
      </c>
      <c r="Q157" s="21">
        <f>O157*12/(پارامترها!$B$5/1000000)*100</f>
        <v>44.854368932038838</v>
      </c>
      <c r="R157" s="3" t="str">
        <f t="shared" si="7"/>
        <v>فشار شدید</v>
      </c>
      <c r="S157" s="21">
        <f>(1-NORMSDIST((LN(O157*12*1000000/پارامترها!$B$8)-پارامترها!$B$15)/پارامترها!$B$14))*100</f>
        <v>18.174548183903738</v>
      </c>
      <c r="T157" s="21">
        <f>(1-NORMSDIST((LN(I157*1000000/5)-پارامترها!$B$15)/پارامترها!$B$14))*100</f>
        <v>7.954764133676429</v>
      </c>
      <c r="U157" s="21">
        <f>MIN(100,پارامترها!$B$9/1000000/I157*100)</f>
        <v>16.230472712517752</v>
      </c>
      <c r="V157" s="19">
        <f>MAX(0,I157-پارامترها!$B$9/1000000)</f>
        <v>10322.5</v>
      </c>
      <c r="W157" s="21">
        <f>V157/(G157*پارامترها!$B$7)</f>
        <v>54.176892079407928</v>
      </c>
      <c r="X157" s="21">
        <f>پارامترها!$B$12/1000000/(G157/12)*100</f>
        <v>76.097403441739999</v>
      </c>
      <c r="Y157" s="21">
        <f>ROUND(50*MIN(1,3/K157)+50*MIN(1,30/P157),1)</f>
        <v>29.6</v>
      </c>
      <c r="Z157" s="3">
        <f t="shared" si="8"/>
        <v>185</v>
      </c>
      <c r="AA157" s="19">
        <v>0</v>
      </c>
      <c r="AB157" s="19">
        <v>0</v>
      </c>
      <c r="AC157" s="3" t="s">
        <v>103</v>
      </c>
      <c r="AD157" s="3" t="s">
        <v>104</v>
      </c>
      <c r="AE157" s="23" t="s">
        <v>105</v>
      </c>
      <c r="AF157" s="23" t="s">
        <v>106</v>
      </c>
    </row>
    <row r="158" spans="1:32" x14ac:dyDescent="0.2">
      <c r="A158" s="3">
        <v>157</v>
      </c>
      <c r="B158" s="3">
        <v>9</v>
      </c>
      <c r="C158" s="3" t="s">
        <v>295</v>
      </c>
      <c r="D158" s="19">
        <v>23885</v>
      </c>
      <c r="E158" s="19">
        <f>ROUND(D158/INDEX(مناطق!$D$2:$D$23,B158),0)</f>
        <v>7908</v>
      </c>
      <c r="F158" s="20">
        <v>0.60099999999999998</v>
      </c>
      <c r="G158" s="19">
        <f>پارامترها!$B$5*F158/1000000</f>
        <v>584.98334999999997</v>
      </c>
      <c r="H158" s="21">
        <v>151.69999999999999</v>
      </c>
      <c r="I158" s="19">
        <f>H158*پارامترها!$B$6</f>
        <v>11377.5</v>
      </c>
      <c r="J158" s="22">
        <v>67</v>
      </c>
      <c r="K158" s="21">
        <f t="shared" si="6"/>
        <v>19.449271504906935</v>
      </c>
      <c r="L158" s="21">
        <f>I158/(پارامترها!$B$5/1000000)</f>
        <v>11.689012174449067</v>
      </c>
      <c r="M158" s="21">
        <f>K158/پارامترها!$B$7</f>
        <v>64.830905016356454</v>
      </c>
      <c r="N158" s="21">
        <v>15.91</v>
      </c>
      <c r="O158" s="21">
        <f>N158*پارامترها!$B$6*پارامترها!$B$16</f>
        <v>35.797499999999999</v>
      </c>
      <c r="P158" s="21">
        <f>O158*12/G158*100</f>
        <v>73.432859242916919</v>
      </c>
      <c r="Q158" s="21">
        <f>O158*12/(پارامترها!$B$5/1000000)*100</f>
        <v>44.133148404993058</v>
      </c>
      <c r="R158" s="3" t="str">
        <f t="shared" si="7"/>
        <v>فشار شدید</v>
      </c>
      <c r="S158" s="21">
        <f>(1-NORMSDIST((LN(O158*12*1000000/پارامترها!$B$8)-پارامترها!$B$15)/پارامترها!$B$14))*100</f>
        <v>18.58305475137556</v>
      </c>
      <c r="T158" s="21">
        <f>(1-NORMSDIST((LN(I158*1000000/5)-پارامترها!$B$15)/پارامترها!$B$14))*100</f>
        <v>9.1351207690620448</v>
      </c>
      <c r="U158" s="21">
        <f>MIN(100,پارامترها!$B$9/1000000/I158*100)</f>
        <v>17.578554163920018</v>
      </c>
      <c r="V158" s="19">
        <f>MAX(0,I158-پارامترها!$B$9/1000000)</f>
        <v>9377.5</v>
      </c>
      <c r="W158" s="21">
        <f>V158/(G158*پارامترها!$B$7)</f>
        <v>53.434569263096691</v>
      </c>
      <c r="X158" s="21">
        <f>پارامترها!$B$12/1000000/(G158/12)*100</f>
        <v>82.618229194235198</v>
      </c>
      <c r="Y158" s="21">
        <f>ROUND(50*MIN(1,3/K158)+50*MIN(1,30/P158),1)</f>
        <v>28.1</v>
      </c>
      <c r="Z158" s="3">
        <f t="shared" si="8"/>
        <v>254</v>
      </c>
      <c r="AA158" s="19">
        <v>89</v>
      </c>
      <c r="AB158" s="19">
        <v>57</v>
      </c>
      <c r="AC158" s="3" t="s">
        <v>83</v>
      </c>
      <c r="AD158" s="3" t="s">
        <v>84</v>
      </c>
      <c r="AE158" s="3" t="s">
        <v>295</v>
      </c>
      <c r="AF158" s="23" t="s">
        <v>85</v>
      </c>
    </row>
    <row r="159" spans="1:32" x14ac:dyDescent="0.2">
      <c r="A159" s="3">
        <v>158</v>
      </c>
      <c r="B159" s="3">
        <v>9</v>
      </c>
      <c r="C159" s="3" t="s">
        <v>296</v>
      </c>
      <c r="D159" s="19">
        <v>18523</v>
      </c>
      <c r="E159" s="19">
        <f>ROUND(D159/INDEX(مناطق!$D$2:$D$23,B159),0)</f>
        <v>6133</v>
      </c>
      <c r="F159" s="20">
        <v>0.57730000000000004</v>
      </c>
      <c r="G159" s="19">
        <f>پارامترها!$B$5*F159/1000000</f>
        <v>561.91495500000008</v>
      </c>
      <c r="H159" s="21">
        <v>145.9</v>
      </c>
      <c r="I159" s="19">
        <f>H159*پارامترها!$B$6</f>
        <v>10942.5</v>
      </c>
      <c r="J159" s="22">
        <v>64.5</v>
      </c>
      <c r="K159" s="21">
        <f t="shared" si="6"/>
        <v>19.473587422139349</v>
      </c>
      <c r="L159" s="21">
        <f>I159/(پارامترها!$B$5/1000000)</f>
        <v>11.242102018801047</v>
      </c>
      <c r="M159" s="21">
        <f>K159/پارامترها!$B$7</f>
        <v>64.911958073797834</v>
      </c>
      <c r="N159" s="21">
        <v>18.82</v>
      </c>
      <c r="O159" s="21">
        <f>N159*پارامترها!$B$6*پارامترها!$B$16</f>
        <v>42.344999999999999</v>
      </c>
      <c r="P159" s="21">
        <f>O159*12/G159*100</f>
        <v>90.430054491075069</v>
      </c>
      <c r="Q159" s="21">
        <f>O159*12/(پارامترها!$B$5/1000000)*100</f>
        <v>52.205270457697637</v>
      </c>
      <c r="R159" s="3" t="str">
        <f t="shared" si="7"/>
        <v>فشار شدید</v>
      </c>
      <c r="S159" s="21">
        <f>(1-NORMSDIST((LN(O159*12*1000000/پارامترها!$B$8)-پارامترها!$B$15)/پارامترها!$B$14))*100</f>
        <v>14.626104493293479</v>
      </c>
      <c r="T159" s="21">
        <f>(1-NORMSDIST((LN(I159*1000000/5)-پارامترها!$B$15)/پارامترها!$B$14))*100</f>
        <v>9.7569805291336635</v>
      </c>
      <c r="U159" s="21">
        <f>MIN(100,پارامترها!$B$9/1000000/I159*100)</f>
        <v>18.277358921635823</v>
      </c>
      <c r="V159" s="19">
        <f>MAX(0,I159-پارامترها!$B$9/1000000)</f>
        <v>8942.5</v>
      </c>
      <c r="W159" s="21">
        <f>V159/(G159*پارامترها!$B$7)</f>
        <v>53.047766513588044</v>
      </c>
      <c r="X159" s="21">
        <f>پارامترها!$B$12/1000000/(G159/12)*100</f>
        <v>86.009970112134667</v>
      </c>
      <c r="Y159" s="21">
        <f>ROUND(50*MIN(1,3/K159)+50*MIN(1,30/P159),1)</f>
        <v>24.3</v>
      </c>
      <c r="Z159" s="3">
        <f t="shared" si="8"/>
        <v>344</v>
      </c>
      <c r="AA159" s="19">
        <v>82</v>
      </c>
      <c r="AB159" s="19">
        <v>86</v>
      </c>
      <c r="AC159" s="3" t="s">
        <v>83</v>
      </c>
      <c r="AD159" s="3" t="s">
        <v>84</v>
      </c>
      <c r="AE159" s="3" t="s">
        <v>296</v>
      </c>
      <c r="AF159" s="23" t="s">
        <v>85</v>
      </c>
    </row>
    <row r="160" spans="1:32" x14ac:dyDescent="0.2">
      <c r="A160" s="3">
        <v>159</v>
      </c>
      <c r="B160" s="3">
        <v>9</v>
      </c>
      <c r="C160" s="3" t="s">
        <v>297</v>
      </c>
      <c r="D160" s="19">
        <v>23672</v>
      </c>
      <c r="E160" s="19">
        <f>ROUND(D160/INDEX(مناطق!$D$2:$D$23,B160),0)</f>
        <v>7838</v>
      </c>
      <c r="F160" s="20">
        <v>0.57489999999999997</v>
      </c>
      <c r="G160" s="19">
        <f>پارامترها!$B$5*F160/1000000</f>
        <v>559.57891500000005</v>
      </c>
      <c r="H160" s="21">
        <v>145.4</v>
      </c>
      <c r="I160" s="19">
        <f>H160*پارامترها!$B$6</f>
        <v>10905</v>
      </c>
      <c r="J160" s="22">
        <v>60</v>
      </c>
      <c r="K160" s="21">
        <f t="shared" si="6"/>
        <v>19.487867944416738</v>
      </c>
      <c r="L160" s="21">
        <f>I160/(پارامترها!$B$5/1000000)</f>
        <v>11.203575281245183</v>
      </c>
      <c r="M160" s="21">
        <f>K160/پارامترها!$B$7</f>
        <v>64.959559814722468</v>
      </c>
      <c r="N160" s="21">
        <v>15.79</v>
      </c>
      <c r="O160" s="21">
        <f>N160*پارامترها!$B$6*پارامترها!$B$16</f>
        <v>35.527499999999996</v>
      </c>
      <c r="P160" s="21">
        <f>O160*12/G160*100</f>
        <v>76.187645490538173</v>
      </c>
      <c r="Q160" s="21">
        <f>O160*12/(پارامترها!$B$5/1000000)*100</f>
        <v>43.800277392510388</v>
      </c>
      <c r="R160" s="3" t="str">
        <f t="shared" si="7"/>
        <v>فشار شدید</v>
      </c>
      <c r="S160" s="21">
        <f>(1-NORMSDIST((LN(O160*12*1000000/پارامترها!$B$8)-پارامترها!$B$15)/پارامترها!$B$14))*100</f>
        <v>18.775788898570987</v>
      </c>
      <c r="T160" s="21">
        <f>(1-NORMSDIST((LN(I160*1000000/5)-پارامترها!$B$15)/پارامترها!$B$14))*100</f>
        <v>9.8131939734758866</v>
      </c>
      <c r="U160" s="21">
        <f>MIN(100,پارامترها!$B$9/1000000/I160*100)</f>
        <v>18.340210912425491</v>
      </c>
      <c r="V160" s="19">
        <f>MAX(0,I160-پارامترها!$B$9/1000000)</f>
        <v>8905</v>
      </c>
      <c r="W160" s="21">
        <f>V160/(G160*پارامترها!$B$7)</f>
        <v>53.045839536919168</v>
      </c>
      <c r="X160" s="21">
        <f>پارامترها!$B$12/1000000/(G160/12)*100</f>
        <v>86.369030693573407</v>
      </c>
      <c r="Y160" s="21">
        <f>ROUND(50*MIN(1,3/K160)+50*MIN(1,30/P160),1)</f>
        <v>27.4</v>
      </c>
      <c r="Z160" s="3">
        <f t="shared" si="8"/>
        <v>278</v>
      </c>
      <c r="AA160" s="19">
        <v>78</v>
      </c>
      <c r="AB160" s="19">
        <v>46</v>
      </c>
      <c r="AC160" s="3" t="s">
        <v>83</v>
      </c>
      <c r="AD160" s="3" t="s">
        <v>84</v>
      </c>
      <c r="AE160" s="3" t="s">
        <v>297</v>
      </c>
      <c r="AF160" s="23" t="s">
        <v>85</v>
      </c>
    </row>
    <row r="161" spans="1:32" x14ac:dyDescent="0.2">
      <c r="A161" s="3">
        <v>160</v>
      </c>
      <c r="B161" s="3">
        <v>10</v>
      </c>
      <c r="C161" s="3" t="s">
        <v>298</v>
      </c>
      <c r="D161" s="19">
        <v>26220</v>
      </c>
      <c r="E161" s="19">
        <f>ROUND(D161/INDEX(مناطق!$D$2:$D$23,B161),0)</f>
        <v>9411</v>
      </c>
      <c r="F161" s="20">
        <v>0.625</v>
      </c>
      <c r="G161" s="19">
        <f>پارامترها!$B$5*F161/1000000</f>
        <v>608.34375000000011</v>
      </c>
      <c r="H161" s="21">
        <v>170.3</v>
      </c>
      <c r="I161" s="19">
        <f>H161*پارامترها!$B$6</f>
        <v>12772.5</v>
      </c>
      <c r="J161" s="22">
        <v>58</v>
      </c>
      <c r="K161" s="21">
        <f t="shared" si="6"/>
        <v>20.995530898443516</v>
      </c>
      <c r="L161" s="21">
        <f>I161/(پارامترها!$B$5/1000000)</f>
        <v>13.122206811527198</v>
      </c>
      <c r="M161" s="21">
        <f>K161/پارامترها!$B$7</f>
        <v>69.985102994811726</v>
      </c>
      <c r="N161" s="21">
        <v>18.690000000000001</v>
      </c>
      <c r="O161" s="21">
        <f>N161*پارامترها!$B$6*پارامترها!$B$16</f>
        <v>42.052500000000002</v>
      </c>
      <c r="P161" s="21">
        <f>O161*12/G161*100</f>
        <v>82.951456310679589</v>
      </c>
      <c r="Q161" s="21">
        <f>O161*12/(پارامترها!$B$5/1000000)*100</f>
        <v>51.84466019417475</v>
      </c>
      <c r="R161" s="3" t="str">
        <f t="shared" si="7"/>
        <v>فشار شدید</v>
      </c>
      <c r="S161" s="21">
        <f>(1-NORMSDIST((LN(O161*12*1000000/پارامترها!$B$8)-پارامترها!$B$15)/پارامترها!$B$14))*100</f>
        <v>14.777270690297485</v>
      </c>
      <c r="T161" s="21">
        <f>(1-NORMSDIST((LN(I161*1000000/5)-پارامترها!$B$15)/پارامترها!$B$14))*100</f>
        <v>7.4633763661775765</v>
      </c>
      <c r="U161" s="21">
        <f>MIN(100,پارامترها!$B$9/1000000/I161*100)</f>
        <v>15.658641612840086</v>
      </c>
      <c r="V161" s="19">
        <f>MAX(0,I161-پارامترها!$B$9/1000000)</f>
        <v>10772.5</v>
      </c>
      <c r="W161" s="21">
        <f>V161/(G161*پارامترها!$B$7)</f>
        <v>59.026386534477133</v>
      </c>
      <c r="X161" s="21">
        <f>پارامترها!$B$12/1000000/(G161/12)*100</f>
        <v>79.445689193176548</v>
      </c>
      <c r="Y161" s="21">
        <f>ROUND(50*MIN(1,3/K161)+50*MIN(1,30/P161),1)</f>
        <v>25.2</v>
      </c>
      <c r="Z161" s="3">
        <f t="shared" si="8"/>
        <v>328</v>
      </c>
      <c r="AA161" s="19">
        <v>92</v>
      </c>
      <c r="AB161" s="19">
        <v>82</v>
      </c>
      <c r="AC161" s="3" t="s">
        <v>83</v>
      </c>
      <c r="AD161" s="3" t="s">
        <v>84</v>
      </c>
      <c r="AE161" s="3" t="s">
        <v>298</v>
      </c>
      <c r="AF161" s="23" t="s">
        <v>85</v>
      </c>
    </row>
    <row r="162" spans="1:32" x14ac:dyDescent="0.2">
      <c r="A162" s="3">
        <v>161</v>
      </c>
      <c r="B162" s="3">
        <v>10</v>
      </c>
      <c r="C162" s="3" t="s">
        <v>299</v>
      </c>
      <c r="D162" s="19">
        <v>37586</v>
      </c>
      <c r="E162" s="19">
        <f>ROUND(D162/INDEX(مناطق!$D$2:$D$23,B162),0)</f>
        <v>13490</v>
      </c>
      <c r="F162" s="20">
        <v>0.61370000000000002</v>
      </c>
      <c r="G162" s="19">
        <f>پارامترها!$B$5*F162/1000000</f>
        <v>597.34489500000007</v>
      </c>
      <c r="H162" s="21">
        <v>167.4</v>
      </c>
      <c r="I162" s="19">
        <f>H162*پارامترها!$B$6</f>
        <v>12555</v>
      </c>
      <c r="J162" s="22">
        <v>53</v>
      </c>
      <c r="K162" s="21">
        <f t="shared" si="6"/>
        <v>21.018008365167326</v>
      </c>
      <c r="L162" s="21">
        <f>I162/(پارامترها!$B$5/1000000)</f>
        <v>12.898751733703188</v>
      </c>
      <c r="M162" s="21">
        <f>K162/پارامترها!$B$7</f>
        <v>70.060027883891095</v>
      </c>
      <c r="N162" s="21">
        <v>17.68</v>
      </c>
      <c r="O162" s="21">
        <f>N162*پارامترها!$B$6*پارامترها!$B$16</f>
        <v>39.78</v>
      </c>
      <c r="P162" s="21">
        <f>O162*12/G162*100</f>
        <v>79.913631805625457</v>
      </c>
      <c r="Q162" s="21">
        <f>O162*12/(پارامترها!$B$5/1000000)*100</f>
        <v>49.042995839112344</v>
      </c>
      <c r="R162" s="3" t="str">
        <f t="shared" si="7"/>
        <v>فشار شدید</v>
      </c>
      <c r="S162" s="21">
        <f>(1-NORMSDIST((LN(O162*12*1000000/پارامترها!$B$8)-پارامترها!$B$15)/پارامترها!$B$14))*100</f>
        <v>16.026538138605328</v>
      </c>
      <c r="T162" s="21">
        <f>(1-NORMSDIST((LN(I162*1000000/5)-پارامترها!$B$15)/پارامترها!$B$14))*100</f>
        <v>7.695710384666854</v>
      </c>
      <c r="U162" s="21">
        <f>MIN(100,پارامترها!$B$9/1000000/I162*100)</f>
        <v>15.929908403026683</v>
      </c>
      <c r="V162" s="19">
        <f>MAX(0,I162-پارامترها!$B$9/1000000)</f>
        <v>10555</v>
      </c>
      <c r="W162" s="21">
        <f>V162/(G162*پارامترها!$B$7)</f>
        <v>58.899529614852291</v>
      </c>
      <c r="X162" s="21">
        <f>پارامترها!$B$12/1000000/(G162/12)*100</f>
        <v>80.908515147034947</v>
      </c>
      <c r="Y162" s="21">
        <f>ROUND(50*MIN(1,3/K162)+50*MIN(1,30/P162),1)</f>
        <v>25.9</v>
      </c>
      <c r="Z162" s="3">
        <f t="shared" si="8"/>
        <v>311</v>
      </c>
      <c r="AA162" s="19">
        <v>93</v>
      </c>
      <c r="AB162" s="19">
        <v>85</v>
      </c>
      <c r="AC162" s="3" t="s">
        <v>83</v>
      </c>
      <c r="AD162" s="3" t="s">
        <v>84</v>
      </c>
      <c r="AE162" s="3" t="s">
        <v>299</v>
      </c>
      <c r="AF162" s="23" t="s">
        <v>85</v>
      </c>
    </row>
    <row r="163" spans="1:32" x14ac:dyDescent="0.2">
      <c r="A163" s="3">
        <v>162</v>
      </c>
      <c r="B163" s="3">
        <v>10</v>
      </c>
      <c r="C163" s="3" t="s">
        <v>300</v>
      </c>
      <c r="D163" s="19">
        <v>37828</v>
      </c>
      <c r="E163" s="19">
        <f>ROUND(D163/INDEX(مناطق!$D$2:$D$23,B163),0)</f>
        <v>13577</v>
      </c>
      <c r="F163" s="20">
        <v>0.58240000000000003</v>
      </c>
      <c r="G163" s="19">
        <f>پارامترها!$B$5*F163/1000000</f>
        <v>566.87904000000015</v>
      </c>
      <c r="H163" s="21">
        <v>159.1</v>
      </c>
      <c r="I163" s="19">
        <f>H163*پارامترها!$B$6</f>
        <v>11932.5</v>
      </c>
      <c r="J163" s="22">
        <v>55</v>
      </c>
      <c r="K163" s="21">
        <f t="shared" si="6"/>
        <v>21.049464097314299</v>
      </c>
      <c r="L163" s="21">
        <f>I163/(پارامترها!$B$5/1000000)</f>
        <v>12.259207890275849</v>
      </c>
      <c r="M163" s="21">
        <f>K163/پارامترها!$B$7</f>
        <v>70.164880324381002</v>
      </c>
      <c r="N163" s="21">
        <v>17.98</v>
      </c>
      <c r="O163" s="21">
        <f>N163*پارامترها!$B$6*پارامترها!$B$16</f>
        <v>40.454999999999998</v>
      </c>
      <c r="P163" s="21">
        <f>O163*12/G163*100</f>
        <v>85.637316913322437</v>
      </c>
      <c r="Q163" s="21">
        <f>O163*12/(پارامترها!$B$5/1000000)*100</f>
        <v>49.87517337031899</v>
      </c>
      <c r="R163" s="3" t="str">
        <f t="shared" si="7"/>
        <v>فشار شدید</v>
      </c>
      <c r="S163" s="21">
        <f>(1-NORMSDIST((LN(O163*12*1000000/پارامترها!$B$8)-پارامترها!$B$15)/پارامترها!$B$14))*100</f>
        <v>15.641086150475502</v>
      </c>
      <c r="T163" s="21">
        <f>(1-NORMSDIST((LN(I163*1000000/5)-پارامترها!$B$15)/پارامترها!$B$14))*100</f>
        <v>8.4158473744199149</v>
      </c>
      <c r="U163" s="21">
        <f>MIN(100,پارامترها!$B$9/1000000/I163*100)</f>
        <v>16.760946993505133</v>
      </c>
      <c r="V163" s="19">
        <f>MAX(0,I163-پارامترها!$B$9/1000000)</f>
        <v>9932.5</v>
      </c>
      <c r="W163" s="21">
        <f>V163/(G163*پارامترها!$B$7)</f>
        <v>58.404581925155192</v>
      </c>
      <c r="X163" s="21">
        <f>پارامترها!$B$12/1000000/(G163/12)*100</f>
        <v>85.256792145836769</v>
      </c>
      <c r="Y163" s="21">
        <f>ROUND(50*MIN(1,3/K163)+50*MIN(1,30/P163),1)</f>
        <v>24.6</v>
      </c>
      <c r="Z163" s="3">
        <f t="shared" si="8"/>
        <v>340</v>
      </c>
      <c r="AA163" s="19">
        <v>88</v>
      </c>
      <c r="AB163" s="19">
        <v>89</v>
      </c>
      <c r="AC163" s="3" t="s">
        <v>83</v>
      </c>
      <c r="AD163" s="3" t="s">
        <v>84</v>
      </c>
      <c r="AE163" s="3" t="s">
        <v>300</v>
      </c>
      <c r="AF163" s="23" t="s">
        <v>85</v>
      </c>
    </row>
    <row r="164" spans="1:32" ht="16.5" x14ac:dyDescent="0.3">
      <c r="A164" s="3">
        <v>163</v>
      </c>
      <c r="B164" s="3">
        <v>10</v>
      </c>
      <c r="C164" s="3" t="s">
        <v>301</v>
      </c>
      <c r="D164" s="19">
        <v>35984</v>
      </c>
      <c r="E164" s="19">
        <f>ROUND(D164/INDEX(مناطق!$D$2:$D$23,B164),0)</f>
        <v>12915</v>
      </c>
      <c r="F164" s="20">
        <v>0.58240000000000003</v>
      </c>
      <c r="G164" s="19">
        <f>پارامترها!$B$5*F164/1000000</f>
        <v>566.87904000000015</v>
      </c>
      <c r="H164" s="21">
        <v>159.1</v>
      </c>
      <c r="I164" s="19">
        <f>H164*پارامترها!$B$6</f>
        <v>11932.5</v>
      </c>
      <c r="J164" s="22">
        <v>55</v>
      </c>
      <c r="K164" s="21">
        <f t="shared" si="6"/>
        <v>21.049464097314299</v>
      </c>
      <c r="L164" s="21">
        <f>I164/(پارامترها!$B$5/1000000)</f>
        <v>12.259207890275849</v>
      </c>
      <c r="M164" s="21">
        <f>K164/پارامترها!$B$7</f>
        <v>70.164880324381002</v>
      </c>
      <c r="N164" s="21">
        <v>17.98</v>
      </c>
      <c r="O164" s="21">
        <f>N164*پارامترها!$B$6*پارامترها!$B$16</f>
        <v>40.454999999999998</v>
      </c>
      <c r="P164" s="21">
        <f>O164*12/G164*100</f>
        <v>85.637316913322437</v>
      </c>
      <c r="Q164" s="21">
        <f>O164*12/(پارامترها!$B$5/1000000)*100</f>
        <v>49.87517337031899</v>
      </c>
      <c r="R164" s="3" t="str">
        <f t="shared" si="7"/>
        <v>فشار شدید</v>
      </c>
      <c r="S164" s="21">
        <f>(1-NORMSDIST((LN(O164*12*1000000/پارامترها!$B$8)-پارامترها!$B$15)/پارامترها!$B$14))*100</f>
        <v>15.641086150475502</v>
      </c>
      <c r="T164" s="21">
        <f>(1-NORMSDIST((LN(I164*1000000/5)-پارامترها!$B$15)/پارامترها!$B$14))*100</f>
        <v>8.4158473744199149</v>
      </c>
      <c r="U164" s="21">
        <f>MIN(100,پارامترها!$B$9/1000000/I164*100)</f>
        <v>16.760946993505133</v>
      </c>
      <c r="V164" s="19">
        <f>MAX(0,I164-پارامترها!$B$9/1000000)</f>
        <v>9932.5</v>
      </c>
      <c r="W164" s="21">
        <f>V164/(G164*پارامترها!$B$7)</f>
        <v>58.404581925155192</v>
      </c>
      <c r="X164" s="21">
        <f>پارامترها!$B$12/1000000/(G164/12)*100</f>
        <v>85.256792145836769</v>
      </c>
      <c r="Y164" s="21">
        <f>ROUND(50*MIN(1,3/K164)+50*MIN(1,30/P164),1)</f>
        <v>24.6</v>
      </c>
      <c r="Z164" s="3">
        <f t="shared" si="8"/>
        <v>340</v>
      </c>
      <c r="AA164" s="19">
        <v>88</v>
      </c>
      <c r="AB164" s="19">
        <v>89</v>
      </c>
      <c r="AC164" s="3" t="s">
        <v>83</v>
      </c>
      <c r="AD164" s="3" t="s">
        <v>146</v>
      </c>
      <c r="AE164" s="3" t="s">
        <v>300</v>
      </c>
      <c r="AF164" s="23" t="s">
        <v>90</v>
      </c>
    </row>
    <row r="165" spans="1:32" ht="16.5" x14ac:dyDescent="0.3">
      <c r="A165" s="3">
        <v>164</v>
      </c>
      <c r="B165" s="3">
        <v>10</v>
      </c>
      <c r="C165" s="3" t="s">
        <v>302</v>
      </c>
      <c r="D165" s="19">
        <v>27968</v>
      </c>
      <c r="E165" s="19">
        <f>ROUND(D165/INDEX(مناطق!$D$2:$D$23,B165),0)</f>
        <v>10038</v>
      </c>
      <c r="F165" s="20">
        <v>0.56089999999999995</v>
      </c>
      <c r="G165" s="19">
        <f>پارامترها!$B$5*F165/1000000</f>
        <v>545.95201499999996</v>
      </c>
      <c r="H165" s="21">
        <v>153.4</v>
      </c>
      <c r="I165" s="19">
        <f>H165*پارامترها!$B$6</f>
        <v>11505</v>
      </c>
      <c r="J165" s="22"/>
      <c r="K165" s="21">
        <f t="shared" si="6"/>
        <v>21.073280588587995</v>
      </c>
      <c r="L165" s="21">
        <f>I165/(پارامترها!$B$5/1000000)</f>
        <v>11.820003082139003</v>
      </c>
      <c r="M165" s="21">
        <f>K165/پارامترها!$B$7</f>
        <v>70.244268628626656</v>
      </c>
      <c r="N165" s="21">
        <v>15.1</v>
      </c>
      <c r="O165" s="21">
        <f>N165*پارامترها!$B$6*پارامترها!$B$16</f>
        <v>33.975000000000001</v>
      </c>
      <c r="P165" s="21">
        <f>O165*12/G165*100</f>
        <v>74.676892620315741</v>
      </c>
      <c r="Q165" s="21">
        <f>O165*12/(پارامترها!$B$5/1000000)*100</f>
        <v>41.886269070735089</v>
      </c>
      <c r="R165" s="3" t="str">
        <f t="shared" si="7"/>
        <v>فشار شدید</v>
      </c>
      <c r="S165" s="21">
        <f>(1-NORMSDIST((LN(O165*12*1000000/پارامترها!$B$8)-پارامترها!$B$15)/پارامترها!$B$14))*100</f>
        <v>19.938221763571605</v>
      </c>
      <c r="T165" s="21">
        <f>(1-NORMSDIST((LN(I165*1000000/5)-پارامترها!$B$15)/پارامترها!$B$14))*100</f>
        <v>8.962872304844149</v>
      </c>
      <c r="U165" s="21">
        <f>MIN(100,پارامترها!$B$9/1000000/I165*100)</f>
        <v>17.38374619730552</v>
      </c>
      <c r="V165" s="19">
        <f>MAX(0,I165-پارامترها!$B$9/1000000)</f>
        <v>9505</v>
      </c>
      <c r="W165" s="21">
        <f>V165/(G165*پارامترها!$B$7)</f>
        <v>58.033183252072689</v>
      </c>
      <c r="X165" s="21">
        <f>پارامترها!$B$12/1000000/(G165/12)*100</f>
        <v>88.524791844776871</v>
      </c>
      <c r="Y165" s="21">
        <f>ROUND(50*MIN(1,3/K165)+50*MIN(1,30/P165),1)</f>
        <v>27.2</v>
      </c>
      <c r="Z165" s="3">
        <f t="shared" si="8"/>
        <v>282</v>
      </c>
      <c r="AA165" s="19">
        <v>0</v>
      </c>
      <c r="AB165" s="19">
        <v>0</v>
      </c>
      <c r="AC165" s="3" t="s">
        <v>103</v>
      </c>
      <c r="AD165" s="3" t="s">
        <v>104</v>
      </c>
      <c r="AE165" s="23" t="s">
        <v>105</v>
      </c>
      <c r="AF165" s="23" t="s">
        <v>106</v>
      </c>
    </row>
    <row r="166" spans="1:32" ht="16.5" x14ac:dyDescent="0.3">
      <c r="A166" s="3">
        <v>165</v>
      </c>
      <c r="B166" s="3">
        <v>10</v>
      </c>
      <c r="C166" s="3" t="s">
        <v>303</v>
      </c>
      <c r="D166" s="19">
        <v>27148</v>
      </c>
      <c r="E166" s="19">
        <f>ROUND(D166/INDEX(مناطق!$D$2:$D$23,B166),0)</f>
        <v>9744</v>
      </c>
      <c r="F166" s="20">
        <v>0.56089999999999995</v>
      </c>
      <c r="G166" s="19">
        <f>پارامترها!$B$5*F166/1000000</f>
        <v>545.95201499999996</v>
      </c>
      <c r="H166" s="21">
        <v>153.4</v>
      </c>
      <c r="I166" s="19">
        <f>H166*پارامترها!$B$6</f>
        <v>11505</v>
      </c>
      <c r="J166" s="22"/>
      <c r="K166" s="21">
        <f t="shared" si="6"/>
        <v>21.073280588587995</v>
      </c>
      <c r="L166" s="21">
        <f>I166/(پارامترها!$B$5/1000000)</f>
        <v>11.820003082139003</v>
      </c>
      <c r="M166" s="21">
        <f>K166/پارامترها!$B$7</f>
        <v>70.244268628626656</v>
      </c>
      <c r="N166" s="21">
        <v>15.1</v>
      </c>
      <c r="O166" s="21">
        <f>N166*پارامترها!$B$6*پارامترها!$B$16</f>
        <v>33.975000000000001</v>
      </c>
      <c r="P166" s="21">
        <f>O166*12/G166*100</f>
        <v>74.676892620315741</v>
      </c>
      <c r="Q166" s="21">
        <f>O166*12/(پارامترها!$B$5/1000000)*100</f>
        <v>41.886269070735089</v>
      </c>
      <c r="R166" s="3" t="str">
        <f t="shared" si="7"/>
        <v>فشار شدید</v>
      </c>
      <c r="S166" s="21">
        <f>(1-NORMSDIST((LN(O166*12*1000000/پارامترها!$B$8)-پارامترها!$B$15)/پارامترها!$B$14))*100</f>
        <v>19.938221763571605</v>
      </c>
      <c r="T166" s="21">
        <f>(1-NORMSDIST((LN(I166*1000000/5)-پارامترها!$B$15)/پارامترها!$B$14))*100</f>
        <v>8.962872304844149</v>
      </c>
      <c r="U166" s="21">
        <f>MIN(100,پارامترها!$B$9/1000000/I166*100)</f>
        <v>17.38374619730552</v>
      </c>
      <c r="V166" s="19">
        <f>MAX(0,I166-پارامترها!$B$9/1000000)</f>
        <v>9505</v>
      </c>
      <c r="W166" s="21">
        <f>V166/(G166*پارامترها!$B$7)</f>
        <v>58.033183252072689</v>
      </c>
      <c r="X166" s="21">
        <f>پارامترها!$B$12/1000000/(G166/12)*100</f>
        <v>88.524791844776871</v>
      </c>
      <c r="Y166" s="21">
        <f>ROUND(50*MIN(1,3/K166)+50*MIN(1,30/P166),1)</f>
        <v>27.2</v>
      </c>
      <c r="Z166" s="3">
        <f t="shared" si="8"/>
        <v>282</v>
      </c>
      <c r="AA166" s="19">
        <v>0</v>
      </c>
      <c r="AB166" s="19">
        <v>0</v>
      </c>
      <c r="AC166" s="3" t="s">
        <v>103</v>
      </c>
      <c r="AD166" s="3" t="s">
        <v>104</v>
      </c>
      <c r="AE166" s="23" t="s">
        <v>105</v>
      </c>
      <c r="AF166" s="23" t="s">
        <v>106</v>
      </c>
    </row>
    <row r="167" spans="1:32" x14ac:dyDescent="0.2">
      <c r="A167" s="3">
        <v>166</v>
      </c>
      <c r="B167" s="3">
        <v>10</v>
      </c>
      <c r="C167" s="3" t="s">
        <v>304</v>
      </c>
      <c r="D167" s="19">
        <v>38560</v>
      </c>
      <c r="E167" s="19">
        <f>ROUND(D167/INDEX(مناطق!$D$2:$D$23,B167),0)</f>
        <v>13840</v>
      </c>
      <c r="F167" s="20">
        <v>0.54720000000000002</v>
      </c>
      <c r="G167" s="19">
        <f>پارامترها!$B$5*F167/1000000</f>
        <v>532.61712000000011</v>
      </c>
      <c r="H167" s="21">
        <v>149.80000000000001</v>
      </c>
      <c r="I167" s="19">
        <f>H167*پارامترها!$B$6</f>
        <v>11235</v>
      </c>
      <c r="J167" s="22">
        <v>52.5</v>
      </c>
      <c r="K167" s="21">
        <f t="shared" si="6"/>
        <v>21.093952068232426</v>
      </c>
      <c r="L167" s="21">
        <f>I167/(پارامترها!$B$5/1000000)</f>
        <v>11.542610571736784</v>
      </c>
      <c r="M167" s="21">
        <f>K167/پارامترها!$B$7</f>
        <v>70.313173560774757</v>
      </c>
      <c r="N167" s="21">
        <v>15.3</v>
      </c>
      <c r="O167" s="21">
        <f>N167*پارامترها!$B$6*پارامترها!$B$16</f>
        <v>34.424999999999997</v>
      </c>
      <c r="P167" s="21">
        <f>O167*12/G167*100</f>
        <v>77.560405869041517</v>
      </c>
      <c r="Q167" s="21">
        <f>O167*12/(پارامترها!$B$5/1000000)*100</f>
        <v>42.44105409153952</v>
      </c>
      <c r="R167" s="3" t="str">
        <f t="shared" si="7"/>
        <v>فشار شدید</v>
      </c>
      <c r="S167" s="21">
        <f>(1-NORMSDIST((LN(O167*12*1000000/پارامترها!$B$8)-پارامترها!$B$15)/پارامترها!$B$14))*100</f>
        <v>19.591485345310723</v>
      </c>
      <c r="T167" s="21">
        <f>(1-NORMSDIST((LN(I167*1000000/5)-پارامترها!$B$15)/پارامترها!$B$14))*100</f>
        <v>9.3328764153906114</v>
      </c>
      <c r="U167" s="21">
        <f>MIN(100,پارامترها!$B$9/1000000/I167*100)</f>
        <v>17.80151312861593</v>
      </c>
      <c r="V167" s="19">
        <f>MAX(0,I167-پارامترها!$B$9/1000000)</f>
        <v>9235</v>
      </c>
      <c r="W167" s="21">
        <f>V167/(G167*پارامترها!$B$7)</f>
        <v>57.796364738206933</v>
      </c>
      <c r="X167" s="21">
        <f>پارامترها!$B$12/1000000/(G167/12)*100</f>
        <v>90.741147196153761</v>
      </c>
      <c r="Y167" s="21">
        <f>ROUND(50*MIN(1,3/K167)+50*MIN(1,30/P167),1)</f>
        <v>26.5</v>
      </c>
      <c r="Z167" s="3">
        <f t="shared" si="8"/>
        <v>300</v>
      </c>
      <c r="AA167" s="19">
        <v>92</v>
      </c>
      <c r="AB167" s="19">
        <v>94</v>
      </c>
      <c r="AC167" s="3" t="s">
        <v>83</v>
      </c>
      <c r="AD167" s="3" t="s">
        <v>84</v>
      </c>
      <c r="AE167" s="3" t="s">
        <v>304</v>
      </c>
      <c r="AF167" s="23" t="s">
        <v>85</v>
      </c>
    </row>
    <row r="168" spans="1:32" ht="16.5" x14ac:dyDescent="0.3">
      <c r="A168" s="3">
        <v>167</v>
      </c>
      <c r="B168" s="3">
        <v>10</v>
      </c>
      <c r="C168" s="3" t="s">
        <v>305</v>
      </c>
      <c r="D168" s="19">
        <v>44543</v>
      </c>
      <c r="E168" s="19">
        <f>ROUND(D168/INDEX(مناطق!$D$2:$D$23,B168),0)</f>
        <v>15987</v>
      </c>
      <c r="F168" s="20">
        <v>0.52869999999999995</v>
      </c>
      <c r="G168" s="19">
        <f>پارامترها!$B$5*F168/1000000</f>
        <v>514.61014499999999</v>
      </c>
      <c r="H168" s="21">
        <v>144.9</v>
      </c>
      <c r="I168" s="19">
        <f>H168*پارامترها!$B$6</f>
        <v>10867.5</v>
      </c>
      <c r="J168" s="22">
        <v>53.5</v>
      </c>
      <c r="K168" s="21">
        <f t="shared" si="6"/>
        <v>21.117928019083262</v>
      </c>
      <c r="L168" s="21">
        <f>I168/(پارامترها!$B$5/1000000)</f>
        <v>11.165048543689318</v>
      </c>
      <c r="M168" s="21">
        <f>K168/پارامترها!$B$7</f>
        <v>70.393093396944209</v>
      </c>
      <c r="N168" s="21">
        <v>16.010000000000002</v>
      </c>
      <c r="O168" s="21">
        <f>N168*پارامترها!$B$6*پارامترها!$B$16</f>
        <v>36.022500000000008</v>
      </c>
      <c r="P168" s="21">
        <f>O168*12/G168*100</f>
        <v>83.999509959136176</v>
      </c>
      <c r="Q168" s="21">
        <f>O168*12/(پارامترها!$B$5/1000000)*100</f>
        <v>44.410540915395288</v>
      </c>
      <c r="R168" s="3" t="str">
        <f t="shared" si="7"/>
        <v>فشار شدید</v>
      </c>
      <c r="S168" s="21">
        <f>(1-NORMSDIST((LN(O168*12*1000000/پارامترها!$B$8)-پارامترها!$B$15)/پارامترها!$B$14))*100</f>
        <v>18.424481675636308</v>
      </c>
      <c r="T168" s="21">
        <f>(1-NORMSDIST((LN(I168*1000000/5)-پارامترها!$B$15)/پارامترها!$B$14))*100</f>
        <v>9.8698391900792881</v>
      </c>
      <c r="U168" s="21">
        <f>MIN(100,پارامترها!$B$9/1000000/I168*100)</f>
        <v>18.40349666436623</v>
      </c>
      <c r="V168" s="19">
        <f>MAX(0,I168-پارامترها!$B$9/1000000)</f>
        <v>8867.5</v>
      </c>
      <c r="W168" s="21">
        <f>V168/(G168*پارامترها!$B$7)</f>
        <v>57.438302801693382</v>
      </c>
      <c r="X168" s="21">
        <f>پارامترها!$B$12/1000000/(G168/12)*100</f>
        <v>93.916315009902306</v>
      </c>
      <c r="Y168" s="21">
        <f>ROUND(50*MIN(1,3/K168)+50*MIN(1,30/P168),1)</f>
        <v>25</v>
      </c>
      <c r="Z168" s="3">
        <f t="shared" si="8"/>
        <v>334</v>
      </c>
      <c r="AA168" s="19">
        <v>96</v>
      </c>
      <c r="AB168" s="19">
        <v>85</v>
      </c>
      <c r="AC168" s="3" t="s">
        <v>83</v>
      </c>
      <c r="AD168" s="3" t="s">
        <v>93</v>
      </c>
      <c r="AE168" s="3" t="s">
        <v>306</v>
      </c>
      <c r="AF168" s="23" t="s">
        <v>85</v>
      </c>
    </row>
    <row r="169" spans="1:32" ht="16.5" x14ac:dyDescent="0.3">
      <c r="A169" s="3">
        <v>168</v>
      </c>
      <c r="B169" s="3">
        <v>10</v>
      </c>
      <c r="C169" s="3" t="s">
        <v>307</v>
      </c>
      <c r="D169" s="19">
        <v>18763</v>
      </c>
      <c r="E169" s="19">
        <f>ROUND(D169/INDEX(مناطق!$D$2:$D$23,B169),0)</f>
        <v>6734</v>
      </c>
      <c r="F169" s="20">
        <v>0.5232</v>
      </c>
      <c r="G169" s="19">
        <f>پارامترها!$B$5*F169/1000000</f>
        <v>509.25672000000009</v>
      </c>
      <c r="H169" s="21">
        <v>143.5</v>
      </c>
      <c r="I169" s="19">
        <f>H169*پارامترها!$B$6</f>
        <v>10762.5</v>
      </c>
      <c r="J169" s="22">
        <v>63.5</v>
      </c>
      <c r="K169" s="21">
        <f t="shared" si="6"/>
        <v>21.133741740315177</v>
      </c>
      <c r="L169" s="21">
        <f>I169/(پارامترها!$B$5/1000000)</f>
        <v>11.0571736785329</v>
      </c>
      <c r="M169" s="21">
        <f>K169/پارامترها!$B$7</f>
        <v>70.445805801050597</v>
      </c>
      <c r="N169" s="21">
        <v>15.22</v>
      </c>
      <c r="O169" s="21">
        <f>N169*پارامترها!$B$6*پارامترها!$B$16</f>
        <v>34.244999999999997</v>
      </c>
      <c r="P169" s="21">
        <f>O169*12/G169*100</f>
        <v>80.694075082602708</v>
      </c>
      <c r="Q169" s="21">
        <f>O169*12/(پارامترها!$B$5/1000000)*100</f>
        <v>42.219140083217745</v>
      </c>
      <c r="R169" s="3" t="str">
        <f t="shared" si="7"/>
        <v>فشار شدید</v>
      </c>
      <c r="S169" s="21">
        <f>(1-NORMSDIST((LN(O169*12*1000000/پارامترها!$B$8)-پارامترها!$B$15)/پارامترها!$B$14))*100</f>
        <v>19.729192234241033</v>
      </c>
      <c r="T169" s="21">
        <f>(1-NORMSDIST((LN(I169*1000000/5)-پارامترها!$B$15)/پارامترها!$B$14))*100</f>
        <v>10.03077888567061</v>
      </c>
      <c r="U169" s="21">
        <f>MIN(100,پارامترها!$B$9/1000000/I169*100)</f>
        <v>18.583042973286876</v>
      </c>
      <c r="V169" s="19">
        <f>MAX(0,I169-پارامترها!$B$9/1000000)</f>
        <v>8762.5</v>
      </c>
      <c r="W169" s="21">
        <f>V169/(G169*پارامترها!$B$7)</f>
        <v>57.354831436163131</v>
      </c>
      <c r="X169" s="21">
        <f>پارامترها!$B$12/1000000/(G169/12)*100</f>
        <v>94.903585140931455</v>
      </c>
      <c r="Y169" s="21">
        <f>ROUND(50*MIN(1,3/K169)+50*MIN(1,30/P169),1)</f>
        <v>25.7</v>
      </c>
      <c r="Z169" s="3">
        <f t="shared" si="8"/>
        <v>313</v>
      </c>
      <c r="AA169" s="19">
        <v>94</v>
      </c>
      <c r="AB169" s="19">
        <v>78</v>
      </c>
      <c r="AC169" s="3" t="s">
        <v>83</v>
      </c>
      <c r="AD169" s="3" t="s">
        <v>93</v>
      </c>
      <c r="AE169" s="3" t="s">
        <v>308</v>
      </c>
      <c r="AF169" s="23" t="s">
        <v>85</v>
      </c>
    </row>
    <row r="170" spans="1:32" x14ac:dyDescent="0.2">
      <c r="A170" s="3">
        <v>169</v>
      </c>
      <c r="B170" s="3">
        <v>10</v>
      </c>
      <c r="C170" s="3" t="s">
        <v>309</v>
      </c>
      <c r="D170" s="19">
        <v>32285</v>
      </c>
      <c r="E170" s="19">
        <f>ROUND(D170/INDEX(مناطق!$D$2:$D$23,B170),0)</f>
        <v>11588</v>
      </c>
      <c r="F170" s="20">
        <v>0.49390000000000001</v>
      </c>
      <c r="G170" s="19">
        <f>پارامترها!$B$5*F170/1000000</f>
        <v>480.73756500000007</v>
      </c>
      <c r="H170" s="21">
        <v>135.69999999999999</v>
      </c>
      <c r="I170" s="19">
        <f>H170*پارامترها!$B$6</f>
        <v>10177.5</v>
      </c>
      <c r="J170" s="22">
        <v>59</v>
      </c>
      <c r="K170" s="21">
        <f t="shared" si="6"/>
        <v>21.170594396965836</v>
      </c>
      <c r="L170" s="21">
        <f>I170/(پارامترها!$B$5/1000000)</f>
        <v>10.456156572661426</v>
      </c>
      <c r="M170" s="21">
        <f>K170/پارامترها!$B$7</f>
        <v>70.568647989886117</v>
      </c>
      <c r="N170" s="21">
        <v>15.51</v>
      </c>
      <c r="O170" s="21">
        <f>N170*پارامترها!$B$6*پارامترها!$B$16</f>
        <v>34.897500000000001</v>
      </c>
      <c r="P170" s="21">
        <f>O170*12/G170*100</f>
        <v>87.109897475975259</v>
      </c>
      <c r="Q170" s="21">
        <f>O170*12/(پارامترها!$B$5/1000000)*100</f>
        <v>43.023578363384182</v>
      </c>
      <c r="R170" s="3" t="str">
        <f t="shared" si="7"/>
        <v>فشار شدید</v>
      </c>
      <c r="S170" s="21">
        <f>(1-NORMSDIST((LN(O170*12*1000000/پارامترها!$B$8)-پارامترها!$B$15)/پارامترها!$B$14))*100</f>
        <v>19.236142140561252</v>
      </c>
      <c r="T170" s="21">
        <f>(1-NORMSDIST((LN(I170*1000000/5)-پارامترها!$B$15)/پارامترها!$B$14))*100</f>
        <v>10.994566553351959</v>
      </c>
      <c r="U170" s="21">
        <f>MIN(100,پارامترها!$B$9/1000000/I170*100)</f>
        <v>19.651191353475806</v>
      </c>
      <c r="V170" s="19">
        <f>MAX(0,I170-پارامترها!$B$9/1000000)</f>
        <v>8177.5</v>
      </c>
      <c r="W170" s="21">
        <f>V170/(G170*پارامترها!$B$7)</f>
        <v>56.701067937832846</v>
      </c>
      <c r="X170" s="21">
        <f>پارامترها!$B$12/1000000/(G170/12)*100</f>
        <v>100.53362167591686</v>
      </c>
      <c r="Y170" s="21">
        <f>ROUND(50*MIN(1,3/K170)+50*MIN(1,30/P170),1)</f>
        <v>24.3</v>
      </c>
      <c r="Z170" s="3">
        <f t="shared" si="8"/>
        <v>344</v>
      </c>
      <c r="AA170" s="19">
        <v>85</v>
      </c>
      <c r="AB170" s="19">
        <v>83</v>
      </c>
      <c r="AC170" s="3" t="s">
        <v>83</v>
      </c>
      <c r="AD170" s="3" t="s">
        <v>84</v>
      </c>
      <c r="AE170" s="3" t="s">
        <v>309</v>
      </c>
      <c r="AF170" s="23" t="s">
        <v>85</v>
      </c>
    </row>
    <row r="171" spans="1:32" ht="16.5" x14ac:dyDescent="0.3">
      <c r="A171" s="3">
        <v>170</v>
      </c>
      <c r="B171" s="3">
        <v>11</v>
      </c>
      <c r="C171" s="3" t="s">
        <v>310</v>
      </c>
      <c r="D171" s="19">
        <v>12711</v>
      </c>
      <c r="E171" s="19">
        <f>ROUND(D171/INDEX(مناطق!$D$2:$D$23,B171),0)</f>
        <v>4445</v>
      </c>
      <c r="F171" s="20">
        <v>0.83540000000000003</v>
      </c>
      <c r="G171" s="19">
        <f>پارامترها!$B$5*F171/1000000</f>
        <v>813.13659000000007</v>
      </c>
      <c r="H171" s="21">
        <v>219.9</v>
      </c>
      <c r="I171" s="19">
        <f>H171*پارامترها!$B$6</f>
        <v>16492.5</v>
      </c>
      <c r="J171" s="22">
        <v>110</v>
      </c>
      <c r="K171" s="21">
        <f t="shared" si="6"/>
        <v>20.282570238291697</v>
      </c>
      <c r="L171" s="21">
        <f>I171/(پارامترها!$B$5/1000000)</f>
        <v>16.944059177068883</v>
      </c>
      <c r="M171" s="21">
        <f>K171/پارامترها!$B$7</f>
        <v>67.608567460972324</v>
      </c>
      <c r="N171" s="21">
        <v>27.7</v>
      </c>
      <c r="O171" s="21">
        <f>N171*پارامترها!$B$6*پارامترها!$B$16</f>
        <v>62.324999999999996</v>
      </c>
      <c r="P171" s="21">
        <f>O171*12/G171*100</f>
        <v>91.977167083330968</v>
      </c>
      <c r="Q171" s="21">
        <f>O171*12/(پارامترها!$B$5/1000000)*100</f>
        <v>76.837725381414685</v>
      </c>
      <c r="R171" s="3" t="str">
        <f t="shared" si="7"/>
        <v>فشار شدید</v>
      </c>
      <c r="S171" s="21">
        <f>(1-NORMSDIST((LN(O171*12*1000000/پارامترها!$B$8)-پارامترها!$B$15)/پارامترها!$B$14))*100</f>
        <v>7.7946460561947539</v>
      </c>
      <c r="T171" s="21">
        <f>(1-NORMSDIST((LN(I171*1000000/5)-پارامترها!$B$15)/پارامترها!$B$14))*100</f>
        <v>4.6047889777254936</v>
      </c>
      <c r="U171" s="21">
        <f>MIN(100,پارامترها!$B$9/1000000/I171*100)</f>
        <v>12.126724268606942</v>
      </c>
      <c r="V171" s="19">
        <f>MAX(0,I171-پارامترها!$B$9/1000000)</f>
        <v>14492.5</v>
      </c>
      <c r="W171" s="21">
        <f>V171/(G171*پارامترها!$B$7)</f>
        <v>59.4098629030251</v>
      </c>
      <c r="X171" s="21">
        <f>پارامترها!$B$12/1000000/(G171/12)*100</f>
        <v>59.436863473468208</v>
      </c>
      <c r="Y171" s="21">
        <f>ROUND(50*MIN(1,3/K171)+50*MIN(1,30/P171),1)</f>
        <v>23.7</v>
      </c>
      <c r="Z171" s="3">
        <f t="shared" si="8"/>
        <v>347</v>
      </c>
      <c r="AA171" s="19">
        <v>81</v>
      </c>
      <c r="AB171" s="19">
        <v>84</v>
      </c>
      <c r="AC171" s="3" t="s">
        <v>83</v>
      </c>
      <c r="AD171" s="3" t="s">
        <v>84</v>
      </c>
      <c r="AE171" s="3" t="s">
        <v>311</v>
      </c>
      <c r="AF171" s="23" t="s">
        <v>85</v>
      </c>
    </row>
    <row r="172" spans="1:32" x14ac:dyDescent="0.2">
      <c r="A172" s="3">
        <v>171</v>
      </c>
      <c r="B172" s="3">
        <v>11</v>
      </c>
      <c r="C172" s="3" t="s">
        <v>312</v>
      </c>
      <c r="D172" s="19">
        <v>12927</v>
      </c>
      <c r="E172" s="19">
        <f>ROUND(D172/INDEX(مناطق!$D$2:$D$23,B172),0)</f>
        <v>4520</v>
      </c>
      <c r="F172" s="20">
        <v>0.77959999999999996</v>
      </c>
      <c r="G172" s="19">
        <f>پارامترها!$B$5*F172/1000000</f>
        <v>758.82366000000002</v>
      </c>
      <c r="H172" s="21">
        <v>205.7</v>
      </c>
      <c r="I172" s="19">
        <f>H172*پارامترها!$B$6</f>
        <v>15427.5</v>
      </c>
      <c r="J172" s="22">
        <v>80</v>
      </c>
      <c r="K172" s="21">
        <f t="shared" si="6"/>
        <v>20.330810454697737</v>
      </c>
      <c r="L172" s="21">
        <f>I172/(پارامترها!$B$5/1000000)</f>
        <v>15.849899830482352</v>
      </c>
      <c r="M172" s="21">
        <f>K172/پارامترها!$B$7</f>
        <v>67.769368182325792</v>
      </c>
      <c r="N172" s="21">
        <v>20.14</v>
      </c>
      <c r="O172" s="21">
        <f>N172*پارامترها!$B$6*پارامترها!$B$16</f>
        <v>45.314999999999998</v>
      </c>
      <c r="P172" s="21">
        <f>O172*12/G172*100</f>
        <v>71.66091790021413</v>
      </c>
      <c r="Q172" s="21">
        <f>O172*12/(پارامترها!$B$5/1000000)*100</f>
        <v>55.866851595006928</v>
      </c>
      <c r="R172" s="3" t="str">
        <f t="shared" si="7"/>
        <v>فشار شدید</v>
      </c>
      <c r="S172" s="21">
        <f>(1-NORMSDIST((LN(O172*12*1000000/پارامترها!$B$8)-پارامترها!$B$15)/پارامترها!$B$14))*100</f>
        <v>13.202535397900627</v>
      </c>
      <c r="T172" s="21">
        <f>(1-NORMSDIST((LN(I172*1000000/5)-پارامترها!$B$15)/پارامترها!$B$14))*100</f>
        <v>5.2491524939778493</v>
      </c>
      <c r="U172" s="21">
        <f>MIN(100,پارامترها!$B$9/1000000/I172*100)</f>
        <v>12.963863231242911</v>
      </c>
      <c r="V172" s="19">
        <f>MAX(0,I172-پارامترها!$B$9/1000000)</f>
        <v>13427.5</v>
      </c>
      <c r="W172" s="21">
        <f>V172/(G172*پارامترها!$B$7)</f>
        <v>58.983839978491623</v>
      </c>
      <c r="X172" s="21">
        <f>پارامترها!$B$12/1000000/(G172/12)*100</f>
        <v>63.69106688780829</v>
      </c>
      <c r="Y172" s="21">
        <f>ROUND(50*MIN(1,3/K172)+50*MIN(1,30/P172),1)</f>
        <v>28.3</v>
      </c>
      <c r="Z172" s="3">
        <f t="shared" si="8"/>
        <v>245</v>
      </c>
      <c r="AA172" s="19">
        <v>90</v>
      </c>
      <c r="AB172" s="19">
        <v>81</v>
      </c>
      <c r="AC172" s="3" t="s">
        <v>83</v>
      </c>
      <c r="AD172" s="3" t="s">
        <v>84</v>
      </c>
      <c r="AE172" s="3" t="s">
        <v>312</v>
      </c>
      <c r="AF172" s="23" t="s">
        <v>85</v>
      </c>
    </row>
    <row r="173" spans="1:32" ht="16.5" x14ac:dyDescent="0.3">
      <c r="A173" s="3">
        <v>172</v>
      </c>
      <c r="B173" s="3">
        <v>11</v>
      </c>
      <c r="C173" s="3" t="s">
        <v>313</v>
      </c>
      <c r="D173" s="19">
        <v>12321</v>
      </c>
      <c r="E173" s="19">
        <f>ROUND(D173/INDEX(مناطق!$D$2:$D$23,B173),0)</f>
        <v>4308</v>
      </c>
      <c r="F173" s="20">
        <v>0.7752</v>
      </c>
      <c r="G173" s="19">
        <f>پارامترها!$B$5*F173/1000000</f>
        <v>754.54092000000014</v>
      </c>
      <c r="H173" s="21">
        <v>204.5</v>
      </c>
      <c r="I173" s="19">
        <f>H173*پارامترها!$B$6</f>
        <v>15337.5</v>
      </c>
      <c r="J173" s="22">
        <v>87</v>
      </c>
      <c r="K173" s="21">
        <f t="shared" si="6"/>
        <v>20.326929386414189</v>
      </c>
      <c r="L173" s="21">
        <f>I173/(پارامترها!$B$5/1000000)</f>
        <v>15.75743566034828</v>
      </c>
      <c r="M173" s="21">
        <f>K173/پارامترها!$B$7</f>
        <v>67.756431288047295</v>
      </c>
      <c r="N173" s="21">
        <v>23.82</v>
      </c>
      <c r="O173" s="21">
        <f>N173*پارامترها!$B$6*پارامترها!$B$16</f>
        <v>53.594999999999999</v>
      </c>
      <c r="P173" s="21">
        <f>O173*12/G173*100</f>
        <v>85.235933923901683</v>
      </c>
      <c r="Q173" s="21">
        <f>O173*12/(پارامترها!$B$5/1000000)*100</f>
        <v>66.074895977808595</v>
      </c>
      <c r="R173" s="3" t="str">
        <f t="shared" si="7"/>
        <v>فشار شدید</v>
      </c>
      <c r="S173" s="21">
        <f>(1-NORMSDIST((LN(O173*12*1000000/پارامترها!$B$8)-پارامترها!$B$15)/پارامترها!$B$14))*100</f>
        <v>10.098477540577932</v>
      </c>
      <c r="T173" s="21">
        <f>(1-NORMSDIST((LN(I173*1000000/5)-پارامترها!$B$15)/پارامترها!$B$14))*100</f>
        <v>5.3088823178715216</v>
      </c>
      <c r="U173" s="21">
        <f>MIN(100,پارامترها!$B$9/1000000/I173*100)</f>
        <v>13.039934800325998</v>
      </c>
      <c r="V173" s="19">
        <f>MAX(0,I173-پارامترها!$B$9/1000000)</f>
        <v>13337.5</v>
      </c>
      <c r="W173" s="21">
        <f>V173/(G173*پارامترها!$B$7)</f>
        <v>58.921036825058245</v>
      </c>
      <c r="X173" s="21">
        <f>پارامترها!$B$12/1000000/(G173/12)*100</f>
        <v>64.052574491402652</v>
      </c>
      <c r="Y173" s="21">
        <f>ROUND(50*MIN(1,3/K173)+50*MIN(1,30/P173),1)</f>
        <v>25</v>
      </c>
      <c r="Z173" s="3">
        <f t="shared" si="8"/>
        <v>334</v>
      </c>
      <c r="AA173" s="19">
        <v>89</v>
      </c>
      <c r="AB173" s="19">
        <v>67</v>
      </c>
      <c r="AC173" s="3" t="s">
        <v>83</v>
      </c>
      <c r="AD173" s="3" t="s">
        <v>93</v>
      </c>
      <c r="AE173" s="3" t="s">
        <v>314</v>
      </c>
      <c r="AF173" s="23" t="s">
        <v>85</v>
      </c>
    </row>
    <row r="174" spans="1:32" ht="16.5" x14ac:dyDescent="0.3">
      <c r="A174" s="3">
        <v>173</v>
      </c>
      <c r="B174" s="3">
        <v>11</v>
      </c>
      <c r="C174" s="3" t="s">
        <v>315</v>
      </c>
      <c r="D174" s="19">
        <v>12840</v>
      </c>
      <c r="E174" s="19">
        <f>ROUND(D174/INDEX(مناطق!$D$2:$D$23,B174),0)</f>
        <v>4490</v>
      </c>
      <c r="F174" s="20">
        <v>0.76529999999999998</v>
      </c>
      <c r="G174" s="19">
        <f>پارامترها!$B$5*F174/1000000</f>
        <v>744.90475500000014</v>
      </c>
      <c r="H174" s="21">
        <v>202</v>
      </c>
      <c r="I174" s="19">
        <f>H174*پارامترها!$B$6</f>
        <v>15150</v>
      </c>
      <c r="J174" s="22">
        <v>75.5</v>
      </c>
      <c r="K174" s="21">
        <f t="shared" si="6"/>
        <v>20.338170616188371</v>
      </c>
      <c r="L174" s="21">
        <f>I174/(پارامترها!$B$5/1000000)</f>
        <v>15.564801972568961</v>
      </c>
      <c r="M174" s="21">
        <f>K174/پارامترها!$B$7</f>
        <v>67.793902053961247</v>
      </c>
      <c r="N174" s="21">
        <v>23.28</v>
      </c>
      <c r="O174" s="21">
        <f>N174*پارامترها!$B$6*پارامترها!$B$16</f>
        <v>52.379999999999995</v>
      </c>
      <c r="P174" s="21">
        <f>O174*12/G174*100</f>
        <v>84.381257574332409</v>
      </c>
      <c r="Q174" s="21">
        <f>O174*12/(پارامترها!$B$5/1000000)*100</f>
        <v>64.576976421636601</v>
      </c>
      <c r="R174" s="3" t="str">
        <f t="shared" si="7"/>
        <v>فشار شدید</v>
      </c>
      <c r="S174" s="21">
        <f>(1-NORMSDIST((LN(O174*12*1000000/پارامترها!$B$8)-پارامترها!$B$15)/پارامترها!$B$14))*100</f>
        <v>10.488072870594822</v>
      </c>
      <c r="T174" s="21">
        <f>(1-NORMSDIST((LN(I174*1000000/5)-پارامترها!$B$15)/پارامترها!$B$14))*100</f>
        <v>5.4362101759280694</v>
      </c>
      <c r="U174" s="21">
        <f>MIN(100,پارامترها!$B$9/1000000/I174*100)</f>
        <v>13.201320132013199</v>
      </c>
      <c r="V174" s="19">
        <f>MAX(0,I174-پارامترها!$B$9/1000000)</f>
        <v>13150</v>
      </c>
      <c r="W174" s="21">
        <f>V174/(G174*پارامترها!$B$7)</f>
        <v>58.844212013834344</v>
      </c>
      <c r="X174" s="21">
        <f>پارامترها!$B$12/1000000/(G174/12)*100</f>
        <v>64.881165223749306</v>
      </c>
      <c r="Y174" s="21">
        <f>ROUND(50*MIN(1,3/K174)+50*MIN(1,30/P174),1)</f>
        <v>25.2</v>
      </c>
      <c r="Z174" s="3">
        <f t="shared" si="8"/>
        <v>328</v>
      </c>
      <c r="AA174" s="19">
        <v>89</v>
      </c>
      <c r="AB174" s="19">
        <v>83</v>
      </c>
      <c r="AC174" s="3" t="s">
        <v>83</v>
      </c>
      <c r="AD174" s="3" t="s">
        <v>93</v>
      </c>
      <c r="AE174" s="3" t="s">
        <v>251</v>
      </c>
      <c r="AF174" s="23" t="s">
        <v>85</v>
      </c>
    </row>
    <row r="175" spans="1:32" x14ac:dyDescent="0.2">
      <c r="A175" s="3">
        <v>174</v>
      </c>
      <c r="B175" s="3">
        <v>11</v>
      </c>
      <c r="C175" s="3" t="s">
        <v>316</v>
      </c>
      <c r="D175" s="19">
        <v>26997</v>
      </c>
      <c r="E175" s="19">
        <f>ROUND(D175/INDEX(مناطق!$D$2:$D$23,B175),0)</f>
        <v>9440</v>
      </c>
      <c r="F175" s="20">
        <v>0.7581</v>
      </c>
      <c r="G175" s="19">
        <f>پارامترها!$B$5*F175/1000000</f>
        <v>737.89663500000017</v>
      </c>
      <c r="H175" s="21">
        <v>200.2</v>
      </c>
      <c r="I175" s="19">
        <f>H175*پارامترها!$B$6</f>
        <v>15015</v>
      </c>
      <c r="J175" s="22">
        <v>70</v>
      </c>
      <c r="K175" s="21">
        <f t="shared" si="6"/>
        <v>20.348378469024997</v>
      </c>
      <c r="L175" s="21">
        <f>I175/(پارامترها!$B$5/1000000)</f>
        <v>15.426105717367852</v>
      </c>
      <c r="M175" s="21">
        <f>K175/پارامترها!$B$7</f>
        <v>67.82792823008333</v>
      </c>
      <c r="N175" s="21">
        <v>23.17</v>
      </c>
      <c r="O175" s="21">
        <f>N175*پارامترها!$B$6*پارامترها!$B$16</f>
        <v>52.132500000000007</v>
      </c>
      <c r="P175" s="21">
        <f>O175*12/G175*100</f>
        <v>84.780167075839827</v>
      </c>
      <c r="Q175" s="21">
        <f>O175*12/(پارامترها!$B$5/1000000)*100</f>
        <v>64.271844660194176</v>
      </c>
      <c r="R175" s="3" t="str">
        <f t="shared" si="7"/>
        <v>فشار شدید</v>
      </c>
      <c r="S175" s="21">
        <f>(1-NORMSDIST((LN(O175*12*1000000/پارامترها!$B$8)-پارامترها!$B$15)/پارامترها!$B$14))*100</f>
        <v>10.569880286861167</v>
      </c>
      <c r="T175" s="21">
        <f>(1-NORMSDIST((LN(I175*1000000/5)-پارامترها!$B$15)/پارامترها!$B$14))*100</f>
        <v>5.5303753302506697</v>
      </c>
      <c r="U175" s="21">
        <f>MIN(100,پارامترها!$B$9/1000000/I175*100)</f>
        <v>13.320013320013322</v>
      </c>
      <c r="V175" s="19">
        <f>MAX(0,I175-پارامترها!$B$9/1000000)</f>
        <v>13015</v>
      </c>
      <c r="W175" s="21">
        <f>V175/(G175*پارامترها!$B$7)</f>
        <v>58.793239155147148</v>
      </c>
      <c r="X175" s="21">
        <f>پارامترها!$B$12/1000000/(G175/12)*100</f>
        <v>65.497369404742571</v>
      </c>
      <c r="Y175" s="21">
        <f>ROUND(50*MIN(1,3/K175)+50*MIN(1,30/P175),1)</f>
        <v>25.1</v>
      </c>
      <c r="Z175" s="3">
        <f t="shared" si="8"/>
        <v>331</v>
      </c>
      <c r="AA175" s="19">
        <v>91</v>
      </c>
      <c r="AB175" s="19">
        <v>77</v>
      </c>
      <c r="AC175" s="3" t="s">
        <v>83</v>
      </c>
      <c r="AD175" s="3" t="s">
        <v>84</v>
      </c>
      <c r="AE175" s="3" t="s">
        <v>316</v>
      </c>
      <c r="AF175" s="23" t="s">
        <v>85</v>
      </c>
    </row>
    <row r="176" spans="1:32" x14ac:dyDescent="0.2">
      <c r="A176" s="3">
        <v>175</v>
      </c>
      <c r="B176" s="3">
        <v>11</v>
      </c>
      <c r="C176" s="3" t="s">
        <v>317</v>
      </c>
      <c r="D176" s="19">
        <v>31062</v>
      </c>
      <c r="E176" s="19">
        <f>ROUND(D176/INDEX(مناطق!$D$2:$D$23,B176),0)</f>
        <v>10861</v>
      </c>
      <c r="F176" s="20">
        <v>0.72840000000000005</v>
      </c>
      <c r="G176" s="19">
        <f>پارامترها!$B$5*F176/1000000</f>
        <v>708.98814000000016</v>
      </c>
      <c r="H176" s="21">
        <v>192.6</v>
      </c>
      <c r="I176" s="19">
        <f>H176*پارامترها!$B$6</f>
        <v>14445</v>
      </c>
      <c r="J176" s="22">
        <v>75.5</v>
      </c>
      <c r="K176" s="21">
        <f t="shared" si="6"/>
        <v>20.374106681107524</v>
      </c>
      <c r="L176" s="21">
        <f>I176/(پارامترها!$B$5/1000000)</f>
        <v>14.840499306518723</v>
      </c>
      <c r="M176" s="21">
        <f>K176/پارامترها!$B$7</f>
        <v>67.913688937025086</v>
      </c>
      <c r="N176" s="21">
        <v>21.49</v>
      </c>
      <c r="O176" s="21">
        <f>N176*پارامترها!$B$6*پارامترها!$B$16</f>
        <v>48.352499999999992</v>
      </c>
      <c r="P176" s="21">
        <f>O176*12/G176*100</f>
        <v>81.839168705981422</v>
      </c>
      <c r="Q176" s="21">
        <f>O176*12/(پارامترها!$B$5/1000000)*100</f>
        <v>59.611650485436876</v>
      </c>
      <c r="R176" s="3" t="str">
        <f t="shared" si="7"/>
        <v>فشار شدید</v>
      </c>
      <c r="S176" s="21">
        <f>(1-NORMSDIST((LN(O176*12*1000000/پارامترها!$B$8)-پارامترها!$B$15)/پارامترها!$B$14))*100</f>
        <v>11.932364879014001</v>
      </c>
      <c r="T176" s="21">
        <f>(1-NORMSDIST((LN(I176*1000000/5)-پارامترها!$B$15)/پارامترها!$B$14))*100</f>
        <v>5.9524303093042459</v>
      </c>
      <c r="U176" s="21">
        <f>MIN(100,پارامترها!$B$9/1000000/I176*100)</f>
        <v>13.845621322256838</v>
      </c>
      <c r="V176" s="19">
        <f>MAX(0,I176-پارامترها!$B$9/1000000)</f>
        <v>12445</v>
      </c>
      <c r="W176" s="21">
        <f>V176/(G176*پارامترها!$B$7)</f>
        <v>58.510616740829157</v>
      </c>
      <c r="X176" s="21">
        <f>پارامترها!$B$12/1000000/(G176/12)*100</f>
        <v>68.167978783272019</v>
      </c>
      <c r="Y176" s="21">
        <f>ROUND(50*MIN(1,3/K176)+50*MIN(1,30/P176),1)</f>
        <v>25.7</v>
      </c>
      <c r="Z176" s="3">
        <f t="shared" si="8"/>
        <v>313</v>
      </c>
      <c r="AA176" s="19">
        <v>92</v>
      </c>
      <c r="AB176" s="19">
        <v>72</v>
      </c>
      <c r="AC176" s="3" t="s">
        <v>83</v>
      </c>
      <c r="AD176" s="3" t="s">
        <v>84</v>
      </c>
      <c r="AE176" s="3" t="s">
        <v>317</v>
      </c>
      <c r="AF176" s="23" t="s">
        <v>85</v>
      </c>
    </row>
    <row r="177" spans="1:32" ht="16.5" x14ac:dyDescent="0.3">
      <c r="A177" s="3">
        <v>176</v>
      </c>
      <c r="B177" s="3">
        <v>11</v>
      </c>
      <c r="C177" s="3" t="s">
        <v>318</v>
      </c>
      <c r="D177" s="19">
        <v>17882</v>
      </c>
      <c r="E177" s="19">
        <f>ROUND(D177/INDEX(مناطق!$D$2:$D$23,B177),0)</f>
        <v>6253</v>
      </c>
      <c r="F177" s="20">
        <v>0.68410000000000004</v>
      </c>
      <c r="G177" s="19">
        <f>پارامترها!$B$5*F177/1000000</f>
        <v>665.86873500000013</v>
      </c>
      <c r="H177" s="21">
        <v>181.3</v>
      </c>
      <c r="I177" s="19">
        <f>H177*پارامترها!$B$6</f>
        <v>13597.5</v>
      </c>
      <c r="J177" s="22"/>
      <c r="K177" s="21">
        <f t="shared" si="6"/>
        <v>20.420691474574184</v>
      </c>
      <c r="L177" s="21">
        <f>I177/(پارامترها!$B$5/1000000)</f>
        <v>13.969795037756201</v>
      </c>
      <c r="M177" s="21">
        <f>K177/پارامترها!$B$7</f>
        <v>68.068971581913956</v>
      </c>
      <c r="N177" s="21">
        <v>17.84</v>
      </c>
      <c r="O177" s="21">
        <f>N177*پارامترها!$B$6*پارامترها!$B$16</f>
        <v>40.14</v>
      </c>
      <c r="P177" s="21">
        <f>O177*12/G177*100</f>
        <v>72.338581867791092</v>
      </c>
      <c r="Q177" s="21">
        <f>O177*12/(پارامترها!$B$5/1000000)*100</f>
        <v>49.486823855755887</v>
      </c>
      <c r="R177" s="3" t="str">
        <f t="shared" si="7"/>
        <v>فشار شدید</v>
      </c>
      <c r="S177" s="21">
        <f>(1-NORMSDIST((LN(O177*12*1000000/پارامترها!$B$8)-پارامترها!$B$15)/پارامترها!$B$14))*100</f>
        <v>15.819391249239933</v>
      </c>
      <c r="T177" s="21">
        <f>(1-NORMSDIST((LN(I177*1000000/5)-پارامترها!$B$15)/پارامترها!$B$14))*100</f>
        <v>6.6618224750011219</v>
      </c>
      <c r="U177" s="21">
        <f>MIN(100,پارامترها!$B$9/1000000/I177*100)</f>
        <v>14.708586137157564</v>
      </c>
      <c r="V177" s="19">
        <f>MAX(0,I177-پارامترها!$B$9/1000000)</f>
        <v>11597.5</v>
      </c>
      <c r="W177" s="21">
        <f>V177/(G177*پارامترها!$B$7)</f>
        <v>58.056988264110828</v>
      </c>
      <c r="X177" s="21">
        <f>پارامترها!$B$12/1000000/(G177/12)*100</f>
        <v>72.582306308632269</v>
      </c>
      <c r="Y177" s="21">
        <f>ROUND(50*MIN(1,3/K177)+50*MIN(1,30/P177),1)</f>
        <v>28.1</v>
      </c>
      <c r="Z177" s="3">
        <f t="shared" si="8"/>
        <v>254</v>
      </c>
      <c r="AA177" s="19">
        <v>0</v>
      </c>
      <c r="AB177" s="19">
        <v>0</v>
      </c>
      <c r="AC177" s="3" t="s">
        <v>103</v>
      </c>
      <c r="AD177" s="3" t="s">
        <v>104</v>
      </c>
      <c r="AE177" s="23" t="s">
        <v>105</v>
      </c>
      <c r="AF177" s="23" t="s">
        <v>106</v>
      </c>
    </row>
    <row r="178" spans="1:32" ht="16.5" x14ac:dyDescent="0.3">
      <c r="A178" s="3">
        <v>177</v>
      </c>
      <c r="B178" s="3">
        <v>11</v>
      </c>
      <c r="C178" s="3" t="s">
        <v>319</v>
      </c>
      <c r="D178" s="19">
        <v>17407</v>
      </c>
      <c r="E178" s="19">
        <f>ROUND(D178/INDEX(مناطق!$D$2:$D$23,B178),0)</f>
        <v>6087</v>
      </c>
      <c r="F178" s="20">
        <v>0.68410000000000004</v>
      </c>
      <c r="G178" s="19">
        <f>پارامترها!$B$5*F178/1000000</f>
        <v>665.86873500000013</v>
      </c>
      <c r="H178" s="21">
        <v>181.3</v>
      </c>
      <c r="I178" s="19">
        <f>H178*پارامترها!$B$6</f>
        <v>13597.5</v>
      </c>
      <c r="J178" s="22"/>
      <c r="K178" s="21">
        <f t="shared" si="6"/>
        <v>20.420691474574184</v>
      </c>
      <c r="L178" s="21">
        <f>I178/(پارامترها!$B$5/1000000)</f>
        <v>13.969795037756201</v>
      </c>
      <c r="M178" s="21">
        <f>K178/پارامترها!$B$7</f>
        <v>68.068971581913956</v>
      </c>
      <c r="N178" s="21">
        <v>17.84</v>
      </c>
      <c r="O178" s="21">
        <f>N178*پارامترها!$B$6*پارامترها!$B$16</f>
        <v>40.14</v>
      </c>
      <c r="P178" s="21">
        <f>O178*12/G178*100</f>
        <v>72.338581867791092</v>
      </c>
      <c r="Q178" s="21">
        <f>O178*12/(پارامترها!$B$5/1000000)*100</f>
        <v>49.486823855755887</v>
      </c>
      <c r="R178" s="3" t="str">
        <f t="shared" si="7"/>
        <v>فشار شدید</v>
      </c>
      <c r="S178" s="21">
        <f>(1-NORMSDIST((LN(O178*12*1000000/پارامترها!$B$8)-پارامترها!$B$15)/پارامترها!$B$14))*100</f>
        <v>15.819391249239933</v>
      </c>
      <c r="T178" s="21">
        <f>(1-NORMSDIST((LN(I178*1000000/5)-پارامترها!$B$15)/پارامترها!$B$14))*100</f>
        <v>6.6618224750011219</v>
      </c>
      <c r="U178" s="21">
        <f>MIN(100,پارامترها!$B$9/1000000/I178*100)</f>
        <v>14.708586137157564</v>
      </c>
      <c r="V178" s="19">
        <f>MAX(0,I178-پارامترها!$B$9/1000000)</f>
        <v>11597.5</v>
      </c>
      <c r="W178" s="21">
        <f>V178/(G178*پارامترها!$B$7)</f>
        <v>58.056988264110828</v>
      </c>
      <c r="X178" s="21">
        <f>پارامترها!$B$12/1000000/(G178/12)*100</f>
        <v>72.582306308632269</v>
      </c>
      <c r="Y178" s="21">
        <f>ROUND(50*MIN(1,3/K178)+50*MIN(1,30/P178),1)</f>
        <v>28.1</v>
      </c>
      <c r="Z178" s="3">
        <f t="shared" si="8"/>
        <v>254</v>
      </c>
      <c r="AA178" s="19">
        <v>0</v>
      </c>
      <c r="AB178" s="19">
        <v>0</v>
      </c>
      <c r="AC178" s="3" t="s">
        <v>103</v>
      </c>
      <c r="AD178" s="3" t="s">
        <v>104</v>
      </c>
      <c r="AE178" s="23" t="s">
        <v>105</v>
      </c>
      <c r="AF178" s="23" t="s">
        <v>106</v>
      </c>
    </row>
    <row r="179" spans="1:32" ht="16.5" x14ac:dyDescent="0.3">
      <c r="A179" s="3">
        <v>178</v>
      </c>
      <c r="B179" s="3">
        <v>11</v>
      </c>
      <c r="C179" s="3" t="s">
        <v>320</v>
      </c>
      <c r="D179" s="19">
        <v>15941</v>
      </c>
      <c r="E179" s="19">
        <f>ROUND(D179/INDEX(مناطق!$D$2:$D$23,B179),0)</f>
        <v>5574</v>
      </c>
      <c r="F179" s="20">
        <v>0.68410000000000004</v>
      </c>
      <c r="G179" s="19">
        <f>پارامترها!$B$5*F179/1000000</f>
        <v>665.86873500000013</v>
      </c>
      <c r="H179" s="21">
        <v>181.3</v>
      </c>
      <c r="I179" s="19">
        <f>H179*پارامترها!$B$6</f>
        <v>13597.5</v>
      </c>
      <c r="J179" s="22"/>
      <c r="K179" s="21">
        <f t="shared" si="6"/>
        <v>20.420691474574184</v>
      </c>
      <c r="L179" s="21">
        <f>I179/(پارامترها!$B$5/1000000)</f>
        <v>13.969795037756201</v>
      </c>
      <c r="M179" s="21">
        <f>K179/پارامترها!$B$7</f>
        <v>68.068971581913956</v>
      </c>
      <c r="N179" s="21">
        <v>17.84</v>
      </c>
      <c r="O179" s="21">
        <f>N179*پارامترها!$B$6*پارامترها!$B$16</f>
        <v>40.14</v>
      </c>
      <c r="P179" s="21">
        <f>O179*12/G179*100</f>
        <v>72.338581867791092</v>
      </c>
      <c r="Q179" s="21">
        <f>O179*12/(پارامترها!$B$5/1000000)*100</f>
        <v>49.486823855755887</v>
      </c>
      <c r="R179" s="3" t="str">
        <f t="shared" si="7"/>
        <v>فشار شدید</v>
      </c>
      <c r="S179" s="21">
        <f>(1-NORMSDIST((LN(O179*12*1000000/پارامترها!$B$8)-پارامترها!$B$15)/پارامترها!$B$14))*100</f>
        <v>15.819391249239933</v>
      </c>
      <c r="T179" s="21">
        <f>(1-NORMSDIST((LN(I179*1000000/5)-پارامترها!$B$15)/پارامترها!$B$14))*100</f>
        <v>6.6618224750011219</v>
      </c>
      <c r="U179" s="21">
        <f>MIN(100,پارامترها!$B$9/1000000/I179*100)</f>
        <v>14.708586137157564</v>
      </c>
      <c r="V179" s="19">
        <f>MAX(0,I179-پارامترها!$B$9/1000000)</f>
        <v>11597.5</v>
      </c>
      <c r="W179" s="21">
        <f>V179/(G179*پارامترها!$B$7)</f>
        <v>58.056988264110828</v>
      </c>
      <c r="X179" s="21">
        <f>پارامترها!$B$12/1000000/(G179/12)*100</f>
        <v>72.582306308632269</v>
      </c>
      <c r="Y179" s="21">
        <f>ROUND(50*MIN(1,3/K179)+50*MIN(1,30/P179),1)</f>
        <v>28.1</v>
      </c>
      <c r="Z179" s="3">
        <f t="shared" si="8"/>
        <v>254</v>
      </c>
      <c r="AA179" s="19">
        <v>0</v>
      </c>
      <c r="AB179" s="19">
        <v>0</v>
      </c>
      <c r="AC179" s="3" t="s">
        <v>103</v>
      </c>
      <c r="AD179" s="3" t="s">
        <v>104</v>
      </c>
      <c r="AE179" s="23" t="s">
        <v>105</v>
      </c>
      <c r="AF179" s="23" t="s">
        <v>106</v>
      </c>
    </row>
    <row r="180" spans="1:32" ht="16.5" x14ac:dyDescent="0.3">
      <c r="A180" s="3">
        <v>179</v>
      </c>
      <c r="B180" s="3">
        <v>11</v>
      </c>
      <c r="C180" s="3" t="s">
        <v>321</v>
      </c>
      <c r="D180" s="19">
        <v>12430</v>
      </c>
      <c r="E180" s="19">
        <f>ROUND(D180/INDEX(مناطق!$D$2:$D$23,B180),0)</f>
        <v>4346</v>
      </c>
      <c r="F180" s="20">
        <v>0.68410000000000004</v>
      </c>
      <c r="G180" s="19">
        <f>پارامترها!$B$5*F180/1000000</f>
        <v>665.86873500000013</v>
      </c>
      <c r="H180" s="21">
        <v>181.3</v>
      </c>
      <c r="I180" s="19">
        <f>H180*پارامترها!$B$6</f>
        <v>13597.5</v>
      </c>
      <c r="J180" s="22"/>
      <c r="K180" s="21">
        <f t="shared" si="6"/>
        <v>20.420691474574184</v>
      </c>
      <c r="L180" s="21">
        <f>I180/(پارامترها!$B$5/1000000)</f>
        <v>13.969795037756201</v>
      </c>
      <c r="M180" s="21">
        <f>K180/پارامترها!$B$7</f>
        <v>68.068971581913956</v>
      </c>
      <c r="N180" s="21">
        <v>17.84</v>
      </c>
      <c r="O180" s="21">
        <f>N180*پارامترها!$B$6*پارامترها!$B$16</f>
        <v>40.14</v>
      </c>
      <c r="P180" s="21">
        <f>O180*12/G180*100</f>
        <v>72.338581867791092</v>
      </c>
      <c r="Q180" s="21">
        <f>O180*12/(پارامترها!$B$5/1000000)*100</f>
        <v>49.486823855755887</v>
      </c>
      <c r="R180" s="3" t="str">
        <f t="shared" si="7"/>
        <v>فشار شدید</v>
      </c>
      <c r="S180" s="21">
        <f>(1-NORMSDIST((LN(O180*12*1000000/پارامترها!$B$8)-پارامترها!$B$15)/پارامترها!$B$14))*100</f>
        <v>15.819391249239933</v>
      </c>
      <c r="T180" s="21">
        <f>(1-NORMSDIST((LN(I180*1000000/5)-پارامترها!$B$15)/پارامترها!$B$14))*100</f>
        <v>6.6618224750011219</v>
      </c>
      <c r="U180" s="21">
        <f>MIN(100,پارامترها!$B$9/1000000/I180*100)</f>
        <v>14.708586137157564</v>
      </c>
      <c r="V180" s="19">
        <f>MAX(0,I180-پارامترها!$B$9/1000000)</f>
        <v>11597.5</v>
      </c>
      <c r="W180" s="21">
        <f>V180/(G180*پارامترها!$B$7)</f>
        <v>58.056988264110828</v>
      </c>
      <c r="X180" s="21">
        <f>پارامترها!$B$12/1000000/(G180/12)*100</f>
        <v>72.582306308632269</v>
      </c>
      <c r="Y180" s="21">
        <f>ROUND(50*MIN(1,3/K180)+50*MIN(1,30/P180),1)</f>
        <v>28.1</v>
      </c>
      <c r="Z180" s="3">
        <f t="shared" si="8"/>
        <v>254</v>
      </c>
      <c r="AA180" s="19">
        <v>0</v>
      </c>
      <c r="AB180" s="19">
        <v>0</v>
      </c>
      <c r="AC180" s="3" t="s">
        <v>103</v>
      </c>
      <c r="AD180" s="3" t="s">
        <v>104</v>
      </c>
      <c r="AE180" s="23" t="s">
        <v>105</v>
      </c>
      <c r="AF180" s="23" t="s">
        <v>106</v>
      </c>
    </row>
    <row r="181" spans="1:32" ht="16.5" x14ac:dyDescent="0.3">
      <c r="A181" s="3">
        <v>180</v>
      </c>
      <c r="B181" s="3">
        <v>11</v>
      </c>
      <c r="C181" s="3" t="s">
        <v>322</v>
      </c>
      <c r="D181" s="19">
        <v>11793</v>
      </c>
      <c r="E181" s="19">
        <f>ROUND(D181/INDEX(مناطق!$D$2:$D$23,B181),0)</f>
        <v>4124</v>
      </c>
      <c r="F181" s="20">
        <v>0.68410000000000004</v>
      </c>
      <c r="G181" s="19">
        <f>پارامترها!$B$5*F181/1000000</f>
        <v>665.86873500000013</v>
      </c>
      <c r="H181" s="21">
        <v>181.3</v>
      </c>
      <c r="I181" s="19">
        <f>H181*پارامترها!$B$6</f>
        <v>13597.5</v>
      </c>
      <c r="J181" s="22"/>
      <c r="K181" s="21">
        <f t="shared" si="6"/>
        <v>20.420691474574184</v>
      </c>
      <c r="L181" s="21">
        <f>I181/(پارامترها!$B$5/1000000)</f>
        <v>13.969795037756201</v>
      </c>
      <c r="M181" s="21">
        <f>K181/پارامترها!$B$7</f>
        <v>68.068971581913956</v>
      </c>
      <c r="N181" s="21">
        <v>17.84</v>
      </c>
      <c r="O181" s="21">
        <f>N181*پارامترها!$B$6*پارامترها!$B$16</f>
        <v>40.14</v>
      </c>
      <c r="P181" s="21">
        <f>O181*12/G181*100</f>
        <v>72.338581867791092</v>
      </c>
      <c r="Q181" s="21">
        <f>O181*12/(پارامترها!$B$5/1000000)*100</f>
        <v>49.486823855755887</v>
      </c>
      <c r="R181" s="3" t="str">
        <f t="shared" si="7"/>
        <v>فشار شدید</v>
      </c>
      <c r="S181" s="21">
        <f>(1-NORMSDIST((LN(O181*12*1000000/پارامترها!$B$8)-پارامترها!$B$15)/پارامترها!$B$14))*100</f>
        <v>15.819391249239933</v>
      </c>
      <c r="T181" s="21">
        <f>(1-NORMSDIST((LN(I181*1000000/5)-پارامترها!$B$15)/پارامترها!$B$14))*100</f>
        <v>6.6618224750011219</v>
      </c>
      <c r="U181" s="21">
        <f>MIN(100,پارامترها!$B$9/1000000/I181*100)</f>
        <v>14.708586137157564</v>
      </c>
      <c r="V181" s="19">
        <f>MAX(0,I181-پارامترها!$B$9/1000000)</f>
        <v>11597.5</v>
      </c>
      <c r="W181" s="21">
        <f>V181/(G181*پارامترها!$B$7)</f>
        <v>58.056988264110828</v>
      </c>
      <c r="X181" s="21">
        <f>پارامترها!$B$12/1000000/(G181/12)*100</f>
        <v>72.582306308632269</v>
      </c>
      <c r="Y181" s="21">
        <f>ROUND(50*MIN(1,3/K181)+50*MIN(1,30/P181),1)</f>
        <v>28.1</v>
      </c>
      <c r="Z181" s="3">
        <f t="shared" si="8"/>
        <v>254</v>
      </c>
      <c r="AA181" s="19">
        <v>0</v>
      </c>
      <c r="AB181" s="19">
        <v>0</v>
      </c>
      <c r="AC181" s="3" t="s">
        <v>103</v>
      </c>
      <c r="AD181" s="3" t="s">
        <v>104</v>
      </c>
      <c r="AE181" s="23" t="s">
        <v>105</v>
      </c>
      <c r="AF181" s="23" t="s">
        <v>106</v>
      </c>
    </row>
    <row r="182" spans="1:32" x14ac:dyDescent="0.2">
      <c r="A182" s="3">
        <v>181</v>
      </c>
      <c r="B182" s="3">
        <v>11</v>
      </c>
      <c r="C182" s="3" t="s">
        <v>323</v>
      </c>
      <c r="D182" s="19">
        <v>30541</v>
      </c>
      <c r="E182" s="19">
        <f>ROUND(D182/INDEX(مناطق!$D$2:$D$23,B182),0)</f>
        <v>10679</v>
      </c>
      <c r="F182" s="20">
        <v>0.68179999999999996</v>
      </c>
      <c r="G182" s="19">
        <f>پارامترها!$B$5*F182/1000000</f>
        <v>663.63003000000003</v>
      </c>
      <c r="H182" s="21">
        <v>180.7</v>
      </c>
      <c r="I182" s="19">
        <f>H182*پارامترها!$B$6</f>
        <v>13552.5</v>
      </c>
      <c r="J182" s="22">
        <v>84</v>
      </c>
      <c r="K182" s="21">
        <f t="shared" si="6"/>
        <v>20.421770244483962</v>
      </c>
      <c r="L182" s="21">
        <f>I182/(پارامترها!$B$5/1000000)</f>
        <v>13.923562952689164</v>
      </c>
      <c r="M182" s="21">
        <f>K182/پارامترها!$B$7</f>
        <v>68.072567481613206</v>
      </c>
      <c r="N182" s="21">
        <v>21.85</v>
      </c>
      <c r="O182" s="21">
        <f>N182*پارامترها!$B$6*پارامترها!$B$16</f>
        <v>49.162500000000001</v>
      </c>
      <c r="P182" s="21">
        <f>O182*12/G182*100</f>
        <v>88.897423764864897</v>
      </c>
      <c r="Q182" s="21">
        <f>O182*12/(پارامترها!$B$5/1000000)*100</f>
        <v>60.610263522884878</v>
      </c>
      <c r="R182" s="3" t="str">
        <f t="shared" si="7"/>
        <v>فشار شدید</v>
      </c>
      <c r="S182" s="21">
        <f>(1-NORMSDIST((LN(O182*12*1000000/پارامترها!$B$8)-پارامترها!$B$15)/پارامترها!$B$14))*100</f>
        <v>11.621472776894393</v>
      </c>
      <c r="T182" s="21">
        <f>(1-NORMSDIST((LN(I182*1000000/5)-پارامترها!$B$15)/پارامترها!$B$14))*100</f>
        <v>6.7025309849944374</v>
      </c>
      <c r="U182" s="21">
        <f>MIN(100,پارامترها!$B$9/1000000/I182*100)</f>
        <v>14.757424829367274</v>
      </c>
      <c r="V182" s="19">
        <f>MAX(0,I182-پارامترها!$B$9/1000000)</f>
        <v>11552.5</v>
      </c>
      <c r="W182" s="21">
        <f>V182/(G182*پارامترها!$B$7)</f>
        <v>58.026809506093826</v>
      </c>
      <c r="X182" s="21">
        <f>پارامترها!$B$12/1000000/(G182/12)*100</f>
        <v>72.827157151269205</v>
      </c>
      <c r="Y182" s="21">
        <f>ROUND(50*MIN(1,3/K182)+50*MIN(1,30/P182),1)</f>
        <v>24.2</v>
      </c>
      <c r="Z182" s="3">
        <f t="shared" si="8"/>
        <v>346</v>
      </c>
      <c r="AA182" s="19">
        <v>85</v>
      </c>
      <c r="AB182" s="19">
        <v>41</v>
      </c>
      <c r="AC182" s="3" t="s">
        <v>83</v>
      </c>
      <c r="AD182" s="3" t="s">
        <v>84</v>
      </c>
      <c r="AE182" s="3" t="s">
        <v>323</v>
      </c>
      <c r="AF182" s="23" t="s">
        <v>85</v>
      </c>
    </row>
    <row r="183" spans="1:32" x14ac:dyDescent="0.2">
      <c r="A183" s="3">
        <v>182</v>
      </c>
      <c r="B183" s="3">
        <v>11</v>
      </c>
      <c r="C183" s="3" t="s">
        <v>324</v>
      </c>
      <c r="D183" s="19">
        <v>16444</v>
      </c>
      <c r="E183" s="19">
        <f>ROUND(D183/INDEX(مناطق!$D$2:$D$23,B183),0)</f>
        <v>5750</v>
      </c>
      <c r="F183" s="20">
        <v>0.67110000000000003</v>
      </c>
      <c r="G183" s="19">
        <f>پارامترها!$B$5*F183/1000000</f>
        <v>653.21518500000013</v>
      </c>
      <c r="H183" s="21">
        <v>177.9</v>
      </c>
      <c r="I183" s="19">
        <f>H183*پارامترها!$B$6</f>
        <v>13342.5</v>
      </c>
      <c r="J183" s="22">
        <v>71.5</v>
      </c>
      <c r="K183" s="21">
        <f t="shared" si="6"/>
        <v>20.425887680489236</v>
      </c>
      <c r="L183" s="21">
        <f>I183/(پارامترها!$B$5/1000000)</f>
        <v>13.707813222376327</v>
      </c>
      <c r="M183" s="21">
        <f>K183/پارامترها!$B$7</f>
        <v>68.086292268297456</v>
      </c>
      <c r="N183" s="21">
        <v>20.75</v>
      </c>
      <c r="O183" s="21">
        <f>N183*پارامترها!$B$6*پارامترها!$B$16</f>
        <v>46.6875</v>
      </c>
      <c r="P183" s="21">
        <f>O183*12/G183*100</f>
        <v>85.768061255342658</v>
      </c>
      <c r="Q183" s="21">
        <f>O183*12/(پارامترها!$B$5/1000000)*100</f>
        <v>57.558945908460466</v>
      </c>
      <c r="R183" s="3" t="str">
        <f t="shared" si="7"/>
        <v>فشار شدید</v>
      </c>
      <c r="S183" s="21">
        <f>(1-NORMSDIST((LN(O183*12*1000000/پارامترها!$B$8)-پارامترها!$B$15)/پارامترها!$B$14))*100</f>
        <v>12.607245997476134</v>
      </c>
      <c r="T183" s="21">
        <f>(1-NORMSDIST((LN(I183*1000000/5)-پارامترها!$B$15)/پارامترها!$B$14))*100</f>
        <v>6.8969018590474214</v>
      </c>
      <c r="U183" s="21">
        <f>MIN(100,پارامترها!$B$9/1000000/I183*100)</f>
        <v>14.989694584972831</v>
      </c>
      <c r="V183" s="19">
        <f>MAX(0,I183-پارامترها!$B$9/1000000)</f>
        <v>11342.5</v>
      </c>
      <c r="W183" s="21">
        <f>V183/(G183*پارامترها!$B$7)</f>
        <v>57.880365003047693</v>
      </c>
      <c r="X183" s="21">
        <f>پارامترها!$B$12/1000000/(G183/12)*100</f>
        <v>73.988311348137898</v>
      </c>
      <c r="Y183" s="21">
        <f>ROUND(50*MIN(1,3/K183)+50*MIN(1,30/P183),1)</f>
        <v>24.8</v>
      </c>
      <c r="Z183" s="3">
        <f t="shared" si="8"/>
        <v>339</v>
      </c>
      <c r="AA183" s="19">
        <v>83</v>
      </c>
      <c r="AB183" s="19">
        <v>48</v>
      </c>
      <c r="AC183" s="3" t="s">
        <v>83</v>
      </c>
      <c r="AD183" s="3" t="s">
        <v>84</v>
      </c>
      <c r="AE183" s="3" t="s">
        <v>324</v>
      </c>
      <c r="AF183" s="23" t="s">
        <v>85</v>
      </c>
    </row>
    <row r="184" spans="1:32" x14ac:dyDescent="0.2">
      <c r="A184" s="3">
        <v>183</v>
      </c>
      <c r="B184" s="3">
        <v>11</v>
      </c>
      <c r="C184" s="3" t="s">
        <v>325</v>
      </c>
      <c r="D184" s="19">
        <v>18600</v>
      </c>
      <c r="E184" s="19">
        <f>ROUND(D184/INDEX(مناطق!$D$2:$D$23,B184),0)</f>
        <v>6504</v>
      </c>
      <c r="F184" s="20">
        <v>0.62829999999999997</v>
      </c>
      <c r="G184" s="19">
        <f>پارامترها!$B$5*F184/1000000</f>
        <v>611.55580499999996</v>
      </c>
      <c r="H184" s="21">
        <v>166.9</v>
      </c>
      <c r="I184" s="19">
        <f>H184*پارامترها!$B$6</f>
        <v>12517.5</v>
      </c>
      <c r="J184" s="22">
        <v>60</v>
      </c>
      <c r="K184" s="21">
        <f t="shared" si="6"/>
        <v>20.46828743617273</v>
      </c>
      <c r="L184" s="21">
        <f>I184/(پارامترها!$B$5/1000000)</f>
        <v>12.860224996147325</v>
      </c>
      <c r="M184" s="21">
        <f>K184/پارامترها!$B$7</f>
        <v>68.227624787242434</v>
      </c>
      <c r="N184" s="21">
        <v>17.59</v>
      </c>
      <c r="O184" s="21">
        <f>N184*پارامترها!$B$6*پارامترها!$B$16</f>
        <v>39.577500000000001</v>
      </c>
      <c r="P184" s="21">
        <f>O184*12/G184*100</f>
        <v>77.659306986710732</v>
      </c>
      <c r="Q184" s="21">
        <f>O184*12/(پارامترها!$B$5/1000000)*100</f>
        <v>48.793342579750345</v>
      </c>
      <c r="R184" s="3" t="str">
        <f t="shared" si="7"/>
        <v>فشار شدید</v>
      </c>
      <c r="S184" s="21">
        <f>(1-NORMSDIST((LN(O184*12*1000000/پارامترها!$B$8)-پارامترها!$B$15)/پارامترها!$B$14))*100</f>
        <v>16.144666732603628</v>
      </c>
      <c r="T184" s="21">
        <f>(1-NORMSDIST((LN(I184*1000000/5)-پارامترها!$B$15)/پارامترها!$B$14))*100</f>
        <v>7.7367305598885272</v>
      </c>
      <c r="U184" s="21">
        <f>MIN(100,پارامترها!$B$9/1000000/I184*100)</f>
        <v>15.977631316157378</v>
      </c>
      <c r="V184" s="19">
        <f>MAX(0,I184-پارامترها!$B$9/1000000)</f>
        <v>10517.5</v>
      </c>
      <c r="W184" s="21">
        <f>V184/(G184*پارامترها!$B$7)</f>
        <v>57.326466442965639</v>
      </c>
      <c r="X184" s="21">
        <f>پارامترها!$B$12/1000000/(G184/12)*100</f>
        <v>79.028419140116739</v>
      </c>
      <c r="Y184" s="21">
        <f>ROUND(50*MIN(1,3/K184)+50*MIN(1,30/P184),1)</f>
        <v>26.6</v>
      </c>
      <c r="Z184" s="3">
        <f t="shared" si="8"/>
        <v>297</v>
      </c>
      <c r="AA184" s="19">
        <v>89</v>
      </c>
      <c r="AB184" s="19">
        <v>76</v>
      </c>
      <c r="AC184" s="3" t="s">
        <v>83</v>
      </c>
      <c r="AD184" s="3" t="s">
        <v>84</v>
      </c>
      <c r="AE184" s="3" t="s">
        <v>325</v>
      </c>
      <c r="AF184" s="23" t="s">
        <v>85</v>
      </c>
    </row>
    <row r="185" spans="1:32" ht="16.5" x14ac:dyDescent="0.3">
      <c r="A185" s="3">
        <v>184</v>
      </c>
      <c r="B185" s="3">
        <v>11</v>
      </c>
      <c r="C185" s="3" t="s">
        <v>326</v>
      </c>
      <c r="D185" s="19">
        <v>24934</v>
      </c>
      <c r="E185" s="19">
        <f>ROUND(D185/INDEX(مناطق!$D$2:$D$23,B185),0)</f>
        <v>8719</v>
      </c>
      <c r="F185" s="20">
        <v>0.5988</v>
      </c>
      <c r="G185" s="19">
        <f>پارامترها!$B$5*F185/1000000</f>
        <v>582.84198000000015</v>
      </c>
      <c r="H185" s="21">
        <v>159.4</v>
      </c>
      <c r="I185" s="19">
        <f>H185*پارامترها!$B$6</f>
        <v>11955</v>
      </c>
      <c r="J185" s="22">
        <v>68</v>
      </c>
      <c r="K185" s="21">
        <f t="shared" si="6"/>
        <v>20.511563014043698</v>
      </c>
      <c r="L185" s="21">
        <f>I185/(پارامترها!$B$5/1000000)</f>
        <v>12.282323932809367</v>
      </c>
      <c r="M185" s="21">
        <f>K185/پارامترها!$B$7</f>
        <v>68.371876713478997</v>
      </c>
      <c r="N185" s="21">
        <v>18.77</v>
      </c>
      <c r="O185" s="21">
        <f>N185*پارامترها!$B$6*پارامترها!$B$16</f>
        <v>42.232500000000002</v>
      </c>
      <c r="P185" s="21">
        <f>O185*12/G185*100</f>
        <v>86.951526724276079</v>
      </c>
      <c r="Q185" s="21">
        <f>O185*12/(پارامترها!$B$5/1000000)*100</f>
        <v>52.066574202496533</v>
      </c>
      <c r="R185" s="3" t="str">
        <f t="shared" si="7"/>
        <v>فشار شدید</v>
      </c>
      <c r="S185" s="21">
        <f>(1-NORMSDIST((LN(O185*12*1000000/پارامترها!$B$8)-پارامترها!$B$15)/پارامترها!$B$14))*100</f>
        <v>14.68399815400694</v>
      </c>
      <c r="T185" s="21">
        <f>(1-NORMSDIST((LN(I185*1000000/5)-پارامترها!$B$15)/پارامترها!$B$14))*100</f>
        <v>8.3882980131774865</v>
      </c>
      <c r="U185" s="21">
        <f>MIN(100,پارامترها!$B$9/1000000/I185*100)</f>
        <v>16.72940192388122</v>
      </c>
      <c r="V185" s="19">
        <f>MAX(0,I185-پارامترها!$B$9/1000000)</f>
        <v>9955</v>
      </c>
      <c r="W185" s="21">
        <f>V185/(G185*پارامترها!$B$7)</f>
        <v>56.933670655180542</v>
      </c>
      <c r="X185" s="21">
        <f>پارامترها!$B$12/1000000/(G185/12)*100</f>
        <v>82.921769782457147</v>
      </c>
      <c r="Y185" s="21">
        <f>ROUND(50*MIN(1,3/K185)+50*MIN(1,30/P185),1)</f>
        <v>24.6</v>
      </c>
      <c r="Z185" s="3">
        <f t="shared" si="8"/>
        <v>340</v>
      </c>
      <c r="AA185" s="19">
        <v>82</v>
      </c>
      <c r="AB185" s="19">
        <v>74</v>
      </c>
      <c r="AC185" s="3" t="s">
        <v>83</v>
      </c>
      <c r="AD185" s="3" t="s">
        <v>93</v>
      </c>
      <c r="AE185" s="3" t="s">
        <v>327</v>
      </c>
      <c r="AF185" s="23" t="s">
        <v>85</v>
      </c>
    </row>
    <row r="186" spans="1:32" x14ac:dyDescent="0.2">
      <c r="A186" s="3">
        <v>185</v>
      </c>
      <c r="B186" s="3">
        <v>11</v>
      </c>
      <c r="C186" s="3" t="s">
        <v>328</v>
      </c>
      <c r="D186" s="19">
        <v>13184</v>
      </c>
      <c r="E186" s="19">
        <f>ROUND(D186/INDEX(مناطق!$D$2:$D$23,B186),0)</f>
        <v>4610</v>
      </c>
      <c r="F186" s="20">
        <v>0.55510000000000004</v>
      </c>
      <c r="G186" s="19">
        <f>پارامترها!$B$5*F186/1000000</f>
        <v>540.30658500000015</v>
      </c>
      <c r="H186" s="21">
        <v>148.1</v>
      </c>
      <c r="I186" s="19">
        <f>H186*پارامترها!$B$6</f>
        <v>11107.5</v>
      </c>
      <c r="J186" s="22">
        <v>60.5</v>
      </c>
      <c r="K186" s="21">
        <f t="shared" si="6"/>
        <v>20.557772768954866</v>
      </c>
      <c r="L186" s="21">
        <f>I186/(پارامترها!$B$5/1000000)</f>
        <v>11.411619664046848</v>
      </c>
      <c r="M186" s="21">
        <f>K186/پارامترها!$B$7</f>
        <v>68.52590922984956</v>
      </c>
      <c r="N186" s="21">
        <v>16.84</v>
      </c>
      <c r="O186" s="21">
        <f>N186*پارامترها!$B$6*پارامترها!$B$16</f>
        <v>37.89</v>
      </c>
      <c r="P186" s="21">
        <f>O186*12/G186*100</f>
        <v>84.152222575632663</v>
      </c>
      <c r="Q186" s="21">
        <f>O186*12/(پارامترها!$B$5/1000000)*100</f>
        <v>46.712898751733697</v>
      </c>
      <c r="R186" s="3" t="str">
        <f t="shared" si="7"/>
        <v>فشار شدید</v>
      </c>
      <c r="S186" s="21">
        <f>(1-NORMSDIST((LN(O186*12*1000000/پارامترها!$B$8)-پارامترها!$B$15)/پارامترها!$B$14))*100</f>
        <v>17.176292663083515</v>
      </c>
      <c r="T186" s="21">
        <f>(1-NORMSDIST((LN(I186*1000000/5)-پارامترها!$B$15)/پارامترها!$B$14))*100</f>
        <v>9.5146663397996818</v>
      </c>
      <c r="U186" s="21">
        <f>MIN(100,پارامترها!$B$9/1000000/I186*100)</f>
        <v>18.005851901868109</v>
      </c>
      <c r="V186" s="19">
        <f>MAX(0,I186-پارامترها!$B$9/1000000)</f>
        <v>9107.5</v>
      </c>
      <c r="W186" s="21">
        <f>V186/(G186*پارامترها!$B$7)</f>
        <v>56.187235499514273</v>
      </c>
      <c r="X186" s="21">
        <f>پارامترها!$B$12/1000000/(G186/12)*100</f>
        <v>89.449749136615637</v>
      </c>
      <c r="Y186" s="21">
        <f>ROUND(50*MIN(1,3/K186)+50*MIN(1,30/P186),1)</f>
        <v>25.1</v>
      </c>
      <c r="Z186" s="3">
        <f t="shared" si="8"/>
        <v>331</v>
      </c>
      <c r="AA186" s="19">
        <v>69</v>
      </c>
      <c r="AB186" s="19">
        <v>36</v>
      </c>
      <c r="AC186" s="3" t="s">
        <v>83</v>
      </c>
      <c r="AD186" s="3" t="s">
        <v>84</v>
      </c>
      <c r="AE186" s="3" t="s">
        <v>328</v>
      </c>
      <c r="AF186" s="23" t="s">
        <v>85</v>
      </c>
    </row>
    <row r="187" spans="1:32" x14ac:dyDescent="0.2">
      <c r="A187" s="3">
        <v>186</v>
      </c>
      <c r="B187" s="3">
        <v>11</v>
      </c>
      <c r="C187" s="3" t="s">
        <v>329</v>
      </c>
      <c r="D187" s="19">
        <v>19455</v>
      </c>
      <c r="E187" s="19">
        <f>ROUND(D187/INDEX(مناطق!$D$2:$D$23,B187),0)</f>
        <v>6803</v>
      </c>
      <c r="F187" s="20">
        <v>0.55420000000000003</v>
      </c>
      <c r="G187" s="19">
        <f>پارامترها!$B$5*F187/1000000</f>
        <v>539.4305700000001</v>
      </c>
      <c r="H187" s="21">
        <v>147.9</v>
      </c>
      <c r="I187" s="19">
        <f>H187*پارامترها!$B$6</f>
        <v>11092.5</v>
      </c>
      <c r="J187" s="22">
        <v>60</v>
      </c>
      <c r="K187" s="21">
        <f t="shared" si="6"/>
        <v>20.563350720000905</v>
      </c>
      <c r="L187" s="21">
        <f>I187/(پارامترها!$B$5/1000000)</f>
        <v>11.396208969024501</v>
      </c>
      <c r="M187" s="21">
        <f>K187/پارامترها!$B$7</f>
        <v>68.544502400003026</v>
      </c>
      <c r="N187" s="21">
        <v>16.239999999999998</v>
      </c>
      <c r="O187" s="21">
        <f>N187*پارامترها!$B$6*پارامترها!$B$16</f>
        <v>36.539999999999992</v>
      </c>
      <c r="P187" s="21">
        <f>O187*12/G187*100</f>
        <v>81.285715787297676</v>
      </c>
      <c r="Q187" s="21">
        <f>O187*12/(پارامترها!$B$5/1000000)*100</f>
        <v>45.048543689320368</v>
      </c>
      <c r="R187" s="3" t="str">
        <f t="shared" si="7"/>
        <v>فشار شدید</v>
      </c>
      <c r="S187" s="21">
        <f>(1-NORMSDIST((LN(O187*12*1000000/پارامترها!$B$8)-پارامترها!$B$15)/پارامترها!$B$14))*100</f>
        <v>18.066642962704684</v>
      </c>
      <c r="T187" s="21">
        <f>(1-NORMSDIST((LN(I187*1000000/5)-پارامترها!$B$15)/پارامترها!$B$14))*100</f>
        <v>9.5363619216202071</v>
      </c>
      <c r="U187" s="21">
        <f>MIN(100,پارامترها!$B$9/1000000/I187*100)</f>
        <v>18.030200585981518</v>
      </c>
      <c r="V187" s="19">
        <f>MAX(0,I187-پارامترها!$B$9/1000000)</f>
        <v>9092.5</v>
      </c>
      <c r="W187" s="21">
        <f>V187/(G187*پارامترها!$B$7)</f>
        <v>56.185791126619556</v>
      </c>
      <c r="X187" s="21">
        <f>پارامترها!$B$12/1000000/(G187/12)*100</f>
        <v>89.595012172023345</v>
      </c>
      <c r="Y187" s="21">
        <f>ROUND(50*MIN(1,3/K187)+50*MIN(1,30/P187),1)</f>
        <v>25.7</v>
      </c>
      <c r="Z187" s="3">
        <f t="shared" si="8"/>
        <v>313</v>
      </c>
      <c r="AA187" s="19">
        <v>86</v>
      </c>
      <c r="AB187" s="19">
        <v>70</v>
      </c>
      <c r="AC187" s="3" t="s">
        <v>83</v>
      </c>
      <c r="AD187" s="3" t="s">
        <v>84</v>
      </c>
      <c r="AE187" s="3" t="s">
        <v>329</v>
      </c>
      <c r="AF187" s="23" t="s">
        <v>85</v>
      </c>
    </row>
    <row r="188" spans="1:32" x14ac:dyDescent="0.2">
      <c r="A188" s="3">
        <v>187</v>
      </c>
      <c r="B188" s="3">
        <v>12</v>
      </c>
      <c r="C188" s="3" t="s">
        <v>330</v>
      </c>
      <c r="D188" s="19">
        <v>4273</v>
      </c>
      <c r="E188" s="19">
        <f>ROUND(D188/INDEX(مناطق!$D$2:$D$23,B188),0)</f>
        <v>1403</v>
      </c>
      <c r="F188" s="20">
        <v>1.0451999999999999</v>
      </c>
      <c r="G188" s="19">
        <f>پارامترها!$B$5*F188/1000000</f>
        <v>1017.34542</v>
      </c>
      <c r="H188" s="21">
        <v>256.89999999999998</v>
      </c>
      <c r="I188" s="19">
        <f>H188*پارامترها!$B$6</f>
        <v>19267.5</v>
      </c>
      <c r="J188" s="22">
        <v>50</v>
      </c>
      <c r="K188" s="21">
        <f t="shared" si="6"/>
        <v>18.938995174323388</v>
      </c>
      <c r="L188" s="21">
        <f>I188/(پارامترها!$B$5/1000000)</f>
        <v>19.795037756202802</v>
      </c>
      <c r="M188" s="21">
        <f>K188/پارامترها!$B$7</f>
        <v>63.129983914411298</v>
      </c>
      <c r="N188" s="21">
        <v>26.19</v>
      </c>
      <c r="O188" s="21">
        <f>N188*پارامترها!$B$6*پارامترها!$B$16</f>
        <v>58.927499999999995</v>
      </c>
      <c r="P188" s="21">
        <f>O188*12/G188*100</f>
        <v>69.507365551417124</v>
      </c>
      <c r="Q188" s="21">
        <f>O188*12/(پارامترها!$B$5/1000000)*100</f>
        <v>72.649098474341173</v>
      </c>
      <c r="R188" s="3" t="str">
        <f t="shared" si="7"/>
        <v>فشار شدید</v>
      </c>
      <c r="S188" s="21">
        <f>(1-NORMSDIST((LN(O188*12*1000000/پارامترها!$B$8)-پارامترها!$B$15)/پارامترها!$B$14))*100</f>
        <v>8.5988211630496849</v>
      </c>
      <c r="T188" s="21">
        <f>(1-NORMSDIST((LN(I188*1000000/5)-پارامترها!$B$15)/پارامترها!$B$14))*100</f>
        <v>3.3485186800191191</v>
      </c>
      <c r="U188" s="21">
        <f>MIN(100,پارامترها!$B$9/1000000/I188*100)</f>
        <v>10.380173867912287</v>
      </c>
      <c r="V188" s="19">
        <f>MAX(0,I188-پارامترها!$B$9/1000000)</f>
        <v>17267.5</v>
      </c>
      <c r="W188" s="21">
        <f>V188/(G188*پارامترها!$B$7)</f>
        <v>56.576981821310341</v>
      </c>
      <c r="X188" s="21">
        <f>پارامترها!$B$12/1000000/(G188/12)*100</f>
        <v>47.506272240466274</v>
      </c>
      <c r="Y188" s="21">
        <f>ROUND(50*MIN(1,3/K188)+50*MIN(1,30/P188),1)</f>
        <v>29.5</v>
      </c>
      <c r="Z188" s="3">
        <f t="shared" si="8"/>
        <v>194</v>
      </c>
      <c r="AA188" s="19">
        <v>3</v>
      </c>
      <c r="AB188" s="19">
        <v>2</v>
      </c>
      <c r="AC188" s="3" t="s">
        <v>83</v>
      </c>
      <c r="AD188" s="3" t="s">
        <v>84</v>
      </c>
      <c r="AE188" s="3" t="s">
        <v>330</v>
      </c>
      <c r="AF188" s="23" t="s">
        <v>152</v>
      </c>
    </row>
    <row r="189" spans="1:32" x14ac:dyDescent="0.2">
      <c r="A189" s="3">
        <v>188</v>
      </c>
      <c r="B189" s="3">
        <v>12</v>
      </c>
      <c r="C189" s="3" t="s">
        <v>331</v>
      </c>
      <c r="D189" s="19">
        <v>22600</v>
      </c>
      <c r="E189" s="19">
        <f>ROUND(D189/INDEX(مناطق!$D$2:$D$23,B189),0)</f>
        <v>7421</v>
      </c>
      <c r="F189" s="20">
        <v>1.0246</v>
      </c>
      <c r="G189" s="19">
        <f>پارامترها!$B$5*F189/1000000</f>
        <v>997.29441000000008</v>
      </c>
      <c r="H189" s="21">
        <v>252</v>
      </c>
      <c r="I189" s="19">
        <f>H189*پارامترها!$B$6</f>
        <v>18900</v>
      </c>
      <c r="J189" s="22">
        <v>101</v>
      </c>
      <c r="K189" s="21">
        <f t="shared" si="6"/>
        <v>18.951274378445579</v>
      </c>
      <c r="L189" s="21">
        <f>I189/(پارامترها!$B$5/1000000)</f>
        <v>19.417475728155338</v>
      </c>
      <c r="M189" s="21">
        <f>K189/پارامترها!$B$7</f>
        <v>63.170914594818598</v>
      </c>
      <c r="N189" s="21">
        <v>23</v>
      </c>
      <c r="O189" s="21">
        <f>N189*پارامترها!$B$6*پارامترها!$B$16</f>
        <v>51.75</v>
      </c>
      <c r="P189" s="21">
        <f>O189*12/G189*100</f>
        <v>62.268472957749751</v>
      </c>
      <c r="Q189" s="21">
        <f>O189*12/(پارامترها!$B$5/1000000)*100</f>
        <v>63.800277392510395</v>
      </c>
      <c r="R189" s="3" t="str">
        <f t="shared" si="7"/>
        <v>فشار شدید</v>
      </c>
      <c r="S189" s="21">
        <f>(1-NORMSDIST((LN(O189*12*1000000/پارامترها!$B$8)-پارامترها!$B$15)/پارامترها!$B$14))*100</f>
        <v>10.697991651802363</v>
      </c>
      <c r="T189" s="21">
        <f>(1-NORMSDIST((LN(I189*1000000/5)-پارامترها!$B$15)/پارامترها!$B$14))*100</f>
        <v>3.4868411461136395</v>
      </c>
      <c r="U189" s="21">
        <f>MIN(100,پارامترها!$B$9/1000000/I189*100)</f>
        <v>10.582010582010582</v>
      </c>
      <c r="V189" s="19">
        <f>MAX(0,I189-پارامترها!$B$9/1000000)</f>
        <v>16900</v>
      </c>
      <c r="W189" s="21">
        <f>V189/(G189*پارامترها!$B$7)</f>
        <v>56.48616172764202</v>
      </c>
      <c r="X189" s="21">
        <f>پارامترها!$B$12/1000000/(G189/12)*100</f>
        <v>48.461405178347981</v>
      </c>
      <c r="Y189" s="21">
        <f>ROUND(50*MIN(1,3/K189)+50*MIN(1,30/P189),1)</f>
        <v>32</v>
      </c>
      <c r="Z189" s="3">
        <f t="shared" si="8"/>
        <v>63</v>
      </c>
      <c r="AA189" s="19">
        <v>75</v>
      </c>
      <c r="AB189" s="19">
        <v>57</v>
      </c>
      <c r="AC189" s="3" t="s">
        <v>83</v>
      </c>
      <c r="AD189" s="3" t="s">
        <v>84</v>
      </c>
      <c r="AE189" s="3" t="s">
        <v>331</v>
      </c>
      <c r="AF189" s="23" t="s">
        <v>85</v>
      </c>
    </row>
    <row r="190" spans="1:32" x14ac:dyDescent="0.2">
      <c r="A190" s="3">
        <v>189</v>
      </c>
      <c r="B190" s="3">
        <v>12</v>
      </c>
      <c r="C190" s="3" t="s">
        <v>332</v>
      </c>
      <c r="D190" s="19">
        <v>33637</v>
      </c>
      <c r="E190" s="19">
        <f>ROUND(D190/INDEX(مناطق!$D$2:$D$23,B190),0)</f>
        <v>11045</v>
      </c>
      <c r="F190" s="20">
        <v>0.8256</v>
      </c>
      <c r="G190" s="19">
        <f>پارامترها!$B$5*F190/1000000</f>
        <v>803.59776000000011</v>
      </c>
      <c r="H190" s="21">
        <v>204.5</v>
      </c>
      <c r="I190" s="19">
        <f>H190*پارامترها!$B$6</f>
        <v>15337.5</v>
      </c>
      <c r="J190" s="22">
        <v>86</v>
      </c>
      <c r="K190" s="21">
        <f t="shared" si="6"/>
        <v>19.08604125526681</v>
      </c>
      <c r="L190" s="21">
        <f>I190/(پارامترها!$B$5/1000000)</f>
        <v>15.75743566034828</v>
      </c>
      <c r="M190" s="21">
        <f>K190/پارامترها!$B$7</f>
        <v>63.620137517556039</v>
      </c>
      <c r="N190" s="21">
        <v>19.98</v>
      </c>
      <c r="O190" s="21">
        <f>N190*پارامترها!$B$6*پارامترها!$B$16</f>
        <v>44.954999999999998</v>
      </c>
      <c r="P190" s="21">
        <f>O190*12/G190*100</f>
        <v>67.130600264490525</v>
      </c>
      <c r="Q190" s="21">
        <f>O190*12/(پارامترها!$B$5/1000000)*100</f>
        <v>55.423023578363384</v>
      </c>
      <c r="R190" s="3" t="str">
        <f t="shared" si="7"/>
        <v>فشار شدید</v>
      </c>
      <c r="S190" s="21">
        <f>(1-NORMSDIST((LN(O190*12*1000000/پارامترها!$B$8)-پارامترها!$B$15)/پارامترها!$B$14))*100</f>
        <v>13.364893968579795</v>
      </c>
      <c r="T190" s="21">
        <f>(1-NORMSDIST((LN(I190*1000000/5)-پارامترها!$B$15)/پارامترها!$B$14))*100</f>
        <v>5.3088823178715216</v>
      </c>
      <c r="U190" s="21">
        <f>MIN(100,پارامترها!$B$9/1000000/I190*100)</f>
        <v>13.039934800325998</v>
      </c>
      <c r="V190" s="19">
        <f>MAX(0,I190-پارامترها!$B$9/1000000)</f>
        <v>13337.5</v>
      </c>
      <c r="W190" s="21">
        <f>V190/(G190*پارامترها!$B$7)</f>
        <v>55.324113065388993</v>
      </c>
      <c r="X190" s="21">
        <f>پارامترها!$B$12/1000000/(G190/12)*100</f>
        <v>60.142388257915869</v>
      </c>
      <c r="Y190" s="21">
        <f>ROUND(50*MIN(1,3/K190)+50*MIN(1,30/P190),1)</f>
        <v>30.2</v>
      </c>
      <c r="Z190" s="3">
        <f t="shared" si="8"/>
        <v>156</v>
      </c>
      <c r="AA190" s="19">
        <v>85</v>
      </c>
      <c r="AB190" s="19">
        <v>75</v>
      </c>
      <c r="AC190" s="3" t="s">
        <v>83</v>
      </c>
      <c r="AD190" s="3" t="s">
        <v>84</v>
      </c>
      <c r="AE190" s="3" t="s">
        <v>332</v>
      </c>
      <c r="AF190" s="23" t="s">
        <v>85</v>
      </c>
    </row>
    <row r="191" spans="1:32" x14ac:dyDescent="0.2">
      <c r="A191" s="3">
        <v>190</v>
      </c>
      <c r="B191" s="3">
        <v>12</v>
      </c>
      <c r="C191" s="3" t="s">
        <v>333</v>
      </c>
      <c r="D191" s="19">
        <v>7637</v>
      </c>
      <c r="E191" s="19">
        <f>ROUND(D191/INDEX(مناطق!$D$2:$D$23,B191),0)</f>
        <v>2508</v>
      </c>
      <c r="F191" s="20">
        <v>0.75380000000000003</v>
      </c>
      <c r="G191" s="19">
        <f>پارامترها!$B$5*F191/1000000</f>
        <v>733.71123000000011</v>
      </c>
      <c r="H191" s="21">
        <v>187.3</v>
      </c>
      <c r="I191" s="19">
        <f>H191*پارامترها!$B$6</f>
        <v>14047.5</v>
      </c>
      <c r="J191" s="22">
        <v>85</v>
      </c>
      <c r="K191" s="21">
        <f t="shared" si="6"/>
        <v>19.145815718262888</v>
      </c>
      <c r="L191" s="21">
        <f>I191/(پارامترها!$B$5/1000000)</f>
        <v>14.432115888426566</v>
      </c>
      <c r="M191" s="21">
        <f>K191/پارامترها!$B$7</f>
        <v>63.819385727542965</v>
      </c>
      <c r="N191" s="21">
        <v>20.36</v>
      </c>
      <c r="O191" s="21">
        <f>N191*پارامترها!$B$6*پارامترها!$B$16</f>
        <v>45.809999999999995</v>
      </c>
      <c r="P191" s="21">
        <f>O191*12/G191*100</f>
        <v>74.923209230421591</v>
      </c>
      <c r="Q191" s="21">
        <f>O191*12/(پارامترها!$B$5/1000000)*100</f>
        <v>56.477115117891799</v>
      </c>
      <c r="R191" s="3" t="str">
        <f t="shared" si="7"/>
        <v>فشار شدید</v>
      </c>
      <c r="S191" s="21">
        <f>(1-NORMSDIST((LN(O191*12*1000000/پارامترها!$B$8)-پارامترها!$B$15)/پارامترها!$B$14))*100</f>
        <v>12.983582000603056</v>
      </c>
      <c r="T191" s="21">
        <f>(1-NORMSDIST((LN(I191*1000000/5)-پارامترها!$B$15)/پارامترها!$B$14))*100</f>
        <v>6.2720964020317904</v>
      </c>
      <c r="U191" s="21">
        <f>MIN(100,پارامترها!$B$9/1000000/I191*100)</f>
        <v>14.237408791599929</v>
      </c>
      <c r="V191" s="19">
        <f>MAX(0,I191-پارامترها!$B$9/1000000)</f>
        <v>12047.5</v>
      </c>
      <c r="W191" s="21">
        <f>V191/(G191*پارامترها!$B$7)</f>
        <v>54.73315889322469</v>
      </c>
      <c r="X191" s="21">
        <f>پارامترها!$B$12/1000000/(G191/12)*100</f>
        <v>65.87099462156452</v>
      </c>
      <c r="Y191" s="21">
        <f>ROUND(50*MIN(1,3/K191)+50*MIN(1,30/P191),1)</f>
        <v>27.9</v>
      </c>
      <c r="Z191" s="3">
        <f t="shared" si="8"/>
        <v>264</v>
      </c>
      <c r="AA191" s="19">
        <v>26</v>
      </c>
      <c r="AB191" s="19">
        <v>11</v>
      </c>
      <c r="AC191" s="3" t="s">
        <v>83</v>
      </c>
      <c r="AD191" s="3" t="s">
        <v>84</v>
      </c>
      <c r="AE191" s="3" t="s">
        <v>333</v>
      </c>
      <c r="AF191" s="23" t="s">
        <v>90</v>
      </c>
    </row>
    <row r="192" spans="1:32" ht="16.5" x14ac:dyDescent="0.3">
      <c r="A192" s="3">
        <v>191</v>
      </c>
      <c r="B192" s="3">
        <v>12</v>
      </c>
      <c r="C192" s="3" t="s">
        <v>334</v>
      </c>
      <c r="D192" s="19">
        <v>24186</v>
      </c>
      <c r="E192" s="19">
        <f>ROUND(D192/INDEX(مناطق!$D$2:$D$23,B192),0)</f>
        <v>7942</v>
      </c>
      <c r="F192" s="20">
        <v>0.73080000000000001</v>
      </c>
      <c r="G192" s="19">
        <f>پارامترها!$B$5*F192/1000000</f>
        <v>711.32418000000007</v>
      </c>
      <c r="H192" s="21">
        <v>181.8</v>
      </c>
      <c r="I192" s="19">
        <f>H192*پارامترها!$B$6</f>
        <v>13635</v>
      </c>
      <c r="J192" s="22">
        <v>75</v>
      </c>
      <c r="K192" s="21">
        <f t="shared" si="6"/>
        <v>19.16847533567606</v>
      </c>
      <c r="L192" s="21">
        <f>I192/(پارامترها!$B$5/1000000)</f>
        <v>14.008321775312064</v>
      </c>
      <c r="M192" s="21">
        <f>K192/پارامترها!$B$7</f>
        <v>63.89491778558687</v>
      </c>
      <c r="N192" s="21">
        <v>18.600000000000001</v>
      </c>
      <c r="O192" s="21">
        <f>N192*پارامترها!$B$6*پارامترها!$B$16</f>
        <v>41.85</v>
      </c>
      <c r="P192" s="21">
        <f>O192*12/G192*100</f>
        <v>70.600721038331642</v>
      </c>
      <c r="Q192" s="21">
        <f>O192*12/(پارامترها!$B$5/1000000)*100</f>
        <v>51.595006934812758</v>
      </c>
      <c r="R192" s="3" t="str">
        <f t="shared" si="7"/>
        <v>فشار شدید</v>
      </c>
      <c r="S192" s="21">
        <f>(1-NORMSDIST((LN(O192*12*1000000/پارامترها!$B$8)-پارامترها!$B$15)/پارامترها!$B$14))*100</f>
        <v>14.883157240621436</v>
      </c>
      <c r="T192" s="21">
        <f>(1-NORMSDIST((LN(I192*1000000/5)-پارامترها!$B$15)/پارامترها!$B$14))*100</f>
        <v>6.6281472567684023</v>
      </c>
      <c r="U192" s="21">
        <f>MIN(100,پارامترها!$B$9/1000000/I192*100)</f>
        <v>14.668133480014667</v>
      </c>
      <c r="V192" s="19">
        <f>MAX(0,I192-پارامترها!$B$9/1000000)</f>
        <v>11635</v>
      </c>
      <c r="W192" s="21">
        <f>V192/(G192*پارامترها!$B$7)</f>
        <v>54.522725957851357</v>
      </c>
      <c r="X192" s="21">
        <f>پارامترها!$B$12/1000000/(G192/12)*100</f>
        <v>67.944110215839288</v>
      </c>
      <c r="Y192" s="21">
        <f>ROUND(50*MIN(1,3/K192)+50*MIN(1,30/P192),1)</f>
        <v>29.1</v>
      </c>
      <c r="Z192" s="3">
        <f t="shared" si="8"/>
        <v>221</v>
      </c>
      <c r="AA192" s="19">
        <v>72</v>
      </c>
      <c r="AB192" s="19">
        <v>31</v>
      </c>
      <c r="AC192" s="3" t="s">
        <v>83</v>
      </c>
      <c r="AD192" s="3" t="s">
        <v>93</v>
      </c>
      <c r="AE192" s="3" t="s">
        <v>335</v>
      </c>
      <c r="AF192" s="23" t="s">
        <v>85</v>
      </c>
    </row>
    <row r="193" spans="1:32" x14ac:dyDescent="0.2">
      <c r="A193" s="3">
        <v>192</v>
      </c>
      <c r="B193" s="3">
        <v>12</v>
      </c>
      <c r="C193" s="3" t="s">
        <v>336</v>
      </c>
      <c r="D193" s="19">
        <v>15128</v>
      </c>
      <c r="E193" s="19">
        <f>ROUND(D193/INDEX(مناطق!$D$2:$D$23,B193),0)</f>
        <v>4967</v>
      </c>
      <c r="F193" s="20">
        <v>0.71140000000000003</v>
      </c>
      <c r="G193" s="19">
        <f>پارامترها!$B$5*F193/1000000</f>
        <v>692.44119000000012</v>
      </c>
      <c r="H193" s="21">
        <v>177.1</v>
      </c>
      <c r="I193" s="19">
        <f>H193*پارامترها!$B$6</f>
        <v>13282.5</v>
      </c>
      <c r="J193" s="22">
        <v>77</v>
      </c>
      <c r="K193" s="21">
        <f t="shared" si="6"/>
        <v>19.182134442348811</v>
      </c>
      <c r="L193" s="21">
        <f>I193/(پارامترها!$B$5/1000000)</f>
        <v>13.646170442286945</v>
      </c>
      <c r="M193" s="21">
        <f>K193/پارامترها!$B$7</f>
        <v>63.940448141162705</v>
      </c>
      <c r="N193" s="21">
        <v>19.670000000000002</v>
      </c>
      <c r="O193" s="21">
        <f>N193*پارامترها!$B$6*پارامترها!$B$16</f>
        <v>44.257500000000007</v>
      </c>
      <c r="P193" s="21">
        <f>O193*12/G193*100</f>
        <v>76.698210284110928</v>
      </c>
      <c r="Q193" s="21">
        <f>O193*12/(پارامترها!$B$5/1000000)*100</f>
        <v>54.563106796116514</v>
      </c>
      <c r="R193" s="3" t="str">
        <f t="shared" si="7"/>
        <v>فشار شدید</v>
      </c>
      <c r="S193" s="21">
        <f>(1-NORMSDIST((LN(O193*12*1000000/پارامترها!$B$8)-پارامترها!$B$15)/پارامترها!$B$14))*100</f>
        <v>13.68716797234395</v>
      </c>
      <c r="T193" s="21">
        <f>(1-NORMSDIST((LN(I193*1000000/5)-پارامترها!$B$15)/پارامترها!$B$14))*100</f>
        <v>6.953798814568934</v>
      </c>
      <c r="U193" s="21">
        <f>MIN(100,پارامترها!$B$9/1000000/I193*100)</f>
        <v>15.05740636175419</v>
      </c>
      <c r="V193" s="19">
        <f>MAX(0,I193-پارامترها!$B$9/1000000)</f>
        <v>11282.5</v>
      </c>
      <c r="W193" s="21">
        <f>V193/(G193*پارامترها!$B$7)</f>
        <v>54.312675035021137</v>
      </c>
      <c r="X193" s="21">
        <f>پارامترها!$B$12/1000000/(G193/12)*100</f>
        <v>69.796957753353013</v>
      </c>
      <c r="Y193" s="21">
        <f>ROUND(50*MIN(1,3/K193)+50*MIN(1,30/P193),1)</f>
        <v>27.4</v>
      </c>
      <c r="Z193" s="3">
        <f t="shared" si="8"/>
        <v>278</v>
      </c>
      <c r="AA193" s="19">
        <v>57</v>
      </c>
      <c r="AB193" s="19">
        <v>26</v>
      </c>
      <c r="AC193" s="3" t="s">
        <v>83</v>
      </c>
      <c r="AD193" s="3" t="s">
        <v>84</v>
      </c>
      <c r="AE193" s="3" t="s">
        <v>336</v>
      </c>
      <c r="AF193" s="23" t="s">
        <v>85</v>
      </c>
    </row>
    <row r="194" spans="1:32" ht="16.5" x14ac:dyDescent="0.3">
      <c r="A194" s="3">
        <v>193</v>
      </c>
      <c r="B194" s="3">
        <v>12</v>
      </c>
      <c r="C194" s="3" t="s">
        <v>337</v>
      </c>
      <c r="D194" s="19">
        <v>24479</v>
      </c>
      <c r="E194" s="19">
        <f>ROUND(D194/INDEX(مناطق!$D$2:$D$23,B194),0)</f>
        <v>8038</v>
      </c>
      <c r="F194" s="20">
        <v>0.68200000000000005</v>
      </c>
      <c r="G194" s="19">
        <f>پارامترها!$B$5*F194/1000000</f>
        <v>663.82470000000012</v>
      </c>
      <c r="H194" s="21">
        <v>170.1</v>
      </c>
      <c r="I194" s="19">
        <f>H194*پارامترها!$B$6</f>
        <v>12757.5</v>
      </c>
      <c r="J194" s="22"/>
      <c r="K194" s="21">
        <f t="shared" ref="K194:K257" si="9">I194/G194</f>
        <v>19.218176123907408</v>
      </c>
      <c r="L194" s="21">
        <f>I194/(پارامترها!$B$5/1000000)</f>
        <v>13.106796116504853</v>
      </c>
      <c r="M194" s="21">
        <f>K194/پارامترها!$B$7</f>
        <v>64.060587079691359</v>
      </c>
      <c r="N194" s="21">
        <v>16.739999999999998</v>
      </c>
      <c r="O194" s="21">
        <f>N194*پارامترها!$B$6*پارامترها!$B$16</f>
        <v>37.664999999999992</v>
      </c>
      <c r="P194" s="21">
        <f>O194*12/G194*100</f>
        <v>68.087252553271952</v>
      </c>
      <c r="Q194" s="21">
        <f>O194*12/(پارامترها!$B$5/1000000)*100</f>
        <v>46.435506241331467</v>
      </c>
      <c r="R194" s="3" t="str">
        <f t="shared" ref="R194:R257" si="10">IF(P194&lt;=30,"قابل استطاعت",IF(P194&lt;=50,"زیر فشار","فشار شدید"))</f>
        <v>فشار شدید</v>
      </c>
      <c r="S194" s="21">
        <f>(1-NORMSDIST((LN(O194*12*1000000/پارامترها!$B$8)-پارامترها!$B$15)/پارامترها!$B$14))*100</f>
        <v>17.320504379684643</v>
      </c>
      <c r="T194" s="21">
        <f>(1-NORMSDIST((LN(I194*1000000/5)-پارامترها!$B$15)/پارامترها!$B$14))*100</f>
        <v>7.4790993485823964</v>
      </c>
      <c r="U194" s="21">
        <f>MIN(100,پارامترها!$B$9/1000000/I194*100)</f>
        <v>15.677052714089751</v>
      </c>
      <c r="V194" s="19">
        <f>MAX(0,I194-پارامترها!$B$9/1000000)</f>
        <v>10757.5</v>
      </c>
      <c r="W194" s="21">
        <f>V194/(G194*پارامترها!$B$7)</f>
        <v>54.017775074252775</v>
      </c>
      <c r="X194" s="21">
        <f>پارامترها!$B$12/1000000/(G194/12)*100</f>
        <v>72.805800213688187</v>
      </c>
      <c r="Y194" s="21">
        <f>ROUND(50*MIN(1,3/K194)+50*MIN(1,30/P194),1)</f>
        <v>29.8</v>
      </c>
      <c r="Z194" s="3">
        <f t="shared" ref="Z194:Z257" si="11">RANK(Y194,$Y$2:$Y$350,0)</f>
        <v>172</v>
      </c>
      <c r="AA194" s="19">
        <v>0</v>
      </c>
      <c r="AB194" s="19">
        <v>0</v>
      </c>
      <c r="AC194" s="3" t="s">
        <v>103</v>
      </c>
      <c r="AD194" s="3" t="s">
        <v>104</v>
      </c>
      <c r="AE194" s="23" t="s">
        <v>105</v>
      </c>
      <c r="AF194" s="23" t="s">
        <v>106</v>
      </c>
    </row>
    <row r="195" spans="1:32" ht="16.5" x14ac:dyDescent="0.3">
      <c r="A195" s="3">
        <v>194</v>
      </c>
      <c r="B195" s="3">
        <v>12</v>
      </c>
      <c r="C195" s="3" t="s">
        <v>338</v>
      </c>
      <c r="D195" s="19">
        <v>11318</v>
      </c>
      <c r="E195" s="19">
        <f>ROUND(D195/INDEX(مناطق!$D$2:$D$23,B195),0)</f>
        <v>3716</v>
      </c>
      <c r="F195" s="20">
        <v>0.68200000000000005</v>
      </c>
      <c r="G195" s="19">
        <f>پارامترها!$B$5*F195/1000000</f>
        <v>663.82470000000012</v>
      </c>
      <c r="H195" s="21">
        <v>170.1</v>
      </c>
      <c r="I195" s="19">
        <f>H195*پارامترها!$B$6</f>
        <v>12757.5</v>
      </c>
      <c r="J195" s="22"/>
      <c r="K195" s="21">
        <f t="shared" si="9"/>
        <v>19.218176123907408</v>
      </c>
      <c r="L195" s="21">
        <f>I195/(پارامترها!$B$5/1000000)</f>
        <v>13.106796116504853</v>
      </c>
      <c r="M195" s="21">
        <f>K195/پارامترها!$B$7</f>
        <v>64.060587079691359</v>
      </c>
      <c r="N195" s="21">
        <v>16.739999999999998</v>
      </c>
      <c r="O195" s="21">
        <f>N195*پارامترها!$B$6*پارامترها!$B$16</f>
        <v>37.664999999999992</v>
      </c>
      <c r="P195" s="21">
        <f>O195*12/G195*100</f>
        <v>68.087252553271952</v>
      </c>
      <c r="Q195" s="21">
        <f>O195*12/(پارامترها!$B$5/1000000)*100</f>
        <v>46.435506241331467</v>
      </c>
      <c r="R195" s="3" t="str">
        <f t="shared" si="10"/>
        <v>فشار شدید</v>
      </c>
      <c r="S195" s="21">
        <f>(1-NORMSDIST((LN(O195*12*1000000/پارامترها!$B$8)-پارامترها!$B$15)/پارامترها!$B$14))*100</f>
        <v>17.320504379684643</v>
      </c>
      <c r="T195" s="21">
        <f>(1-NORMSDIST((LN(I195*1000000/5)-پارامترها!$B$15)/پارامترها!$B$14))*100</f>
        <v>7.4790993485823964</v>
      </c>
      <c r="U195" s="21">
        <f>MIN(100,پارامترها!$B$9/1000000/I195*100)</f>
        <v>15.677052714089751</v>
      </c>
      <c r="V195" s="19">
        <f>MAX(0,I195-پارامترها!$B$9/1000000)</f>
        <v>10757.5</v>
      </c>
      <c r="W195" s="21">
        <f>V195/(G195*پارامترها!$B$7)</f>
        <v>54.017775074252775</v>
      </c>
      <c r="X195" s="21">
        <f>پارامترها!$B$12/1000000/(G195/12)*100</f>
        <v>72.805800213688187</v>
      </c>
      <c r="Y195" s="21">
        <f>ROUND(50*MIN(1,3/K195)+50*MIN(1,30/P195),1)</f>
        <v>29.8</v>
      </c>
      <c r="Z195" s="3">
        <f t="shared" si="11"/>
        <v>172</v>
      </c>
      <c r="AA195" s="19">
        <v>0</v>
      </c>
      <c r="AB195" s="19">
        <v>0</v>
      </c>
      <c r="AC195" s="3" t="s">
        <v>103</v>
      </c>
      <c r="AD195" s="3" t="s">
        <v>104</v>
      </c>
      <c r="AE195" s="23" t="s">
        <v>105</v>
      </c>
      <c r="AF195" s="23" t="s">
        <v>106</v>
      </c>
    </row>
    <row r="196" spans="1:32" x14ac:dyDescent="0.2">
      <c r="A196" s="3">
        <v>195</v>
      </c>
      <c r="B196" s="3">
        <v>12</v>
      </c>
      <c r="C196" s="3" t="s">
        <v>339</v>
      </c>
      <c r="D196" s="19">
        <v>19355</v>
      </c>
      <c r="E196" s="19">
        <f>ROUND(D196/INDEX(مناطق!$D$2:$D$23,B196),0)</f>
        <v>6355</v>
      </c>
      <c r="F196" s="20">
        <v>0.63790000000000002</v>
      </c>
      <c r="G196" s="19">
        <f>پارامترها!$B$5*F196/1000000</f>
        <v>620.89996500000007</v>
      </c>
      <c r="H196" s="21">
        <v>159.4</v>
      </c>
      <c r="I196" s="19">
        <f>H196*پارامترها!$B$6</f>
        <v>11955</v>
      </c>
      <c r="J196" s="22">
        <v>91</v>
      </c>
      <c r="K196" s="21">
        <f t="shared" si="9"/>
        <v>19.254309347561325</v>
      </c>
      <c r="L196" s="21">
        <f>I196/(پارامترها!$B$5/1000000)</f>
        <v>12.282323932809367</v>
      </c>
      <c r="M196" s="21">
        <f>K196/پارامترها!$B$7</f>
        <v>64.181031158537749</v>
      </c>
      <c r="N196" s="21">
        <v>17.47</v>
      </c>
      <c r="O196" s="21">
        <f>N196*پارامترها!$B$6*پارامترها!$B$16</f>
        <v>39.307499999999997</v>
      </c>
      <c r="P196" s="21">
        <f>O196*12/G196*100</f>
        <v>75.968759315359264</v>
      </c>
      <c r="Q196" s="21">
        <f>O196*12/(پارامترها!$B$5/1000000)*100</f>
        <v>48.460471567267675</v>
      </c>
      <c r="R196" s="3" t="str">
        <f t="shared" si="10"/>
        <v>فشار شدید</v>
      </c>
      <c r="S196" s="21">
        <f>(1-NORMSDIST((LN(O196*12*1000000/پارامترها!$B$8)-پارامترها!$B$15)/پارامترها!$B$14))*100</f>
        <v>16.304004452531661</v>
      </c>
      <c r="T196" s="21">
        <f>(1-NORMSDIST((LN(I196*1000000/5)-پارامترها!$B$15)/پارامترها!$B$14))*100</f>
        <v>8.3882980131774865</v>
      </c>
      <c r="U196" s="21">
        <f>MIN(100,پارامترها!$B$9/1000000/I196*100)</f>
        <v>16.72940192388122</v>
      </c>
      <c r="V196" s="19">
        <f>MAX(0,I196-پارامترها!$B$9/1000000)</f>
        <v>9955</v>
      </c>
      <c r="W196" s="21">
        <f>V196/(G196*پارامترها!$B$7)</f>
        <v>53.443928497134529</v>
      </c>
      <c r="X196" s="21">
        <f>پارامترها!$B$12/1000000/(G196/12)*100</f>
        <v>77.839090367981413</v>
      </c>
      <c r="Y196" s="21">
        <f>ROUND(50*MIN(1,3/K196)+50*MIN(1,30/P196),1)</f>
        <v>27.5</v>
      </c>
      <c r="Z196" s="3">
        <f t="shared" si="11"/>
        <v>273</v>
      </c>
      <c r="AA196" s="19">
        <v>47</v>
      </c>
      <c r="AB196" s="19">
        <v>20</v>
      </c>
      <c r="AC196" s="3" t="s">
        <v>83</v>
      </c>
      <c r="AD196" s="3" t="s">
        <v>84</v>
      </c>
      <c r="AE196" s="3" t="s">
        <v>339</v>
      </c>
      <c r="AF196" s="23" t="s">
        <v>85</v>
      </c>
    </row>
    <row r="197" spans="1:32" ht="16.5" x14ac:dyDescent="0.3">
      <c r="A197" s="3">
        <v>196</v>
      </c>
      <c r="B197" s="3">
        <v>12</v>
      </c>
      <c r="C197" s="3" t="s">
        <v>340</v>
      </c>
      <c r="D197" s="19">
        <v>24584</v>
      </c>
      <c r="E197" s="19">
        <f>ROUND(D197/INDEX(مناطق!$D$2:$D$23,B197),0)</f>
        <v>8072</v>
      </c>
      <c r="F197" s="20">
        <v>0.63400000000000001</v>
      </c>
      <c r="G197" s="19">
        <f>پارامترها!$B$5*F197/1000000</f>
        <v>617.10390000000007</v>
      </c>
      <c r="H197" s="21">
        <v>158.5</v>
      </c>
      <c r="I197" s="19">
        <f>H197*پارامترها!$B$6</f>
        <v>11887.5</v>
      </c>
      <c r="J197" s="22">
        <v>84.5</v>
      </c>
      <c r="K197" s="21">
        <f t="shared" si="9"/>
        <v>19.263368777931884</v>
      </c>
      <c r="L197" s="21">
        <f>I197/(پارامترها!$B$5/1000000)</f>
        <v>12.212975805208814</v>
      </c>
      <c r="M197" s="21">
        <f>K197/پارامترها!$B$7</f>
        <v>64.211229259772949</v>
      </c>
      <c r="N197" s="21">
        <v>17.690000000000001</v>
      </c>
      <c r="O197" s="21">
        <f>N197*پارامترها!$B$6*پارامترها!$B$16</f>
        <v>39.802500000000002</v>
      </c>
      <c r="P197" s="21">
        <f>O197*12/G197*100</f>
        <v>77.398635788884164</v>
      </c>
      <c r="Q197" s="21">
        <f>O197*12/(پارامترها!$B$5/1000000)*100</f>
        <v>49.070735090152553</v>
      </c>
      <c r="R197" s="3" t="str">
        <f t="shared" si="10"/>
        <v>فشار شدید</v>
      </c>
      <c r="S197" s="21">
        <f>(1-NORMSDIST((LN(O197*12*1000000/پارامترها!$B$8)-پارامترها!$B$15)/پارامترها!$B$14))*100</f>
        <v>16.013484727846095</v>
      </c>
      <c r="T197" s="21">
        <f>(1-NORMSDIST((LN(I197*1000000/5)-پارامترها!$B$15)/پارامترها!$B$14))*100</f>
        <v>8.4713069136068455</v>
      </c>
      <c r="U197" s="21">
        <f>MIN(100,پارامترها!$B$9/1000000/I197*100)</f>
        <v>16.824395373291274</v>
      </c>
      <c r="V197" s="19">
        <f>MAX(0,I197-پارامترها!$B$9/1000000)</f>
        <v>9887.5</v>
      </c>
      <c r="W197" s="21">
        <f>V197/(G197*پارامترها!$B$7)</f>
        <v>53.40807817505825</v>
      </c>
      <c r="X197" s="21">
        <f>پارامترها!$B$12/1000000/(G197/12)*100</f>
        <v>78.317911270875925</v>
      </c>
      <c r="Y197" s="21">
        <f>ROUND(50*MIN(1,3/K197)+50*MIN(1,30/P197),1)</f>
        <v>27.2</v>
      </c>
      <c r="Z197" s="3">
        <f t="shared" si="11"/>
        <v>282</v>
      </c>
      <c r="AA197" s="19">
        <v>71</v>
      </c>
      <c r="AB197" s="19">
        <v>17</v>
      </c>
      <c r="AC197" s="3" t="s">
        <v>83</v>
      </c>
      <c r="AD197" s="3" t="s">
        <v>93</v>
      </c>
      <c r="AE197" s="3" t="s">
        <v>341</v>
      </c>
      <c r="AF197" s="23" t="s">
        <v>90</v>
      </c>
    </row>
    <row r="198" spans="1:32" x14ac:dyDescent="0.2">
      <c r="A198" s="3">
        <v>197</v>
      </c>
      <c r="B198" s="3">
        <v>12</v>
      </c>
      <c r="C198" s="3" t="s">
        <v>342</v>
      </c>
      <c r="D198" s="19">
        <v>26623</v>
      </c>
      <c r="E198" s="19">
        <f>ROUND(D198/INDEX(مناطق!$D$2:$D$23,B198),0)</f>
        <v>8742</v>
      </c>
      <c r="F198" s="20">
        <v>0.51919999999999999</v>
      </c>
      <c r="G198" s="19">
        <f>پارامترها!$B$5*F198/1000000</f>
        <v>505.36332000000004</v>
      </c>
      <c r="H198" s="21">
        <v>130.69999999999999</v>
      </c>
      <c r="I198" s="19">
        <f>H198*پارامترها!$B$6</f>
        <v>9802.5</v>
      </c>
      <c r="J198" s="22">
        <v>61</v>
      </c>
      <c r="K198" s="21">
        <f t="shared" si="9"/>
        <v>19.39693604988981</v>
      </c>
      <c r="L198" s="21">
        <f>I198/(پارامترها!$B$5/1000000)</f>
        <v>10.070889197102789</v>
      </c>
      <c r="M198" s="21">
        <f>K198/پارامترها!$B$7</f>
        <v>64.656453499632704</v>
      </c>
      <c r="N198" s="21">
        <v>14.13</v>
      </c>
      <c r="O198" s="21">
        <f>N198*پارامترها!$B$6*پارامترها!$B$16</f>
        <v>31.7925</v>
      </c>
      <c r="P198" s="21">
        <f>O198*12/G198*100</f>
        <v>75.492222110619338</v>
      </c>
      <c r="Q198" s="21">
        <f>O198*12/(پارامترها!$B$5/1000000)*100</f>
        <v>39.195561719833563</v>
      </c>
      <c r="R198" s="3" t="str">
        <f t="shared" si="10"/>
        <v>فشار شدید</v>
      </c>
      <c r="S198" s="21">
        <f>(1-NORMSDIST((LN(O198*12*1000000/پارامترها!$B$8)-پارامترها!$B$15)/پارامترها!$B$14))*100</f>
        <v>21.743432541924633</v>
      </c>
      <c r="T198" s="21">
        <f>(1-NORMSDIST((LN(I198*1000000/5)-پارامترها!$B$15)/پارامترها!$B$14))*100</f>
        <v>11.678221405233613</v>
      </c>
      <c r="U198" s="21">
        <f>MIN(100,پارامترها!$B$9/1000000/I198*100)</f>
        <v>20.402958428972202</v>
      </c>
      <c r="V198" s="19">
        <f>MAX(0,I198-پارامترها!$B$9/1000000)</f>
        <v>7802.5</v>
      </c>
      <c r="W198" s="21">
        <f>V198/(G198*پارامترها!$B$7)</f>
        <v>51.46462417045489</v>
      </c>
      <c r="X198" s="21">
        <f>پارامترها!$B$12/1000000/(G198/12)*100</f>
        <v>95.634737568827717</v>
      </c>
      <c r="Y198" s="21">
        <f>ROUND(50*MIN(1,3/K198)+50*MIN(1,30/P198),1)</f>
        <v>27.6</v>
      </c>
      <c r="Z198" s="3">
        <f t="shared" si="11"/>
        <v>271</v>
      </c>
      <c r="AA198" s="19">
        <v>75</v>
      </c>
      <c r="AB198" s="19">
        <v>46</v>
      </c>
      <c r="AC198" s="3" t="s">
        <v>83</v>
      </c>
      <c r="AD198" s="3" t="s">
        <v>84</v>
      </c>
      <c r="AE198" s="3" t="s">
        <v>342</v>
      </c>
      <c r="AF198" s="23" t="s">
        <v>85</v>
      </c>
    </row>
    <row r="199" spans="1:32" ht="16.5" x14ac:dyDescent="0.3">
      <c r="A199" s="3">
        <v>198</v>
      </c>
      <c r="B199" s="3">
        <v>12</v>
      </c>
      <c r="C199" s="3" t="s">
        <v>343</v>
      </c>
      <c r="D199" s="19">
        <v>25040</v>
      </c>
      <c r="E199" s="19">
        <f>ROUND(D199/INDEX(مناطق!$D$2:$D$23,B199),0)</f>
        <v>8222</v>
      </c>
      <c r="F199" s="20">
        <v>0.46589999999999998</v>
      </c>
      <c r="G199" s="19">
        <f>پارامترها!$B$5*F199/1000000</f>
        <v>453.48376500000006</v>
      </c>
      <c r="H199" s="21">
        <v>117.7</v>
      </c>
      <c r="I199" s="19">
        <f>H199*پارامترها!$B$6</f>
        <v>8827.5</v>
      </c>
      <c r="J199" s="22">
        <v>61</v>
      </c>
      <c r="K199" s="21">
        <f t="shared" si="9"/>
        <v>19.465966990020025</v>
      </c>
      <c r="L199" s="21">
        <f>I199/(پارامترها!$B$5/1000000)</f>
        <v>9.0691940206503308</v>
      </c>
      <c r="M199" s="21">
        <f>K199/پارامترها!$B$7</f>
        <v>64.88655663340009</v>
      </c>
      <c r="N199" s="21">
        <v>14.59</v>
      </c>
      <c r="O199" s="21">
        <f>N199*پارامترها!$B$6*پارامترها!$B$16</f>
        <v>32.827500000000001</v>
      </c>
      <c r="P199" s="21">
        <f>O199*12/G199*100</f>
        <v>86.867497891572796</v>
      </c>
      <c r="Q199" s="21">
        <f>O199*12/(پارامترها!$B$5/1000000)*100</f>
        <v>40.471567267683767</v>
      </c>
      <c r="R199" s="3" t="str">
        <f t="shared" si="10"/>
        <v>فشار شدید</v>
      </c>
      <c r="S199" s="21">
        <f>(1-NORMSDIST((LN(O199*12*1000000/پارامترها!$B$8)-پارامترها!$B$15)/پارامترها!$B$14))*100</f>
        <v>20.860876175014408</v>
      </c>
      <c r="T199" s="21">
        <f>(1-NORMSDIST((LN(I199*1000000/5)-پارامترها!$B$15)/پارامترها!$B$14))*100</f>
        <v>13.743661326301249</v>
      </c>
      <c r="U199" s="21">
        <f>MIN(100,پارامترها!$B$9/1000000/I199*100)</f>
        <v>22.656471254602096</v>
      </c>
      <c r="V199" s="19">
        <f>MAX(0,I199-پارامترها!$B$9/1000000)</f>
        <v>6827.5</v>
      </c>
      <c r="W199" s="21">
        <f>V199/(G199*پارامترها!$B$7)</f>
        <v>50.185552581652694</v>
      </c>
      <c r="X199" s="21">
        <f>پارامترها!$B$12/1000000/(G199/12)*100</f>
        <v>106.57556502626173</v>
      </c>
      <c r="Y199" s="21">
        <f>ROUND(50*MIN(1,3/K199)+50*MIN(1,30/P199),1)</f>
        <v>25</v>
      </c>
      <c r="Z199" s="3">
        <f t="shared" si="11"/>
        <v>334</v>
      </c>
      <c r="AA199" s="19">
        <v>67</v>
      </c>
      <c r="AB199" s="19">
        <v>26</v>
      </c>
      <c r="AC199" s="3" t="s">
        <v>83</v>
      </c>
      <c r="AD199" s="3" t="s">
        <v>84</v>
      </c>
      <c r="AE199" s="3" t="s">
        <v>344</v>
      </c>
      <c r="AF199" s="23" t="s">
        <v>85</v>
      </c>
    </row>
    <row r="200" spans="1:32" ht="16.5" x14ac:dyDescent="0.3">
      <c r="A200" s="3">
        <v>199</v>
      </c>
      <c r="B200" s="3">
        <v>12</v>
      </c>
      <c r="C200" s="3" t="s">
        <v>345</v>
      </c>
      <c r="D200" s="19">
        <v>2049</v>
      </c>
      <c r="E200" s="19">
        <f>ROUND(D200/INDEX(مناطق!$D$2:$D$23,B200),0)</f>
        <v>673</v>
      </c>
      <c r="F200" s="20">
        <v>0.45029999999999998</v>
      </c>
      <c r="G200" s="19">
        <f>پارامترها!$B$5*F200/1000000</f>
        <v>438.29950500000007</v>
      </c>
      <c r="H200" s="21">
        <v>113.9</v>
      </c>
      <c r="I200" s="19">
        <f>H200*پارامترها!$B$6</f>
        <v>8542.5</v>
      </c>
      <c r="J200" s="22">
        <v>86.5</v>
      </c>
      <c r="K200" s="21">
        <f t="shared" si="9"/>
        <v>19.490097302300168</v>
      </c>
      <c r="L200" s="21">
        <f>I200/(پارامترها!$B$5/1000000)</f>
        <v>8.7763908152257653</v>
      </c>
      <c r="M200" s="21">
        <f>K200/پارامترها!$B$7</f>
        <v>64.966991007667232</v>
      </c>
      <c r="N200" s="21">
        <v>11.06</v>
      </c>
      <c r="O200" s="21">
        <f>N200*پارامترها!$B$6*پارامترها!$B$16</f>
        <v>24.884999999999998</v>
      </c>
      <c r="P200" s="21">
        <f>O200*12/G200*100</f>
        <v>68.13149378300119</v>
      </c>
      <c r="Q200" s="21">
        <f>O200*12/(پارامترها!$B$5/1000000)*100</f>
        <v>30.679611650485434</v>
      </c>
      <c r="R200" s="3" t="str">
        <f t="shared" si="10"/>
        <v>فشار شدید</v>
      </c>
      <c r="S200" s="21">
        <f>(1-NORMSDIST((LN(O200*12*1000000/پارامترها!$B$8)-پارامترها!$B$15)/پارامترها!$B$14))*100</f>
        <v>29.161972944952009</v>
      </c>
      <c r="T200" s="21">
        <f>(1-NORMSDIST((LN(I200*1000000/5)-پارامترها!$B$15)/پارامترها!$B$14))*100</f>
        <v>14.439110156905045</v>
      </c>
      <c r="U200" s="21">
        <f>MIN(100,پارامترها!$B$9/1000000/I200*100)</f>
        <v>23.412350014632718</v>
      </c>
      <c r="V200" s="19">
        <f>MAX(0,I200-پارامترها!$B$9/1000000)</f>
        <v>6542.5</v>
      </c>
      <c r="W200" s="21">
        <f>V200/(G200*پارامترها!$B$7)</f>
        <v>49.756691678977212</v>
      </c>
      <c r="X200" s="21">
        <f>پارامترها!$B$12/1000000/(G200/12)*100</f>
        <v>110.26772317507294</v>
      </c>
      <c r="Y200" s="21">
        <f>ROUND(50*MIN(1,3/K200)+50*MIN(1,30/P200),1)</f>
        <v>29.7</v>
      </c>
      <c r="Z200" s="3">
        <f t="shared" si="11"/>
        <v>179</v>
      </c>
      <c r="AA200" s="19">
        <v>2</v>
      </c>
      <c r="AB200" s="19">
        <v>2</v>
      </c>
      <c r="AC200" s="3" t="s">
        <v>83</v>
      </c>
      <c r="AD200" s="3" t="s">
        <v>93</v>
      </c>
      <c r="AE200" s="3" t="s">
        <v>346</v>
      </c>
      <c r="AF200" s="23" t="s">
        <v>152</v>
      </c>
    </row>
    <row r="201" spans="1:32" ht="16.5" x14ac:dyDescent="0.3">
      <c r="A201" s="3">
        <v>200</v>
      </c>
      <c r="B201" s="3">
        <v>13</v>
      </c>
      <c r="C201" s="3" t="s">
        <v>347</v>
      </c>
      <c r="D201" s="19">
        <v>26396</v>
      </c>
      <c r="E201" s="19">
        <f>ROUND(D201/INDEX(مناطق!$D$2:$D$23,B201),0)</f>
        <v>8880</v>
      </c>
      <c r="F201" s="20">
        <v>1.0085999999999999</v>
      </c>
      <c r="G201" s="19">
        <f>پارامترها!$B$5*F201/1000000</f>
        <v>981.72081000000014</v>
      </c>
      <c r="H201" s="21">
        <v>254.1</v>
      </c>
      <c r="I201" s="19">
        <f>H201*پارامترها!$B$6</f>
        <v>19057.5</v>
      </c>
      <c r="J201" s="22">
        <v>88</v>
      </c>
      <c r="K201" s="21">
        <f t="shared" si="9"/>
        <v>19.412341885673175</v>
      </c>
      <c r="L201" s="21">
        <f>I201/(پارامترها!$B$5/1000000)</f>
        <v>19.579288025889966</v>
      </c>
      <c r="M201" s="21">
        <f>K201/پارامترها!$B$7</f>
        <v>64.707806285577249</v>
      </c>
      <c r="N201" s="21">
        <v>24.98</v>
      </c>
      <c r="O201" s="21">
        <f>N201*پارامترها!$B$6*پارامترها!$B$16</f>
        <v>56.204999999999998</v>
      </c>
      <c r="P201" s="21">
        <f>O201*12/G201*100</f>
        <v>68.701813502354099</v>
      </c>
      <c r="Q201" s="21">
        <f>O201*12/(پارامترها!$B$5/1000000)*100</f>
        <v>69.292649098474328</v>
      </c>
      <c r="R201" s="3" t="str">
        <f t="shared" si="10"/>
        <v>فشار شدید</v>
      </c>
      <c r="S201" s="21">
        <f>(1-NORMSDIST((LN(O201*12*1000000/پارامترها!$B$8)-پارامترها!$B$15)/پارامترها!$B$14))*100</f>
        <v>9.3244357639697064</v>
      </c>
      <c r="T201" s="21">
        <f>(1-NORMSDIST((LN(I201*1000000/5)-پارامترها!$B$15)/پارامترها!$B$14))*100</f>
        <v>3.4266689410735074</v>
      </c>
      <c r="U201" s="21">
        <f>MIN(100,پارامترها!$B$9/1000000/I201*100)</f>
        <v>10.494555949101404</v>
      </c>
      <c r="V201" s="19">
        <f>MAX(0,I201-پارامترها!$B$9/1000000)</f>
        <v>17057.5</v>
      </c>
      <c r="W201" s="21">
        <f>V201/(G201*پارامترها!$B$7)</f>
        <v>57.917009351501193</v>
      </c>
      <c r="X201" s="21">
        <f>پارامترها!$B$12/1000000/(G201/12)*100</f>
        <v>49.230176230155998</v>
      </c>
      <c r="Y201" s="21">
        <f>ROUND(50*MIN(1,3/K201)+50*MIN(1,30/P201),1)</f>
        <v>29.6</v>
      </c>
      <c r="Z201" s="3">
        <f t="shared" si="11"/>
        <v>185</v>
      </c>
      <c r="AA201" s="19">
        <v>91</v>
      </c>
      <c r="AB201" s="19">
        <v>82</v>
      </c>
      <c r="AC201" s="3" t="s">
        <v>83</v>
      </c>
      <c r="AD201" s="3" t="s">
        <v>84</v>
      </c>
      <c r="AE201" s="3" t="s">
        <v>348</v>
      </c>
      <c r="AF201" s="23" t="s">
        <v>85</v>
      </c>
    </row>
    <row r="202" spans="1:32" ht="16.5" x14ac:dyDescent="0.3">
      <c r="A202" s="3">
        <v>201</v>
      </c>
      <c r="B202" s="3">
        <v>13</v>
      </c>
      <c r="C202" s="3" t="s">
        <v>349</v>
      </c>
      <c r="D202" s="19">
        <v>20504</v>
      </c>
      <c r="E202" s="19">
        <f>ROUND(D202/INDEX(مناطق!$D$2:$D$23,B202),0)</f>
        <v>6898</v>
      </c>
      <c r="F202" s="20">
        <v>1.0085999999999999</v>
      </c>
      <c r="G202" s="19">
        <f>پارامترها!$B$5*F202/1000000</f>
        <v>981.72081000000014</v>
      </c>
      <c r="H202" s="21">
        <v>254.1</v>
      </c>
      <c r="I202" s="19">
        <f>H202*پارامترها!$B$6</f>
        <v>19057.5</v>
      </c>
      <c r="J202" s="22">
        <v>88</v>
      </c>
      <c r="K202" s="21">
        <f t="shared" si="9"/>
        <v>19.412341885673175</v>
      </c>
      <c r="L202" s="21">
        <f>I202/(پارامترها!$B$5/1000000)</f>
        <v>19.579288025889966</v>
      </c>
      <c r="M202" s="21">
        <f>K202/پارامترها!$B$7</f>
        <v>64.707806285577249</v>
      </c>
      <c r="N202" s="21">
        <v>24.98</v>
      </c>
      <c r="O202" s="21">
        <f>N202*پارامترها!$B$6*پارامترها!$B$16</f>
        <v>56.204999999999998</v>
      </c>
      <c r="P202" s="21">
        <f>O202*12/G202*100</f>
        <v>68.701813502354099</v>
      </c>
      <c r="Q202" s="21">
        <f>O202*12/(پارامترها!$B$5/1000000)*100</f>
        <v>69.292649098474328</v>
      </c>
      <c r="R202" s="3" t="str">
        <f t="shared" si="10"/>
        <v>فشار شدید</v>
      </c>
      <c r="S202" s="21">
        <f>(1-NORMSDIST((LN(O202*12*1000000/پارامترها!$B$8)-پارامترها!$B$15)/پارامترها!$B$14))*100</f>
        <v>9.3244357639697064</v>
      </c>
      <c r="T202" s="21">
        <f>(1-NORMSDIST((LN(I202*1000000/5)-پارامترها!$B$15)/پارامترها!$B$14))*100</f>
        <v>3.4266689410735074</v>
      </c>
      <c r="U202" s="21">
        <f>MIN(100,پارامترها!$B$9/1000000/I202*100)</f>
        <v>10.494555949101404</v>
      </c>
      <c r="V202" s="19">
        <f>MAX(0,I202-پارامترها!$B$9/1000000)</f>
        <v>17057.5</v>
      </c>
      <c r="W202" s="21">
        <f>V202/(G202*پارامترها!$B$7)</f>
        <v>57.917009351501193</v>
      </c>
      <c r="X202" s="21">
        <f>پارامترها!$B$12/1000000/(G202/12)*100</f>
        <v>49.230176230155998</v>
      </c>
      <c r="Y202" s="21">
        <f>ROUND(50*MIN(1,3/K202)+50*MIN(1,30/P202),1)</f>
        <v>29.6</v>
      </c>
      <c r="Z202" s="3">
        <f t="shared" si="11"/>
        <v>185</v>
      </c>
      <c r="AA202" s="19">
        <v>91</v>
      </c>
      <c r="AB202" s="19">
        <v>82</v>
      </c>
      <c r="AC202" s="3" t="s">
        <v>83</v>
      </c>
      <c r="AD202" s="3" t="s">
        <v>84</v>
      </c>
      <c r="AE202" s="3" t="s">
        <v>348</v>
      </c>
      <c r="AF202" s="23" t="s">
        <v>85</v>
      </c>
    </row>
    <row r="203" spans="1:32" x14ac:dyDescent="0.2">
      <c r="A203" s="3">
        <v>202</v>
      </c>
      <c r="B203" s="3">
        <v>13</v>
      </c>
      <c r="C203" s="3" t="s">
        <v>350</v>
      </c>
      <c r="D203" s="19">
        <v>22585</v>
      </c>
      <c r="E203" s="19">
        <f>ROUND(D203/INDEX(مناطق!$D$2:$D$23,B203),0)</f>
        <v>7598</v>
      </c>
      <c r="F203" s="20">
        <v>0.90049999999999997</v>
      </c>
      <c r="G203" s="19">
        <f>پارامترها!$B$5*F203/1000000</f>
        <v>876.50167500000009</v>
      </c>
      <c r="H203" s="21">
        <v>227.7</v>
      </c>
      <c r="I203" s="19">
        <f>H203*پارامترها!$B$6</f>
        <v>17077.5</v>
      </c>
      <c r="J203" s="22">
        <v>84</v>
      </c>
      <c r="K203" s="21">
        <f t="shared" si="9"/>
        <v>19.483704922754423</v>
      </c>
      <c r="L203" s="21">
        <f>I203/(پارامترها!$B$5/1000000)</f>
        <v>17.545076282940357</v>
      </c>
      <c r="M203" s="21">
        <f>K203/پارامترها!$B$7</f>
        <v>64.945683075848081</v>
      </c>
      <c r="N203" s="21">
        <v>21.08</v>
      </c>
      <c r="O203" s="21">
        <f>N203*پارامترها!$B$6*پارامترها!$B$16</f>
        <v>47.429999999999993</v>
      </c>
      <c r="P203" s="21">
        <f>O203*12/G203*100</f>
        <v>64.935414983662156</v>
      </c>
      <c r="Q203" s="21">
        <f>O203*12/(پارامترها!$B$5/1000000)*100</f>
        <v>58.474341192787769</v>
      </c>
      <c r="R203" s="3" t="str">
        <f t="shared" si="10"/>
        <v>فشار شدید</v>
      </c>
      <c r="S203" s="21">
        <f>(1-NORMSDIST((LN(O203*12*1000000/پارامترها!$B$8)-پارامترها!$B$15)/پارامترها!$B$14))*100</f>
        <v>12.30013650156183</v>
      </c>
      <c r="T203" s="21">
        <f>(1-NORMSDIST((LN(I203*1000000/5)-پارامترها!$B$15)/پارامترها!$B$14))*100</f>
        <v>4.2944989851050552</v>
      </c>
      <c r="U203" s="21">
        <f>MIN(100,پارامترها!$B$9/1000000/I203*100)</f>
        <v>11.711316059142145</v>
      </c>
      <c r="V203" s="19">
        <f>MAX(0,I203-پارامترها!$B$9/1000000)</f>
        <v>15077.5</v>
      </c>
      <c r="W203" s="21">
        <f>V203/(G203*پارامترها!$B$7)</f>
        <v>57.339688864066723</v>
      </c>
      <c r="X203" s="21">
        <f>پارامترها!$B$12/1000000/(G203/12)*100</f>
        <v>55.139984170722201</v>
      </c>
      <c r="Y203" s="21">
        <f>ROUND(50*MIN(1,3/K203)+50*MIN(1,30/P203),1)</f>
        <v>30.8</v>
      </c>
      <c r="Z203" s="3">
        <f t="shared" si="11"/>
        <v>113</v>
      </c>
      <c r="AA203" s="19">
        <v>78</v>
      </c>
      <c r="AB203" s="19">
        <v>70</v>
      </c>
      <c r="AC203" s="3" t="s">
        <v>83</v>
      </c>
      <c r="AD203" s="3" t="s">
        <v>84</v>
      </c>
      <c r="AE203" s="3" t="s">
        <v>350</v>
      </c>
      <c r="AF203" s="23" t="s">
        <v>85</v>
      </c>
    </row>
    <row r="204" spans="1:32" x14ac:dyDescent="0.2">
      <c r="A204" s="3">
        <v>203</v>
      </c>
      <c r="B204" s="3">
        <v>13</v>
      </c>
      <c r="C204" s="3" t="s">
        <v>351</v>
      </c>
      <c r="D204" s="19">
        <v>32812</v>
      </c>
      <c r="E204" s="19">
        <f>ROUND(D204/INDEX(مناطق!$D$2:$D$23,B204),0)</f>
        <v>11039</v>
      </c>
      <c r="F204" s="20">
        <v>0.86180000000000001</v>
      </c>
      <c r="G204" s="19">
        <f>پارامترها!$B$5*F204/1000000</f>
        <v>838.83303000000012</v>
      </c>
      <c r="H204" s="21">
        <v>218.3</v>
      </c>
      <c r="I204" s="19">
        <f>H204*پارامترها!$B$6</f>
        <v>16372.5</v>
      </c>
      <c r="J204" s="22">
        <v>80</v>
      </c>
      <c r="K204" s="21">
        <f t="shared" si="9"/>
        <v>19.518187069958365</v>
      </c>
      <c r="L204" s="21">
        <f>I204/(پارامترها!$B$5/1000000)</f>
        <v>16.820773616890119</v>
      </c>
      <c r="M204" s="21">
        <f>K204/پارامترها!$B$7</f>
        <v>65.060623566527894</v>
      </c>
      <c r="N204" s="21">
        <v>21.63</v>
      </c>
      <c r="O204" s="21">
        <f>N204*پارامترها!$B$6*پارامترها!$B$16</f>
        <v>48.667499999999997</v>
      </c>
      <c r="P204" s="21">
        <f>O204*12/G204*100</f>
        <v>69.621721977256897</v>
      </c>
      <c r="Q204" s="21">
        <f>O204*12/(پارامترها!$B$5/1000000)*100</f>
        <v>59.999999999999986</v>
      </c>
      <c r="R204" s="3" t="str">
        <f t="shared" si="10"/>
        <v>فشار شدید</v>
      </c>
      <c r="S204" s="21">
        <f>(1-NORMSDIST((LN(O204*12*1000000/پارامترها!$B$8)-پارامترها!$B$15)/پارامترها!$B$14))*100</f>
        <v>11.810156336128241</v>
      </c>
      <c r="T204" s="21">
        <f>(1-NORMSDIST((LN(I204*1000000/5)-پارامترها!$B$15)/پارامترها!$B$14))*100</f>
        <v>4.6720259875653198</v>
      </c>
      <c r="U204" s="21">
        <f>MIN(100,پارامترها!$B$9/1000000/I204*100)</f>
        <v>12.21560543594442</v>
      </c>
      <c r="V204" s="19">
        <f>MAX(0,I204-پارامترها!$B$9/1000000)</f>
        <v>14372.5</v>
      </c>
      <c r="W204" s="21">
        <f>V204/(G204*پارامترها!$B$7)</f>
        <v>57.113074497475772</v>
      </c>
      <c r="X204" s="21">
        <f>پارامترها!$B$12/1000000/(G204/12)*100</f>
        <v>57.616100888530219</v>
      </c>
      <c r="Y204" s="21">
        <f>ROUND(50*MIN(1,3/K204)+50*MIN(1,30/P204),1)</f>
        <v>29.2</v>
      </c>
      <c r="Z204" s="3">
        <f t="shared" si="11"/>
        <v>218</v>
      </c>
      <c r="AA204" s="19">
        <v>82</v>
      </c>
      <c r="AB204" s="19">
        <v>81</v>
      </c>
      <c r="AC204" s="3" t="s">
        <v>83</v>
      </c>
      <c r="AD204" s="3" t="s">
        <v>84</v>
      </c>
      <c r="AE204" s="3" t="s">
        <v>351</v>
      </c>
      <c r="AF204" s="23" t="s">
        <v>85</v>
      </c>
    </row>
    <row r="205" spans="1:32" x14ac:dyDescent="0.2">
      <c r="A205" s="3">
        <v>204</v>
      </c>
      <c r="B205" s="3">
        <v>13</v>
      </c>
      <c r="C205" s="3" t="s">
        <v>352</v>
      </c>
      <c r="D205" s="19">
        <v>17131</v>
      </c>
      <c r="E205" s="19">
        <f>ROUND(D205/INDEX(مناطق!$D$2:$D$23,B205),0)</f>
        <v>5763</v>
      </c>
      <c r="F205" s="20">
        <v>0.85709999999999997</v>
      </c>
      <c r="G205" s="19">
        <f>پارامترها!$B$5*F205/1000000</f>
        <v>834.25828500000011</v>
      </c>
      <c r="H205" s="21">
        <v>217.1</v>
      </c>
      <c r="I205" s="19">
        <f>H205*پارامترها!$B$6</f>
        <v>16282.5</v>
      </c>
      <c r="J205" s="22">
        <v>85</v>
      </c>
      <c r="K205" s="21">
        <f t="shared" si="9"/>
        <v>19.517336888059791</v>
      </c>
      <c r="L205" s="21">
        <f>I205/(پارامترها!$B$5/1000000)</f>
        <v>16.728309446756047</v>
      </c>
      <c r="M205" s="21">
        <f>K205/پارامترها!$B$7</f>
        <v>65.057789626865969</v>
      </c>
      <c r="N205" s="21">
        <v>21.64</v>
      </c>
      <c r="O205" s="21">
        <f>N205*پارامترها!$B$6*پارامترها!$B$16</f>
        <v>48.69</v>
      </c>
      <c r="P205" s="21">
        <f>O205*12/G205*100</f>
        <v>70.035864252759552</v>
      </c>
      <c r="Q205" s="21">
        <f>O205*12/(پارامترها!$B$5/1000000)*100</f>
        <v>60.027739251040217</v>
      </c>
      <c r="R205" s="3" t="str">
        <f t="shared" si="10"/>
        <v>فشار شدید</v>
      </c>
      <c r="S205" s="21">
        <f>(1-NORMSDIST((LN(O205*12*1000000/پارامترها!$B$8)-پارامترها!$B$15)/پارامترها!$B$14))*100</f>
        <v>11.80149131689403</v>
      </c>
      <c r="T205" s="21">
        <f>(1-NORMSDIST((LN(I205*1000000/5)-پارامترها!$B$15)/پارامترها!$B$14))*100</f>
        <v>4.7232977840932282</v>
      </c>
      <c r="U205" s="21">
        <f>MIN(100,پارامترها!$B$9/1000000/I205*100)</f>
        <v>12.283126055581144</v>
      </c>
      <c r="V205" s="19">
        <f>MAX(0,I205-پارامترها!$B$9/1000000)</f>
        <v>14282.5</v>
      </c>
      <c r="W205" s="21">
        <f>V205/(G205*پارامترها!$B$7)</f>
        <v>57.066659318023234</v>
      </c>
      <c r="X205" s="21">
        <f>پارامترها!$B$12/1000000/(G205/12)*100</f>
        <v>57.932044972273175</v>
      </c>
      <c r="Y205" s="21">
        <f>ROUND(50*MIN(1,3/K205)+50*MIN(1,30/P205),1)</f>
        <v>29.1</v>
      </c>
      <c r="Z205" s="3">
        <f t="shared" si="11"/>
        <v>221</v>
      </c>
      <c r="AA205" s="19">
        <v>90</v>
      </c>
      <c r="AB205" s="19">
        <v>86</v>
      </c>
      <c r="AC205" s="3" t="s">
        <v>83</v>
      </c>
      <c r="AD205" s="3" t="s">
        <v>84</v>
      </c>
      <c r="AE205" s="3" t="s">
        <v>191</v>
      </c>
      <c r="AF205" s="23" t="s">
        <v>85</v>
      </c>
    </row>
    <row r="206" spans="1:32" x14ac:dyDescent="0.2">
      <c r="A206" s="3">
        <v>205</v>
      </c>
      <c r="B206" s="3">
        <v>13</v>
      </c>
      <c r="C206" s="3" t="s">
        <v>353</v>
      </c>
      <c r="D206" s="19">
        <v>22750</v>
      </c>
      <c r="E206" s="19">
        <f>ROUND(D206/INDEX(مناطق!$D$2:$D$23,B206),0)</f>
        <v>7654</v>
      </c>
      <c r="F206" s="20">
        <v>0.84909999999999997</v>
      </c>
      <c r="G206" s="19">
        <f>پارامترها!$B$5*F206/1000000</f>
        <v>826.47148500000014</v>
      </c>
      <c r="H206" s="21">
        <v>215.2</v>
      </c>
      <c r="I206" s="19">
        <f>H206*پارامترها!$B$6</f>
        <v>16140</v>
      </c>
      <c r="J206" s="22">
        <v>70</v>
      </c>
      <c r="K206" s="21">
        <f t="shared" si="9"/>
        <v>19.528804432980525</v>
      </c>
      <c r="L206" s="21">
        <f>I206/(پارامترها!$B$5/1000000)</f>
        <v>16.581907844043766</v>
      </c>
      <c r="M206" s="21">
        <f>K206/پارامترها!$B$7</f>
        <v>65.096014776601749</v>
      </c>
      <c r="N206" s="21">
        <v>21.91</v>
      </c>
      <c r="O206" s="21">
        <f>N206*پارامترها!$B$6*پارامترها!$B$16</f>
        <v>49.297499999999999</v>
      </c>
      <c r="P206" s="21">
        <f>O206*12/G206*100</f>
        <v>71.57778710296337</v>
      </c>
      <c r="Q206" s="21">
        <f>O206*12/(پارامترها!$B$5/1000000)*100</f>
        <v>60.776699029126199</v>
      </c>
      <c r="R206" s="3" t="str">
        <f t="shared" si="10"/>
        <v>فشار شدید</v>
      </c>
      <c r="S206" s="21">
        <f>(1-NORMSDIST((LN(O206*12*1000000/پارامترها!$B$8)-پارامترها!$B$15)/پارامترها!$B$14))*100</f>
        <v>11.570713700540203</v>
      </c>
      <c r="T206" s="21">
        <f>(1-NORMSDIST((LN(I206*1000000/5)-پارامترها!$B$15)/پارامترها!$B$14))*100</f>
        <v>4.8059926414277587</v>
      </c>
      <c r="U206" s="21">
        <f>MIN(100,پارامترها!$B$9/1000000/I206*100)</f>
        <v>12.391573729863694</v>
      </c>
      <c r="V206" s="19">
        <f>MAX(0,I206-پارامترها!$B$9/1000000)</f>
        <v>14140</v>
      </c>
      <c r="W206" s="21">
        <f>V206/(G206*پارامترها!$B$7)</f>
        <v>57.029594110356179</v>
      </c>
      <c r="X206" s="21">
        <f>پارامترها!$B$12/1000000/(G206/12)*100</f>
        <v>58.477865676287053</v>
      </c>
      <c r="Y206" s="21">
        <f>ROUND(50*MIN(1,3/K206)+50*MIN(1,30/P206),1)</f>
        <v>28.6</v>
      </c>
      <c r="Z206" s="3">
        <f t="shared" si="11"/>
        <v>235</v>
      </c>
      <c r="AA206" s="19">
        <v>80</v>
      </c>
      <c r="AB206" s="19">
        <v>90</v>
      </c>
      <c r="AC206" s="3" t="s">
        <v>83</v>
      </c>
      <c r="AD206" s="3" t="s">
        <v>84</v>
      </c>
      <c r="AE206" s="3" t="s">
        <v>353</v>
      </c>
      <c r="AF206" s="23" t="s">
        <v>85</v>
      </c>
    </row>
    <row r="207" spans="1:32" x14ac:dyDescent="0.2">
      <c r="A207" s="3">
        <v>206</v>
      </c>
      <c r="B207" s="3">
        <v>13</v>
      </c>
      <c r="C207" s="3" t="s">
        <v>354</v>
      </c>
      <c r="D207" s="19">
        <v>19915</v>
      </c>
      <c r="E207" s="19">
        <f>ROUND(D207/INDEX(مناطق!$D$2:$D$23,B207),0)</f>
        <v>6700</v>
      </c>
      <c r="F207" s="20">
        <v>0.83130000000000004</v>
      </c>
      <c r="G207" s="19">
        <f>پارامترها!$B$5*F207/1000000</f>
        <v>809.1458550000001</v>
      </c>
      <c r="H207" s="21">
        <v>210.8</v>
      </c>
      <c r="I207" s="19">
        <f>H207*پارامترها!$B$6</f>
        <v>15810</v>
      </c>
      <c r="J207" s="22">
        <v>68</v>
      </c>
      <c r="K207" s="21">
        <f t="shared" si="9"/>
        <v>19.539122523219252</v>
      </c>
      <c r="L207" s="21">
        <f>I207/(پارامترها!$B$5/1000000)</f>
        <v>16.242872553552164</v>
      </c>
      <c r="M207" s="21">
        <f>K207/پارامترها!$B$7</f>
        <v>65.130408410730837</v>
      </c>
      <c r="N207" s="21">
        <v>22.43</v>
      </c>
      <c r="O207" s="21">
        <f>N207*پارامترها!$B$6*پارامترها!$B$16</f>
        <v>50.467500000000001</v>
      </c>
      <c r="P207" s="21">
        <f>O207*12/G207*100</f>
        <v>74.845591342737578</v>
      </c>
      <c r="Q207" s="21">
        <f>O207*12/(پارامترها!$B$5/1000000)*100</f>
        <v>62.219140083217752</v>
      </c>
      <c r="R207" s="3" t="str">
        <f t="shared" si="10"/>
        <v>فشار شدید</v>
      </c>
      <c r="S207" s="21">
        <f>(1-NORMSDIST((LN(O207*12*1000000/پارامترها!$B$8)-پارامترها!$B$15)/پارامترها!$B$14))*100</f>
        <v>11.142963164305941</v>
      </c>
      <c r="T207" s="21">
        <f>(1-NORMSDIST((LN(I207*1000000/5)-پارامترها!$B$15)/پارامترها!$B$14))*100</f>
        <v>5.0048976758529822</v>
      </c>
      <c r="U207" s="21">
        <f>MIN(100,پارامترها!$B$9/1000000/I207*100)</f>
        <v>12.65022137887413</v>
      </c>
      <c r="V207" s="19">
        <f>MAX(0,I207-پارامترها!$B$9/1000000)</f>
        <v>13810</v>
      </c>
      <c r="W207" s="21">
        <f>V207/(G207*پارامترها!$B$7)</f>
        <v>56.891267561808533</v>
      </c>
      <c r="X207" s="21">
        <f>پارامترها!$B$12/1000000/(G207/12)*100</f>
        <v>59.730008114682235</v>
      </c>
      <c r="Y207" s="21">
        <f>ROUND(50*MIN(1,3/K207)+50*MIN(1,30/P207),1)</f>
        <v>27.7</v>
      </c>
      <c r="Z207" s="3">
        <f t="shared" si="11"/>
        <v>269</v>
      </c>
      <c r="AA207" s="19">
        <v>85</v>
      </c>
      <c r="AB207" s="19">
        <v>82</v>
      </c>
      <c r="AC207" s="3" t="s">
        <v>83</v>
      </c>
      <c r="AD207" s="3" t="s">
        <v>84</v>
      </c>
      <c r="AE207" s="3" t="s">
        <v>354</v>
      </c>
      <c r="AF207" s="23" t="s">
        <v>85</v>
      </c>
    </row>
    <row r="208" spans="1:32" ht="16.5" x14ac:dyDescent="0.3">
      <c r="A208" s="3">
        <v>207</v>
      </c>
      <c r="B208" s="3">
        <v>13</v>
      </c>
      <c r="C208" s="3" t="s">
        <v>355</v>
      </c>
      <c r="D208" s="19">
        <v>26706</v>
      </c>
      <c r="E208" s="19">
        <f>ROUND(D208/INDEX(مناطق!$D$2:$D$23,B208),0)</f>
        <v>8984</v>
      </c>
      <c r="F208" s="20">
        <v>0.82650000000000001</v>
      </c>
      <c r="G208" s="19">
        <f>پارامترها!$B$5*F208/1000000</f>
        <v>804.47377500000016</v>
      </c>
      <c r="H208" s="21">
        <v>209.6</v>
      </c>
      <c r="I208" s="19">
        <f>H208*پارامترها!$B$6</f>
        <v>15720</v>
      </c>
      <c r="J208" s="22"/>
      <c r="K208" s="21">
        <f t="shared" si="9"/>
        <v>19.540723996876089</v>
      </c>
      <c r="L208" s="21">
        <f>I208/(پارامترها!$B$5/1000000)</f>
        <v>16.150408383418089</v>
      </c>
      <c r="M208" s="21">
        <f>K208/پارامترها!$B$7</f>
        <v>65.13574665625363</v>
      </c>
      <c r="N208" s="21">
        <v>20.63</v>
      </c>
      <c r="O208" s="21">
        <f>N208*پارامترها!$B$6*پارامترها!$B$16</f>
        <v>46.417499999999997</v>
      </c>
      <c r="P208" s="21">
        <f>O208*12/G208*100</f>
        <v>69.239050085877551</v>
      </c>
      <c r="Q208" s="21">
        <f>O208*12/(پارامترها!$B$5/1000000)*100</f>
        <v>57.226074895977796</v>
      </c>
      <c r="R208" s="3" t="str">
        <f t="shared" si="10"/>
        <v>فشار شدید</v>
      </c>
      <c r="S208" s="21">
        <f>(1-NORMSDIST((LN(O208*12*1000000/پارامترها!$B$8)-پارامترها!$B$15)/پارامترها!$B$14))*100</f>
        <v>12.72146709482187</v>
      </c>
      <c r="T208" s="21">
        <f>(1-NORMSDIST((LN(I208*1000000/5)-پارامترها!$B$15)/پارامترها!$B$14))*100</f>
        <v>5.0610076949059284</v>
      </c>
      <c r="U208" s="21">
        <f>MIN(100,پارامترها!$B$9/1000000/I208*100)</f>
        <v>12.72264631043257</v>
      </c>
      <c r="V208" s="19">
        <f>MAX(0,I208-پارامترها!$B$9/1000000)</f>
        <v>13720</v>
      </c>
      <c r="W208" s="21">
        <f>V208/(G208*پارامترها!$B$7)</f>
        <v>56.848755987519077</v>
      </c>
      <c r="X208" s="21">
        <f>پارامترها!$B$12/1000000/(G208/12)*100</f>
        <v>60.076897454005248</v>
      </c>
      <c r="Y208" s="21">
        <f>ROUND(50*MIN(1,3/K208)+50*MIN(1,30/P208),1)</f>
        <v>29.3</v>
      </c>
      <c r="Z208" s="3">
        <f t="shared" si="11"/>
        <v>200</v>
      </c>
      <c r="AA208" s="19">
        <v>0</v>
      </c>
      <c r="AB208" s="19">
        <v>0</v>
      </c>
      <c r="AC208" s="3" t="s">
        <v>103</v>
      </c>
      <c r="AD208" s="3" t="s">
        <v>104</v>
      </c>
      <c r="AE208" s="23" t="s">
        <v>105</v>
      </c>
      <c r="AF208" s="23" t="s">
        <v>106</v>
      </c>
    </row>
    <row r="209" spans="1:32" ht="16.5" x14ac:dyDescent="0.3">
      <c r="A209" s="3">
        <v>208</v>
      </c>
      <c r="B209" s="3">
        <v>13</v>
      </c>
      <c r="C209" s="3" t="s">
        <v>356</v>
      </c>
      <c r="D209" s="19">
        <v>3459</v>
      </c>
      <c r="E209" s="19">
        <f>ROUND(D209/INDEX(مناطق!$D$2:$D$23,B209),0)</f>
        <v>1164</v>
      </c>
      <c r="F209" s="20">
        <v>0.82650000000000001</v>
      </c>
      <c r="G209" s="19">
        <f>پارامترها!$B$5*F209/1000000</f>
        <v>804.47377500000016</v>
      </c>
      <c r="H209" s="21">
        <v>209.6</v>
      </c>
      <c r="I209" s="19">
        <f>H209*پارامترها!$B$6</f>
        <v>15720</v>
      </c>
      <c r="J209" s="22"/>
      <c r="K209" s="21">
        <f t="shared" si="9"/>
        <v>19.540723996876089</v>
      </c>
      <c r="L209" s="21">
        <f>I209/(پارامترها!$B$5/1000000)</f>
        <v>16.150408383418089</v>
      </c>
      <c r="M209" s="21">
        <f>K209/پارامترها!$B$7</f>
        <v>65.13574665625363</v>
      </c>
      <c r="N209" s="21">
        <v>20.63</v>
      </c>
      <c r="O209" s="21">
        <f>N209*پارامترها!$B$6*پارامترها!$B$16</f>
        <v>46.417499999999997</v>
      </c>
      <c r="P209" s="21">
        <f>O209*12/G209*100</f>
        <v>69.239050085877551</v>
      </c>
      <c r="Q209" s="21">
        <f>O209*12/(پارامترها!$B$5/1000000)*100</f>
        <v>57.226074895977796</v>
      </c>
      <c r="R209" s="3" t="str">
        <f t="shared" si="10"/>
        <v>فشار شدید</v>
      </c>
      <c r="S209" s="21">
        <f>(1-NORMSDIST((LN(O209*12*1000000/پارامترها!$B$8)-پارامترها!$B$15)/پارامترها!$B$14))*100</f>
        <v>12.72146709482187</v>
      </c>
      <c r="T209" s="21">
        <f>(1-NORMSDIST((LN(I209*1000000/5)-پارامترها!$B$15)/پارامترها!$B$14))*100</f>
        <v>5.0610076949059284</v>
      </c>
      <c r="U209" s="21">
        <f>MIN(100,پارامترها!$B$9/1000000/I209*100)</f>
        <v>12.72264631043257</v>
      </c>
      <c r="V209" s="19">
        <f>MAX(0,I209-پارامترها!$B$9/1000000)</f>
        <v>13720</v>
      </c>
      <c r="W209" s="21">
        <f>V209/(G209*پارامترها!$B$7)</f>
        <v>56.848755987519077</v>
      </c>
      <c r="X209" s="21">
        <f>پارامترها!$B$12/1000000/(G209/12)*100</f>
        <v>60.076897454005248</v>
      </c>
      <c r="Y209" s="21">
        <f>ROUND(50*MIN(1,3/K209)+50*MIN(1,30/P209),1)</f>
        <v>29.3</v>
      </c>
      <c r="Z209" s="3">
        <f t="shared" si="11"/>
        <v>200</v>
      </c>
      <c r="AA209" s="19">
        <v>0</v>
      </c>
      <c r="AB209" s="19">
        <v>0</v>
      </c>
      <c r="AC209" s="3" t="s">
        <v>103</v>
      </c>
      <c r="AD209" s="3" t="s">
        <v>104</v>
      </c>
      <c r="AE209" s="23" t="s">
        <v>105</v>
      </c>
      <c r="AF209" s="23" t="s">
        <v>106</v>
      </c>
    </row>
    <row r="210" spans="1:32" ht="16.5" x14ac:dyDescent="0.3">
      <c r="A210" s="3">
        <v>209</v>
      </c>
      <c r="B210" s="3">
        <v>13</v>
      </c>
      <c r="C210" s="3" t="s">
        <v>357</v>
      </c>
      <c r="D210" s="19">
        <v>1415</v>
      </c>
      <c r="E210" s="19">
        <f>ROUND(D210/INDEX(مناطق!$D$2:$D$23,B210),0)</f>
        <v>476</v>
      </c>
      <c r="F210" s="20">
        <v>0.74380000000000002</v>
      </c>
      <c r="G210" s="19">
        <f>پارامترها!$B$5*F210/1000000</f>
        <v>723.97773000000007</v>
      </c>
      <c r="H210" s="21">
        <v>189.3</v>
      </c>
      <c r="I210" s="19">
        <f>H210*پارامترها!$B$6</f>
        <v>14197.5</v>
      </c>
      <c r="J210" s="22">
        <v>70</v>
      </c>
      <c r="K210" s="21">
        <f t="shared" si="9"/>
        <v>19.610409839540228</v>
      </c>
      <c r="L210" s="21">
        <f>I210/(پارامترها!$B$5/1000000)</f>
        <v>14.586222838650022</v>
      </c>
      <c r="M210" s="21">
        <f>K210/پارامترها!$B$7</f>
        <v>65.368032798467425</v>
      </c>
      <c r="N210" s="21">
        <v>18.63</v>
      </c>
      <c r="O210" s="21">
        <f>N210*پارامترها!$B$6*پارامترها!$B$16</f>
        <v>41.917499999999997</v>
      </c>
      <c r="P210" s="21">
        <f>O210*12/G210*100</f>
        <v>69.478656477458216</v>
      </c>
      <c r="Q210" s="21">
        <f>O210*12/(پارامترها!$B$5/1000000)*100</f>
        <v>51.678224687933415</v>
      </c>
      <c r="R210" s="3" t="str">
        <f t="shared" si="10"/>
        <v>فشار شدید</v>
      </c>
      <c r="S210" s="21">
        <f>(1-NORMSDIST((LN(O210*12*1000000/پارامترها!$B$8)-پارامترها!$B$15)/پارامترها!$B$14))*100</f>
        <v>14.847748662764326</v>
      </c>
      <c r="T210" s="21">
        <f>(1-NORMSDIST((LN(I210*1000000/5)-پارامترها!$B$15)/پارامترها!$B$14))*100</f>
        <v>6.1488754514747885</v>
      </c>
      <c r="U210" s="21">
        <f>MIN(100,پارامترها!$B$9/1000000/I210*100)</f>
        <v>14.08698714562423</v>
      </c>
      <c r="V210" s="19">
        <f>MAX(0,I210-پارامترها!$B$9/1000000)</f>
        <v>12197.5</v>
      </c>
      <c r="W210" s="21">
        <f>V210/(G210*پارامترها!$B$7)</f>
        <v>56.159646420799895</v>
      </c>
      <c r="X210" s="21">
        <f>پارامترها!$B$12/1000000/(G210/12)*100</f>
        <v>66.756595517256443</v>
      </c>
      <c r="Y210" s="21">
        <f>ROUND(50*MIN(1,3/K210)+50*MIN(1,30/P210),1)</f>
        <v>29.2</v>
      </c>
      <c r="Z210" s="3">
        <f t="shared" si="11"/>
        <v>218</v>
      </c>
      <c r="AA210" s="19">
        <v>9</v>
      </c>
      <c r="AB210" s="19">
        <v>0</v>
      </c>
      <c r="AC210" s="3" t="s">
        <v>103</v>
      </c>
      <c r="AD210" s="3" t="s">
        <v>93</v>
      </c>
      <c r="AE210" s="3" t="s">
        <v>358</v>
      </c>
      <c r="AF210" s="23" t="s">
        <v>152</v>
      </c>
    </row>
    <row r="211" spans="1:32" x14ac:dyDescent="0.2">
      <c r="A211" s="3">
        <v>210</v>
      </c>
      <c r="B211" s="3">
        <v>13</v>
      </c>
      <c r="C211" s="3" t="s">
        <v>359</v>
      </c>
      <c r="D211" s="19">
        <v>16578</v>
      </c>
      <c r="E211" s="19">
        <f>ROUND(D211/INDEX(مناطق!$D$2:$D$23,B211),0)</f>
        <v>5577</v>
      </c>
      <c r="F211" s="20">
        <v>0.6724</v>
      </c>
      <c r="G211" s="19">
        <f>پارامترها!$B$5*F211/1000000</f>
        <v>654.48054000000013</v>
      </c>
      <c r="H211" s="21">
        <v>171.7</v>
      </c>
      <c r="I211" s="19">
        <f>H211*پارامترها!$B$6</f>
        <v>12877.5</v>
      </c>
      <c r="J211" s="22">
        <v>60</v>
      </c>
      <c r="K211" s="21">
        <f t="shared" si="9"/>
        <v>19.675909691677003</v>
      </c>
      <c r="L211" s="21">
        <f>I211/(پارامترها!$B$5/1000000)</f>
        <v>13.230081676683616</v>
      </c>
      <c r="M211" s="21">
        <f>K211/پارامترها!$B$7</f>
        <v>65.58636563892334</v>
      </c>
      <c r="N211" s="21">
        <v>18.12</v>
      </c>
      <c r="O211" s="21">
        <f>N211*پارامترها!$B$6*پارامترها!$B$16</f>
        <v>40.769999999999996</v>
      </c>
      <c r="P211" s="21">
        <f>O211*12/G211*100</f>
        <v>74.752413570615843</v>
      </c>
      <c r="Q211" s="21">
        <f>O211*12/(پارامترها!$B$5/1000000)*100</f>
        <v>50.263522884882093</v>
      </c>
      <c r="R211" s="3" t="str">
        <f t="shared" si="10"/>
        <v>فشار شدید</v>
      </c>
      <c r="S211" s="21">
        <f>(1-NORMSDIST((LN(O211*12*1000000/پارامترها!$B$8)-پارامترها!$B$15)/پارامترها!$B$14))*100</f>
        <v>15.465477280495621</v>
      </c>
      <c r="T211" s="21">
        <f>(1-NORMSDIST((LN(I211*1000000/5)-پارامترها!$B$15)/پارامترها!$B$14))*100</f>
        <v>7.3545291402354103</v>
      </c>
      <c r="U211" s="21">
        <f>MIN(100,پارامترها!$B$9/1000000/I211*100)</f>
        <v>15.530964861192</v>
      </c>
      <c r="V211" s="19">
        <f>MAX(0,I211-پارامترها!$B$9/1000000)</f>
        <v>10877.5</v>
      </c>
      <c r="W211" s="21">
        <f>V211/(G211*پارامترها!$B$7)</f>
        <v>55.400170237809249</v>
      </c>
      <c r="X211" s="21">
        <f>پارامترها!$B$12/1000000/(G211/12)*100</f>
        <v>73.845264345234</v>
      </c>
      <c r="Y211" s="21">
        <f>ROUND(50*MIN(1,3/K211)+50*MIN(1,30/P211),1)</f>
        <v>27.7</v>
      </c>
      <c r="Z211" s="3">
        <f t="shared" si="11"/>
        <v>269</v>
      </c>
      <c r="AA211" s="19">
        <v>90</v>
      </c>
      <c r="AB211" s="19">
        <v>81</v>
      </c>
      <c r="AC211" s="3" t="s">
        <v>83</v>
      </c>
      <c r="AD211" s="3" t="s">
        <v>84</v>
      </c>
      <c r="AE211" s="3" t="s">
        <v>360</v>
      </c>
      <c r="AF211" s="23" t="s">
        <v>85</v>
      </c>
    </row>
    <row r="212" spans="1:32" ht="16.5" x14ac:dyDescent="0.3">
      <c r="A212" s="3">
        <v>211</v>
      </c>
      <c r="B212" s="3">
        <v>13</v>
      </c>
      <c r="C212" s="3" t="s">
        <v>361</v>
      </c>
      <c r="D212" s="19">
        <v>16068</v>
      </c>
      <c r="E212" s="19">
        <f>ROUND(D212/INDEX(مناطق!$D$2:$D$23,B212),0)</f>
        <v>5406</v>
      </c>
      <c r="F212" s="20">
        <v>0.63439999999999996</v>
      </c>
      <c r="G212" s="19">
        <f>پارامترها!$B$5*F212/1000000</f>
        <v>617.49324000000001</v>
      </c>
      <c r="H212" s="21">
        <v>162.30000000000001</v>
      </c>
      <c r="I212" s="19">
        <f>H212*پارامترها!$B$6</f>
        <v>12172.5</v>
      </c>
      <c r="J212" s="22">
        <v>57</v>
      </c>
      <c r="K212" s="21">
        <f t="shared" si="9"/>
        <v>19.71276641020394</v>
      </c>
      <c r="L212" s="21">
        <f>I212/(پارامترها!$B$5/1000000)</f>
        <v>12.505779010633377</v>
      </c>
      <c r="M212" s="21">
        <f>K212/پارامترها!$B$7</f>
        <v>65.709221367346473</v>
      </c>
      <c r="N212" s="21">
        <v>16.78</v>
      </c>
      <c r="O212" s="21">
        <f>N212*پارامترها!$B$6*پارامترها!$B$16</f>
        <v>37.754999999999995</v>
      </c>
      <c r="P212" s="21">
        <f>O212*12/G212*100</f>
        <v>73.370843703487338</v>
      </c>
      <c r="Q212" s="21">
        <f>O212*12/(پارامترها!$B$5/1000000)*100</f>
        <v>46.546463245492362</v>
      </c>
      <c r="R212" s="3" t="str">
        <f t="shared" si="10"/>
        <v>فشار شدید</v>
      </c>
      <c r="S212" s="21">
        <f>(1-NORMSDIST((LN(O212*12*1000000/پارامترها!$B$8)-پارامترها!$B$15)/پارامترها!$B$14))*100</f>
        <v>17.262624251415183</v>
      </c>
      <c r="T212" s="21">
        <f>(1-NORMSDIST((LN(I212*1000000/5)-پارامترها!$B$15)/پارامترها!$B$14))*100</f>
        <v>8.1280468098763432</v>
      </c>
      <c r="U212" s="21">
        <f>MIN(100,پارامترها!$B$9/1000000/I212*100)</f>
        <v>16.43047853768741</v>
      </c>
      <c r="V212" s="19">
        <f>MAX(0,I212-پارامترها!$B$9/1000000)</f>
        <v>10172.5</v>
      </c>
      <c r="W212" s="21">
        <f>V212/(G212*پارامترها!$B$7)</f>
        <v>54.912881853303098</v>
      </c>
      <c r="X212" s="21">
        <f>پارامترها!$B$12/1000000/(G212/12)*100</f>
        <v>78.268530494538695</v>
      </c>
      <c r="Y212" s="21">
        <f>ROUND(50*MIN(1,3/K212)+50*MIN(1,30/P212),1)</f>
        <v>28.1</v>
      </c>
      <c r="Z212" s="3">
        <f t="shared" si="11"/>
        <v>254</v>
      </c>
      <c r="AA212" s="19">
        <v>89</v>
      </c>
      <c r="AB212" s="19">
        <v>47</v>
      </c>
      <c r="AC212" s="3" t="s">
        <v>83</v>
      </c>
      <c r="AD212" s="3" t="s">
        <v>93</v>
      </c>
      <c r="AE212" s="3" t="s">
        <v>362</v>
      </c>
      <c r="AF212" s="23" t="s">
        <v>85</v>
      </c>
    </row>
    <row r="213" spans="1:32" x14ac:dyDescent="0.2">
      <c r="A213" s="3">
        <v>212</v>
      </c>
      <c r="B213" s="3">
        <v>13</v>
      </c>
      <c r="C213" s="3" t="s">
        <v>363</v>
      </c>
      <c r="D213" s="19">
        <v>22406</v>
      </c>
      <c r="E213" s="19">
        <f>ROUND(D213/INDEX(مناطق!$D$2:$D$23,B213),0)</f>
        <v>7538</v>
      </c>
      <c r="F213" s="20">
        <v>0.62290000000000001</v>
      </c>
      <c r="G213" s="19">
        <f>پارامترها!$B$5*F213/1000000</f>
        <v>606.29971500000011</v>
      </c>
      <c r="H213" s="21">
        <v>159.5</v>
      </c>
      <c r="I213" s="19">
        <f>H213*پارامترها!$B$6</f>
        <v>11962.5</v>
      </c>
      <c r="J213" s="22">
        <v>65</v>
      </c>
      <c r="K213" s="21">
        <f t="shared" si="9"/>
        <v>19.730340793579291</v>
      </c>
      <c r="L213" s="21">
        <f>I213/(پارامترها!$B$5/1000000)</f>
        <v>12.290029280320541</v>
      </c>
      <c r="M213" s="21">
        <f>K213/پارامترها!$B$7</f>
        <v>65.767802645264311</v>
      </c>
      <c r="N213" s="21">
        <v>16.89</v>
      </c>
      <c r="O213" s="21">
        <f>N213*پارامترها!$B$6*پارامترها!$B$16</f>
        <v>38.002499999999998</v>
      </c>
      <c r="P213" s="21">
        <f>O213*12/G213*100</f>
        <v>75.215275336225389</v>
      </c>
      <c r="Q213" s="21">
        <f>O213*12/(پارامترها!$B$5/1000000)*100</f>
        <v>46.851595006934801</v>
      </c>
      <c r="R213" s="3" t="str">
        <f t="shared" si="10"/>
        <v>فشار شدید</v>
      </c>
      <c r="S213" s="21">
        <f>(1-NORMSDIST((LN(O213*12*1000000/پارامترها!$B$8)-پارامترها!$B$15)/پارامترها!$B$14))*100</f>
        <v>17.104794344899087</v>
      </c>
      <c r="T213" s="21">
        <f>(1-NORMSDIST((LN(I213*1000000/5)-پارامترها!$B$15)/پارامترها!$B$14))*100</f>
        <v>8.3791414570149598</v>
      </c>
      <c r="U213" s="21">
        <f>MIN(100,پارامترها!$B$9/1000000/I213*100)</f>
        <v>16.718913270637408</v>
      </c>
      <c r="V213" s="19">
        <f>MAX(0,I213-پارامترها!$B$9/1000000)</f>
        <v>9962.5</v>
      </c>
      <c r="W213" s="21">
        <f>V213/(G213*پارامترها!$B$7)</f>
        <v>54.772140760998589</v>
      </c>
      <c r="X213" s="21">
        <f>پارامترها!$B$12/1000000/(G213/12)*100</f>
        <v>79.713526642695996</v>
      </c>
      <c r="Y213" s="21">
        <f>ROUND(50*MIN(1,3/K213)+50*MIN(1,30/P213),1)</f>
        <v>27.5</v>
      </c>
      <c r="Z213" s="3">
        <f t="shared" si="11"/>
        <v>273</v>
      </c>
      <c r="AA213" s="19">
        <v>82</v>
      </c>
      <c r="AB213" s="19">
        <v>63</v>
      </c>
      <c r="AC213" s="3" t="s">
        <v>83</v>
      </c>
      <c r="AD213" s="3" t="s">
        <v>84</v>
      </c>
      <c r="AE213" s="3" t="s">
        <v>363</v>
      </c>
      <c r="AF213" s="23" t="s">
        <v>85</v>
      </c>
    </row>
    <row r="214" spans="1:32" x14ac:dyDescent="0.2">
      <c r="A214" s="3">
        <v>213</v>
      </c>
      <c r="B214" s="3">
        <v>14</v>
      </c>
      <c r="C214" s="3" t="s">
        <v>364</v>
      </c>
      <c r="D214" s="19">
        <v>41127</v>
      </c>
      <c r="E214" s="19">
        <f>ROUND(D214/INDEX(مناطق!$D$2:$D$23,B214),0)</f>
        <v>13784</v>
      </c>
      <c r="F214" s="20">
        <v>1.0193000000000001</v>
      </c>
      <c r="G214" s="19">
        <f>پارامترها!$B$5*F214/1000000</f>
        <v>992.13565500000027</v>
      </c>
      <c r="H214" s="21">
        <v>255.8</v>
      </c>
      <c r="I214" s="19">
        <f>H214*پارامترها!$B$6</f>
        <v>19185</v>
      </c>
      <c r="J214" s="22">
        <v>90</v>
      </c>
      <c r="K214" s="21">
        <f t="shared" si="9"/>
        <v>19.33707341663877</v>
      </c>
      <c r="L214" s="21">
        <f>I214/(پارامترها!$B$5/1000000)</f>
        <v>19.7102789335799</v>
      </c>
      <c r="M214" s="21">
        <f>K214/پارامترها!$B$7</f>
        <v>64.456911388795902</v>
      </c>
      <c r="N214" s="21">
        <v>25.96</v>
      </c>
      <c r="O214" s="21">
        <f>N214*پارامترها!$B$6*پارامترها!$B$16</f>
        <v>58.41</v>
      </c>
      <c r="P214" s="21">
        <f>O214*12/G214*100</f>
        <v>70.647597076833179</v>
      </c>
      <c r="Q214" s="21">
        <f>O214*12/(پارامترها!$B$5/1000000)*100</f>
        <v>72.011095700416078</v>
      </c>
      <c r="R214" s="3" t="str">
        <f t="shared" si="10"/>
        <v>فشار شدید</v>
      </c>
      <c r="S214" s="21">
        <f>(1-NORMSDIST((LN(O214*12*1000000/پارامترها!$B$8)-پارامترها!$B$15)/پارامترها!$B$14))*100</f>
        <v>8.7308256085869225</v>
      </c>
      <c r="T214" s="21">
        <f>(1-NORMSDIST((LN(I214*1000000/5)-پارامترها!$B$15)/پارامترها!$B$14))*100</f>
        <v>3.378941927003476</v>
      </c>
      <c r="U214" s="21">
        <f>MIN(100,پارامترها!$B$9/1000000/I214*100)</f>
        <v>10.424811050299713</v>
      </c>
      <c r="V214" s="19">
        <f>MAX(0,I214-پارامترها!$B$9/1000000)</f>
        <v>17185</v>
      </c>
      <c r="W214" s="21">
        <f>V214/(G214*پارامترها!$B$7)</f>
        <v>57.737400167654819</v>
      </c>
      <c r="X214" s="21">
        <f>پارامترها!$B$12/1000000/(G214/12)*100</f>
        <v>48.713387369503906</v>
      </c>
      <c r="Y214" s="21">
        <f>ROUND(50*MIN(1,3/K214)+50*MIN(1,30/P214),1)</f>
        <v>29</v>
      </c>
      <c r="Z214" s="3">
        <f t="shared" si="11"/>
        <v>227</v>
      </c>
      <c r="AA214" s="19">
        <v>86</v>
      </c>
      <c r="AB214" s="19">
        <v>79</v>
      </c>
      <c r="AC214" s="3" t="s">
        <v>83</v>
      </c>
      <c r="AD214" s="3" t="s">
        <v>84</v>
      </c>
      <c r="AE214" s="3" t="s">
        <v>364</v>
      </c>
      <c r="AF214" s="23" t="s">
        <v>85</v>
      </c>
    </row>
    <row r="215" spans="1:32" x14ac:dyDescent="0.2">
      <c r="A215" s="3">
        <v>214</v>
      </c>
      <c r="B215" s="3">
        <v>14</v>
      </c>
      <c r="C215" s="3" t="s">
        <v>365</v>
      </c>
      <c r="D215" s="19">
        <v>31417</v>
      </c>
      <c r="E215" s="19">
        <f>ROUND(D215/INDEX(مناطق!$D$2:$D$23,B215),0)</f>
        <v>10530</v>
      </c>
      <c r="F215" s="20">
        <v>0.7944</v>
      </c>
      <c r="G215" s="19">
        <f>پارامترها!$B$5*F215/1000000</f>
        <v>773.22924000000012</v>
      </c>
      <c r="H215" s="21">
        <v>201</v>
      </c>
      <c r="I215" s="19">
        <f>H215*پارامترها!$B$6</f>
        <v>15075</v>
      </c>
      <c r="J215" s="22">
        <v>72.5</v>
      </c>
      <c r="K215" s="21">
        <f t="shared" si="9"/>
        <v>19.496158732952207</v>
      </c>
      <c r="L215" s="21">
        <f>I215/(پارامترها!$B$5/1000000)</f>
        <v>15.487748497457233</v>
      </c>
      <c r="M215" s="21">
        <f>K215/پارامترها!$B$7</f>
        <v>64.987195776507363</v>
      </c>
      <c r="N215" s="21">
        <v>20.87</v>
      </c>
      <c r="O215" s="21">
        <f>N215*پارامترها!$B$6*پارامترها!$B$16</f>
        <v>46.957499999999996</v>
      </c>
      <c r="P215" s="21">
        <f>O215*12/G215*100</f>
        <v>72.87489541911269</v>
      </c>
      <c r="Q215" s="21">
        <f>O215*12/(پارامترها!$B$5/1000000)*100</f>
        <v>57.891816920943128</v>
      </c>
      <c r="R215" s="3" t="str">
        <f t="shared" si="10"/>
        <v>فشار شدید</v>
      </c>
      <c r="S215" s="21">
        <f>(1-NORMSDIST((LN(O215*12*1000000/پارامترها!$B$8)-پارامترها!$B$15)/پارامترها!$B$14))*100</f>
        <v>12.494394296590572</v>
      </c>
      <c r="T215" s="21">
        <f>(1-NORMSDIST((LN(I215*1000000/5)-پارامترها!$B$15)/پارامترها!$B$14))*100</f>
        <v>5.4882621543156045</v>
      </c>
      <c r="U215" s="21">
        <f>MIN(100,پارامترها!$B$9/1000000/I215*100)</f>
        <v>13.266998341625207</v>
      </c>
      <c r="V215" s="19">
        <f>MAX(0,I215-پارامترها!$B$9/1000000)</f>
        <v>13075</v>
      </c>
      <c r="W215" s="21">
        <f>V215/(G215*پارامترها!$B$7)</f>
        <v>56.365345590569397</v>
      </c>
      <c r="X215" s="21">
        <f>پارامترها!$B$12/1000000/(G215/12)*100</f>
        <v>62.504476014269059</v>
      </c>
      <c r="Y215" s="21">
        <f>ROUND(50*MIN(1,3/K215)+50*MIN(1,30/P215),1)</f>
        <v>28.3</v>
      </c>
      <c r="Z215" s="3">
        <f t="shared" si="11"/>
        <v>245</v>
      </c>
      <c r="AA215" s="19">
        <v>84</v>
      </c>
      <c r="AB215" s="19">
        <v>82</v>
      </c>
      <c r="AC215" s="3" t="s">
        <v>83</v>
      </c>
      <c r="AD215" s="3" t="s">
        <v>84</v>
      </c>
      <c r="AE215" s="3" t="s">
        <v>365</v>
      </c>
      <c r="AF215" s="23" t="s">
        <v>85</v>
      </c>
    </row>
    <row r="216" spans="1:32" x14ac:dyDescent="0.2">
      <c r="A216" s="3">
        <v>215</v>
      </c>
      <c r="B216" s="3">
        <v>14</v>
      </c>
      <c r="C216" s="3" t="s">
        <v>366</v>
      </c>
      <c r="D216" s="19">
        <v>22330</v>
      </c>
      <c r="E216" s="19">
        <f>ROUND(D216/INDEX(مناطق!$D$2:$D$23,B216),0)</f>
        <v>7484</v>
      </c>
      <c r="F216" s="20">
        <v>0.79190000000000005</v>
      </c>
      <c r="G216" s="19">
        <f>پارامترها!$B$5*F216/1000000</f>
        <v>770.79586500000016</v>
      </c>
      <c r="H216" s="21">
        <v>200.4</v>
      </c>
      <c r="I216" s="19">
        <f>H216*پارامترها!$B$6</f>
        <v>15030</v>
      </c>
      <c r="J216" s="22">
        <v>69</v>
      </c>
      <c r="K216" s="21">
        <f t="shared" si="9"/>
        <v>19.499326193193831</v>
      </c>
      <c r="L216" s="21">
        <f>I216/(پارامترها!$B$5/1000000)</f>
        <v>15.441516412390197</v>
      </c>
      <c r="M216" s="21">
        <f>K216/پارامترها!$B$7</f>
        <v>64.997753977312769</v>
      </c>
      <c r="N216" s="21">
        <v>20.3</v>
      </c>
      <c r="O216" s="21">
        <f>N216*پارامترها!$B$6*پارامترها!$B$16</f>
        <v>45.674999999999997</v>
      </c>
      <c r="P216" s="21">
        <f>O216*12/G216*100</f>
        <v>71.108321267395453</v>
      </c>
      <c r="Q216" s="21">
        <f>O216*12/(پارامترها!$B$5/1000000)*100</f>
        <v>56.310679611650471</v>
      </c>
      <c r="R216" s="3" t="str">
        <f t="shared" si="10"/>
        <v>فشار شدید</v>
      </c>
      <c r="S216" s="21">
        <f>(1-NORMSDIST((LN(O216*12*1000000/پارامترها!$B$8)-پارامترها!$B$15)/پارامترها!$B$14))*100</f>
        <v>13.042810772862945</v>
      </c>
      <c r="T216" s="21">
        <f>(1-NORMSDIST((LN(I216*1000000/5)-پارامترها!$B$15)/پارامترها!$B$14))*100</f>
        <v>5.5198074064540803</v>
      </c>
      <c r="U216" s="21">
        <f>MIN(100,پارامترها!$B$9/1000000/I216*100)</f>
        <v>13.306719893546241</v>
      </c>
      <c r="V216" s="19">
        <f>MAX(0,I216-پارامترها!$B$9/1000000)</f>
        <v>13030</v>
      </c>
      <c r="W216" s="21">
        <f>V216/(G216*پارامترها!$B$7)</f>
        <v>56.348684918455454</v>
      </c>
      <c r="X216" s="21">
        <f>پارامترها!$B$12/1000000/(G216/12)*100</f>
        <v>62.70180041133392</v>
      </c>
      <c r="Y216" s="21">
        <f>ROUND(50*MIN(1,3/K216)+50*MIN(1,30/P216),1)</f>
        <v>28.8</v>
      </c>
      <c r="Z216" s="3">
        <f t="shared" si="11"/>
        <v>232</v>
      </c>
      <c r="AA216" s="19">
        <v>79</v>
      </c>
      <c r="AB216" s="19">
        <v>75</v>
      </c>
      <c r="AC216" s="3" t="s">
        <v>83</v>
      </c>
      <c r="AD216" s="3" t="s">
        <v>84</v>
      </c>
      <c r="AE216" s="3" t="s">
        <v>366</v>
      </c>
      <c r="AF216" s="23" t="s">
        <v>85</v>
      </c>
    </row>
    <row r="217" spans="1:32" ht="16.5" x14ac:dyDescent="0.3">
      <c r="A217" s="3">
        <v>216</v>
      </c>
      <c r="B217" s="3">
        <v>14</v>
      </c>
      <c r="C217" s="3" t="s">
        <v>367</v>
      </c>
      <c r="D217" s="19">
        <v>37422</v>
      </c>
      <c r="E217" s="19">
        <f>ROUND(D217/INDEX(مناطق!$D$2:$D$23,B217),0)</f>
        <v>12542</v>
      </c>
      <c r="F217" s="20">
        <v>0.78290000000000004</v>
      </c>
      <c r="G217" s="19">
        <f>پارامترها!$B$5*F217/1000000</f>
        <v>762.0357150000001</v>
      </c>
      <c r="H217" s="21">
        <v>198.2</v>
      </c>
      <c r="I217" s="19">
        <f>H217*پارامترها!$B$6</f>
        <v>14865</v>
      </c>
      <c r="J217" s="22">
        <v>85</v>
      </c>
      <c r="K217" s="21">
        <f t="shared" si="9"/>
        <v>19.506959723009832</v>
      </c>
      <c r="L217" s="21">
        <f>I217/(پارامترها!$B$5/1000000)</f>
        <v>15.271998767144396</v>
      </c>
      <c r="M217" s="21">
        <f>K217/پارامترها!$B$7</f>
        <v>65.023199076699441</v>
      </c>
      <c r="N217" s="21">
        <v>19.940000000000001</v>
      </c>
      <c r="O217" s="21">
        <f>N217*پارامترها!$B$6*پارامترها!$B$16</f>
        <v>44.864999999999995</v>
      </c>
      <c r="P217" s="21">
        <f>O217*12/G217*100</f>
        <v>70.65023192515325</v>
      </c>
      <c r="Q217" s="21">
        <f>O217*12/(پارامترها!$B$5/1000000)*100</f>
        <v>55.312066574202476</v>
      </c>
      <c r="R217" s="3" t="str">
        <f t="shared" si="10"/>
        <v>فشار شدید</v>
      </c>
      <c r="S217" s="21">
        <f>(1-NORMSDIST((LN(O217*12*1000000/پارامترها!$B$8)-پارامترها!$B$15)/پارامترها!$B$14))*100</f>
        <v>13.405901647031637</v>
      </c>
      <c r="T217" s="21">
        <f>(1-NORMSDIST((LN(I217*1000000/5)-پارامترها!$B$15)/پارامترها!$B$14))*100</f>
        <v>5.6375292495871694</v>
      </c>
      <c r="U217" s="21">
        <f>MIN(100,پارامترها!$B$9/1000000/I217*100)</f>
        <v>13.454423141607805</v>
      </c>
      <c r="V217" s="19">
        <f>MAX(0,I217-پارامترها!$B$9/1000000)</f>
        <v>12865</v>
      </c>
      <c r="W217" s="21">
        <f>V217/(G217*پارامترها!$B$7)</f>
        <v>56.274702732710274</v>
      </c>
      <c r="X217" s="21">
        <f>پارامترها!$B$12/1000000/(G217/12)*100</f>
        <v>63.422602817390903</v>
      </c>
      <c r="Y217" s="21">
        <f>ROUND(50*MIN(1,3/K217)+50*MIN(1,30/P217),1)</f>
        <v>28.9</v>
      </c>
      <c r="Z217" s="3">
        <f t="shared" si="11"/>
        <v>229</v>
      </c>
      <c r="AA217" s="19">
        <v>85</v>
      </c>
      <c r="AB217" s="19">
        <v>82</v>
      </c>
      <c r="AC217" s="3" t="s">
        <v>83</v>
      </c>
      <c r="AD217" s="3" t="s">
        <v>93</v>
      </c>
      <c r="AE217" s="3" t="s">
        <v>367</v>
      </c>
      <c r="AF217" s="23" t="s">
        <v>85</v>
      </c>
    </row>
    <row r="218" spans="1:32" x14ac:dyDescent="0.2">
      <c r="A218" s="3">
        <v>217</v>
      </c>
      <c r="B218" s="3">
        <v>14</v>
      </c>
      <c r="C218" s="3" t="s">
        <v>368</v>
      </c>
      <c r="D218" s="19">
        <v>24744</v>
      </c>
      <c r="E218" s="19">
        <f>ROUND(D218/INDEX(مناطق!$D$2:$D$23,B218),0)</f>
        <v>8293</v>
      </c>
      <c r="F218" s="20">
        <v>0.76870000000000005</v>
      </c>
      <c r="G218" s="19">
        <f>پارامترها!$B$5*F218/1000000</f>
        <v>748.21414500000014</v>
      </c>
      <c r="H218" s="21">
        <v>194.7</v>
      </c>
      <c r="I218" s="19">
        <f>H218*پارامترها!$B$6</f>
        <v>14602.5</v>
      </c>
      <c r="J218" s="22">
        <v>68</v>
      </c>
      <c r="K218" s="21">
        <f t="shared" si="9"/>
        <v>19.516471450830426</v>
      </c>
      <c r="L218" s="21">
        <f>I218/(پارامترها!$B$5/1000000)</f>
        <v>15.00231160425335</v>
      </c>
      <c r="M218" s="21">
        <f>K218/پارامترها!$B$7</f>
        <v>65.054904836101429</v>
      </c>
      <c r="N218" s="21">
        <v>19.18</v>
      </c>
      <c r="O218" s="21">
        <f>N218*پارامترها!$B$6*پارامترها!$B$16</f>
        <v>43.155000000000001</v>
      </c>
      <c r="P218" s="21">
        <f>O218*12/G218*100</f>
        <v>69.212805379401104</v>
      </c>
      <c r="Q218" s="21">
        <f>O218*12/(پارامترها!$B$5/1000000)*100</f>
        <v>53.203883495145618</v>
      </c>
      <c r="R218" s="3" t="str">
        <f t="shared" si="10"/>
        <v>فشار شدید</v>
      </c>
      <c r="S218" s="21">
        <f>(1-NORMSDIST((LN(O218*12*1000000/پارامترها!$B$8)-پارامترها!$B$15)/پارامترها!$B$14))*100</f>
        <v>14.218192631569471</v>
      </c>
      <c r="T218" s="21">
        <f>(1-NORMSDIST((LN(I218*1000000/5)-پارامترها!$B$15)/پارامترها!$B$14))*100</f>
        <v>5.8316985480207144</v>
      </c>
      <c r="U218" s="21">
        <f>MIN(100,پارامترها!$B$9/1000000/I218*100)</f>
        <v>13.696284882725559</v>
      </c>
      <c r="V218" s="19">
        <f>MAX(0,I218-پارامترها!$B$9/1000000)</f>
        <v>12602.5</v>
      </c>
      <c r="W218" s="21">
        <f>V218/(G218*پارامترها!$B$7)</f>
        <v>56.144799739562963</v>
      </c>
      <c r="X218" s="21">
        <f>پارامترها!$B$12/1000000/(G218/12)*100</f>
        <v>64.594192462254895</v>
      </c>
      <c r="Y218" s="21">
        <f>ROUND(50*MIN(1,3/K218)+50*MIN(1,30/P218),1)</f>
        <v>29.4</v>
      </c>
      <c r="Z218" s="3">
        <f t="shared" si="11"/>
        <v>199</v>
      </c>
      <c r="AA218" s="19">
        <v>77</v>
      </c>
      <c r="AB218" s="19">
        <v>72</v>
      </c>
      <c r="AC218" s="3" t="s">
        <v>83</v>
      </c>
      <c r="AD218" s="3" t="s">
        <v>84</v>
      </c>
      <c r="AE218" s="3" t="s">
        <v>369</v>
      </c>
      <c r="AF218" s="23" t="s">
        <v>85</v>
      </c>
    </row>
    <row r="219" spans="1:32" ht="16.5" x14ac:dyDescent="0.3">
      <c r="A219" s="3">
        <v>218</v>
      </c>
      <c r="B219" s="3">
        <v>14</v>
      </c>
      <c r="C219" s="3" t="s">
        <v>370</v>
      </c>
      <c r="D219" s="19">
        <v>28570</v>
      </c>
      <c r="E219" s="19">
        <f>ROUND(D219/INDEX(مناطق!$D$2:$D$23,B219),0)</f>
        <v>9575</v>
      </c>
      <c r="F219" s="20">
        <v>0.72509999999999997</v>
      </c>
      <c r="G219" s="19">
        <f>پارامترها!$B$5*F219/1000000</f>
        <v>705.77608499999997</v>
      </c>
      <c r="H219" s="21">
        <v>184.1</v>
      </c>
      <c r="I219" s="19">
        <f>H219*پارامترها!$B$6</f>
        <v>13807.5</v>
      </c>
      <c r="J219" s="22"/>
      <c r="K219" s="21">
        <f t="shared" si="9"/>
        <v>19.563570222133556</v>
      </c>
      <c r="L219" s="21">
        <f>I219/(پارامترها!$B$5/1000000)</f>
        <v>14.185544768069038</v>
      </c>
      <c r="M219" s="21">
        <f>K219/پارامترها!$B$7</f>
        <v>65.211900740445188</v>
      </c>
      <c r="N219" s="21">
        <v>18.11</v>
      </c>
      <c r="O219" s="21">
        <f>N219*پارامترها!$B$6*پارامترها!$B$16</f>
        <v>40.747499999999995</v>
      </c>
      <c r="P219" s="21">
        <f>O219*12/G219*100</f>
        <v>69.28118002184786</v>
      </c>
      <c r="Q219" s="21">
        <f>O219*12/(پارامترها!$B$5/1000000)*100</f>
        <v>50.235783633841869</v>
      </c>
      <c r="R219" s="3" t="str">
        <f t="shared" si="10"/>
        <v>فشار شدید</v>
      </c>
      <c r="S219" s="21">
        <f>(1-NORMSDIST((LN(O219*12*1000000/پارامترها!$B$8)-پارامترها!$B$15)/پارامترها!$B$14))*100</f>
        <v>15.477932467168021</v>
      </c>
      <c r="T219" s="21">
        <f>(1-NORMSDIST((LN(I219*1000000/5)-پارامترها!$B$15)/پارامترها!$B$14))*100</f>
        <v>6.476096687896316</v>
      </c>
      <c r="U219" s="21">
        <f>MIN(100,پارامترها!$B$9/1000000/I219*100)</f>
        <v>14.484881405033494</v>
      </c>
      <c r="V219" s="19">
        <f>MAX(0,I219-پارامترها!$B$9/1000000)</f>
        <v>11807.5</v>
      </c>
      <c r="W219" s="21">
        <f>V219/(G219*پارامترها!$B$7)</f>
        <v>55.766034256223534</v>
      </c>
      <c r="X219" s="21">
        <f>پارامترها!$B$12/1000000/(G219/12)*100</f>
        <v>68.478217826141702</v>
      </c>
      <c r="Y219" s="21">
        <f>ROUND(50*MIN(1,3/K219)+50*MIN(1,30/P219),1)</f>
        <v>29.3</v>
      </c>
      <c r="Z219" s="3">
        <f t="shared" si="11"/>
        <v>200</v>
      </c>
      <c r="AA219" s="19">
        <v>0</v>
      </c>
      <c r="AB219" s="19">
        <v>0</v>
      </c>
      <c r="AC219" s="3" t="s">
        <v>103</v>
      </c>
      <c r="AD219" s="3" t="s">
        <v>104</v>
      </c>
      <c r="AE219" s="23" t="s">
        <v>105</v>
      </c>
      <c r="AF219" s="23" t="s">
        <v>106</v>
      </c>
    </row>
    <row r="220" spans="1:32" ht="16.5" x14ac:dyDescent="0.3">
      <c r="A220" s="3">
        <v>219</v>
      </c>
      <c r="B220" s="3">
        <v>14</v>
      </c>
      <c r="C220" s="3" t="s">
        <v>193</v>
      </c>
      <c r="D220" s="19">
        <v>24682</v>
      </c>
      <c r="E220" s="19">
        <f>ROUND(D220/INDEX(مناطق!$D$2:$D$23,B220),0)</f>
        <v>8272</v>
      </c>
      <c r="F220" s="20">
        <v>0.72509999999999997</v>
      </c>
      <c r="G220" s="19">
        <f>پارامترها!$B$5*F220/1000000</f>
        <v>705.77608499999997</v>
      </c>
      <c r="H220" s="21">
        <v>184.1</v>
      </c>
      <c r="I220" s="19">
        <f>H220*پارامترها!$B$6</f>
        <v>13807.5</v>
      </c>
      <c r="J220" s="22"/>
      <c r="K220" s="21">
        <f t="shared" si="9"/>
        <v>19.563570222133556</v>
      </c>
      <c r="L220" s="21">
        <f>I220/(پارامترها!$B$5/1000000)</f>
        <v>14.185544768069038</v>
      </c>
      <c r="M220" s="21">
        <f>K220/پارامترها!$B$7</f>
        <v>65.211900740445188</v>
      </c>
      <c r="N220" s="21">
        <v>18.11</v>
      </c>
      <c r="O220" s="21">
        <f>N220*پارامترها!$B$6*پارامترها!$B$16</f>
        <v>40.747499999999995</v>
      </c>
      <c r="P220" s="21">
        <f>O220*12/G220*100</f>
        <v>69.28118002184786</v>
      </c>
      <c r="Q220" s="21">
        <f>O220*12/(پارامترها!$B$5/1000000)*100</f>
        <v>50.235783633841869</v>
      </c>
      <c r="R220" s="3" t="str">
        <f t="shared" si="10"/>
        <v>فشار شدید</v>
      </c>
      <c r="S220" s="21">
        <f>(1-NORMSDIST((LN(O220*12*1000000/پارامترها!$B$8)-پارامترها!$B$15)/پارامترها!$B$14))*100</f>
        <v>15.477932467168021</v>
      </c>
      <c r="T220" s="21">
        <f>(1-NORMSDIST((LN(I220*1000000/5)-پارامترها!$B$15)/پارامترها!$B$14))*100</f>
        <v>6.476096687896316</v>
      </c>
      <c r="U220" s="21">
        <f>MIN(100,پارامترها!$B$9/1000000/I220*100)</f>
        <v>14.484881405033494</v>
      </c>
      <c r="V220" s="19">
        <f>MAX(0,I220-پارامترها!$B$9/1000000)</f>
        <v>11807.5</v>
      </c>
      <c r="W220" s="21">
        <f>V220/(G220*پارامترها!$B$7)</f>
        <v>55.766034256223534</v>
      </c>
      <c r="X220" s="21">
        <f>پارامترها!$B$12/1000000/(G220/12)*100</f>
        <v>68.478217826141702</v>
      </c>
      <c r="Y220" s="21">
        <f>ROUND(50*MIN(1,3/K220)+50*MIN(1,30/P220),1)</f>
        <v>29.3</v>
      </c>
      <c r="Z220" s="3">
        <f t="shared" si="11"/>
        <v>200</v>
      </c>
      <c r="AA220" s="19">
        <v>0</v>
      </c>
      <c r="AB220" s="19">
        <v>0</v>
      </c>
      <c r="AC220" s="3" t="s">
        <v>103</v>
      </c>
      <c r="AD220" s="3" t="s">
        <v>104</v>
      </c>
      <c r="AE220" s="23" t="s">
        <v>105</v>
      </c>
      <c r="AF220" s="23" t="s">
        <v>106</v>
      </c>
    </row>
    <row r="221" spans="1:32" ht="16.5" x14ac:dyDescent="0.3">
      <c r="A221" s="3">
        <v>220</v>
      </c>
      <c r="B221" s="3">
        <v>14</v>
      </c>
      <c r="C221" s="3" t="s">
        <v>371</v>
      </c>
      <c r="D221" s="19">
        <v>23985</v>
      </c>
      <c r="E221" s="19">
        <f>ROUND(D221/INDEX(مناطق!$D$2:$D$23,B221),0)</f>
        <v>8039</v>
      </c>
      <c r="F221" s="20">
        <v>0.72509999999999997</v>
      </c>
      <c r="G221" s="19">
        <f>پارامترها!$B$5*F221/1000000</f>
        <v>705.77608499999997</v>
      </c>
      <c r="H221" s="21">
        <v>184.1</v>
      </c>
      <c r="I221" s="19">
        <f>H221*پارامترها!$B$6</f>
        <v>13807.5</v>
      </c>
      <c r="J221" s="22"/>
      <c r="K221" s="21">
        <f t="shared" si="9"/>
        <v>19.563570222133556</v>
      </c>
      <c r="L221" s="21">
        <f>I221/(پارامترها!$B$5/1000000)</f>
        <v>14.185544768069038</v>
      </c>
      <c r="M221" s="21">
        <f>K221/پارامترها!$B$7</f>
        <v>65.211900740445188</v>
      </c>
      <c r="N221" s="21">
        <v>18.11</v>
      </c>
      <c r="O221" s="21">
        <f>N221*پارامترها!$B$6*پارامترها!$B$16</f>
        <v>40.747499999999995</v>
      </c>
      <c r="P221" s="21">
        <f>O221*12/G221*100</f>
        <v>69.28118002184786</v>
      </c>
      <c r="Q221" s="21">
        <f>O221*12/(پارامترها!$B$5/1000000)*100</f>
        <v>50.235783633841869</v>
      </c>
      <c r="R221" s="3" t="str">
        <f t="shared" si="10"/>
        <v>فشار شدید</v>
      </c>
      <c r="S221" s="21">
        <f>(1-NORMSDIST((LN(O221*12*1000000/پارامترها!$B$8)-پارامترها!$B$15)/پارامترها!$B$14))*100</f>
        <v>15.477932467168021</v>
      </c>
      <c r="T221" s="21">
        <f>(1-NORMSDIST((LN(I221*1000000/5)-پارامترها!$B$15)/پارامترها!$B$14))*100</f>
        <v>6.476096687896316</v>
      </c>
      <c r="U221" s="21">
        <f>MIN(100,پارامترها!$B$9/1000000/I221*100)</f>
        <v>14.484881405033494</v>
      </c>
      <c r="V221" s="19">
        <f>MAX(0,I221-پارامترها!$B$9/1000000)</f>
        <v>11807.5</v>
      </c>
      <c r="W221" s="21">
        <f>V221/(G221*پارامترها!$B$7)</f>
        <v>55.766034256223534</v>
      </c>
      <c r="X221" s="21">
        <f>پارامترها!$B$12/1000000/(G221/12)*100</f>
        <v>68.478217826141702</v>
      </c>
      <c r="Y221" s="21">
        <f>ROUND(50*MIN(1,3/K221)+50*MIN(1,30/P221),1)</f>
        <v>29.3</v>
      </c>
      <c r="Z221" s="3">
        <f t="shared" si="11"/>
        <v>200</v>
      </c>
      <c r="AA221" s="19">
        <v>0</v>
      </c>
      <c r="AB221" s="19">
        <v>0</v>
      </c>
      <c r="AC221" s="3" t="s">
        <v>103</v>
      </c>
      <c r="AD221" s="3" t="s">
        <v>104</v>
      </c>
      <c r="AE221" s="23" t="s">
        <v>105</v>
      </c>
      <c r="AF221" s="23" t="s">
        <v>106</v>
      </c>
    </row>
    <row r="222" spans="1:32" ht="16.5" x14ac:dyDescent="0.3">
      <c r="A222" s="3">
        <v>221</v>
      </c>
      <c r="B222" s="3">
        <v>14</v>
      </c>
      <c r="C222" s="3" t="s">
        <v>372</v>
      </c>
      <c r="D222" s="19">
        <v>22237</v>
      </c>
      <c r="E222" s="19">
        <f>ROUND(D222/INDEX(مناطق!$D$2:$D$23,B222),0)</f>
        <v>7453</v>
      </c>
      <c r="F222" s="20">
        <v>0.72509999999999997</v>
      </c>
      <c r="G222" s="19">
        <f>پارامترها!$B$5*F222/1000000</f>
        <v>705.77608499999997</v>
      </c>
      <c r="H222" s="21">
        <v>184.1</v>
      </c>
      <c r="I222" s="19">
        <f>H222*پارامترها!$B$6</f>
        <v>13807.5</v>
      </c>
      <c r="J222" s="22"/>
      <c r="K222" s="21">
        <f t="shared" si="9"/>
        <v>19.563570222133556</v>
      </c>
      <c r="L222" s="21">
        <f>I222/(پارامترها!$B$5/1000000)</f>
        <v>14.185544768069038</v>
      </c>
      <c r="M222" s="21">
        <f>K222/پارامترها!$B$7</f>
        <v>65.211900740445188</v>
      </c>
      <c r="N222" s="21">
        <v>18.11</v>
      </c>
      <c r="O222" s="21">
        <f>N222*پارامترها!$B$6*پارامترها!$B$16</f>
        <v>40.747499999999995</v>
      </c>
      <c r="P222" s="21">
        <f>O222*12/G222*100</f>
        <v>69.28118002184786</v>
      </c>
      <c r="Q222" s="21">
        <f>O222*12/(پارامترها!$B$5/1000000)*100</f>
        <v>50.235783633841869</v>
      </c>
      <c r="R222" s="3" t="str">
        <f t="shared" si="10"/>
        <v>فشار شدید</v>
      </c>
      <c r="S222" s="21">
        <f>(1-NORMSDIST((LN(O222*12*1000000/پارامترها!$B$8)-پارامترها!$B$15)/پارامترها!$B$14))*100</f>
        <v>15.477932467168021</v>
      </c>
      <c r="T222" s="21">
        <f>(1-NORMSDIST((LN(I222*1000000/5)-پارامترها!$B$15)/پارامترها!$B$14))*100</f>
        <v>6.476096687896316</v>
      </c>
      <c r="U222" s="21">
        <f>MIN(100,پارامترها!$B$9/1000000/I222*100)</f>
        <v>14.484881405033494</v>
      </c>
      <c r="V222" s="19">
        <f>MAX(0,I222-پارامترها!$B$9/1000000)</f>
        <v>11807.5</v>
      </c>
      <c r="W222" s="21">
        <f>V222/(G222*پارامترها!$B$7)</f>
        <v>55.766034256223534</v>
      </c>
      <c r="X222" s="21">
        <f>پارامترها!$B$12/1000000/(G222/12)*100</f>
        <v>68.478217826141702</v>
      </c>
      <c r="Y222" s="21">
        <f>ROUND(50*MIN(1,3/K222)+50*MIN(1,30/P222),1)</f>
        <v>29.3</v>
      </c>
      <c r="Z222" s="3">
        <f t="shared" si="11"/>
        <v>200</v>
      </c>
      <c r="AA222" s="19">
        <v>0</v>
      </c>
      <c r="AB222" s="19">
        <v>0</v>
      </c>
      <c r="AC222" s="3" t="s">
        <v>103</v>
      </c>
      <c r="AD222" s="3" t="s">
        <v>104</v>
      </c>
      <c r="AE222" s="23" t="s">
        <v>105</v>
      </c>
      <c r="AF222" s="23" t="s">
        <v>106</v>
      </c>
    </row>
    <row r="223" spans="1:32" ht="16.5" x14ac:dyDescent="0.3">
      <c r="A223" s="3">
        <v>222</v>
      </c>
      <c r="B223" s="3">
        <v>14</v>
      </c>
      <c r="C223" s="3" t="s">
        <v>373</v>
      </c>
      <c r="D223" s="19">
        <v>22166</v>
      </c>
      <c r="E223" s="19">
        <f>ROUND(D223/INDEX(مناطق!$D$2:$D$23,B223),0)</f>
        <v>7429</v>
      </c>
      <c r="F223" s="20">
        <v>0.72509999999999997</v>
      </c>
      <c r="G223" s="19">
        <f>پارامترها!$B$5*F223/1000000</f>
        <v>705.77608499999997</v>
      </c>
      <c r="H223" s="21">
        <v>184.1</v>
      </c>
      <c r="I223" s="19">
        <f>H223*پارامترها!$B$6</f>
        <v>13807.5</v>
      </c>
      <c r="J223" s="22"/>
      <c r="K223" s="21">
        <f t="shared" si="9"/>
        <v>19.563570222133556</v>
      </c>
      <c r="L223" s="21">
        <f>I223/(پارامترها!$B$5/1000000)</f>
        <v>14.185544768069038</v>
      </c>
      <c r="M223" s="21">
        <f>K223/پارامترها!$B$7</f>
        <v>65.211900740445188</v>
      </c>
      <c r="N223" s="21">
        <v>18.11</v>
      </c>
      <c r="O223" s="21">
        <f>N223*پارامترها!$B$6*پارامترها!$B$16</f>
        <v>40.747499999999995</v>
      </c>
      <c r="P223" s="21">
        <f>O223*12/G223*100</f>
        <v>69.28118002184786</v>
      </c>
      <c r="Q223" s="21">
        <f>O223*12/(پارامترها!$B$5/1000000)*100</f>
        <v>50.235783633841869</v>
      </c>
      <c r="R223" s="3" t="str">
        <f t="shared" si="10"/>
        <v>فشار شدید</v>
      </c>
      <c r="S223" s="21">
        <f>(1-NORMSDIST((LN(O223*12*1000000/پارامترها!$B$8)-پارامترها!$B$15)/پارامترها!$B$14))*100</f>
        <v>15.477932467168021</v>
      </c>
      <c r="T223" s="21">
        <f>(1-NORMSDIST((LN(I223*1000000/5)-پارامترها!$B$15)/پارامترها!$B$14))*100</f>
        <v>6.476096687896316</v>
      </c>
      <c r="U223" s="21">
        <f>MIN(100,پارامترها!$B$9/1000000/I223*100)</f>
        <v>14.484881405033494</v>
      </c>
      <c r="V223" s="19">
        <f>MAX(0,I223-پارامترها!$B$9/1000000)</f>
        <v>11807.5</v>
      </c>
      <c r="W223" s="21">
        <f>V223/(G223*پارامترها!$B$7)</f>
        <v>55.766034256223534</v>
      </c>
      <c r="X223" s="21">
        <f>پارامترها!$B$12/1000000/(G223/12)*100</f>
        <v>68.478217826141702</v>
      </c>
      <c r="Y223" s="21">
        <f>ROUND(50*MIN(1,3/K223)+50*MIN(1,30/P223),1)</f>
        <v>29.3</v>
      </c>
      <c r="Z223" s="3">
        <f t="shared" si="11"/>
        <v>200</v>
      </c>
      <c r="AA223" s="19">
        <v>0</v>
      </c>
      <c r="AB223" s="19">
        <v>0</v>
      </c>
      <c r="AC223" s="3" t="s">
        <v>103</v>
      </c>
      <c r="AD223" s="3" t="s">
        <v>104</v>
      </c>
      <c r="AE223" s="23" t="s">
        <v>105</v>
      </c>
      <c r="AF223" s="23" t="s">
        <v>106</v>
      </c>
    </row>
    <row r="224" spans="1:32" ht="16.5" x14ac:dyDescent="0.3">
      <c r="A224" s="3">
        <v>223</v>
      </c>
      <c r="B224" s="3">
        <v>14</v>
      </c>
      <c r="C224" s="3" t="s">
        <v>374</v>
      </c>
      <c r="D224" s="19">
        <v>21690</v>
      </c>
      <c r="E224" s="19">
        <f>ROUND(D224/INDEX(مناطق!$D$2:$D$23,B224),0)</f>
        <v>7269</v>
      </c>
      <c r="F224" s="20">
        <v>0.72509999999999997</v>
      </c>
      <c r="G224" s="19">
        <f>پارامترها!$B$5*F224/1000000</f>
        <v>705.77608499999997</v>
      </c>
      <c r="H224" s="21">
        <v>184.1</v>
      </c>
      <c r="I224" s="19">
        <f>H224*پارامترها!$B$6</f>
        <v>13807.5</v>
      </c>
      <c r="J224" s="22"/>
      <c r="K224" s="21">
        <f t="shared" si="9"/>
        <v>19.563570222133556</v>
      </c>
      <c r="L224" s="21">
        <f>I224/(پارامترها!$B$5/1000000)</f>
        <v>14.185544768069038</v>
      </c>
      <c r="M224" s="21">
        <f>K224/پارامترها!$B$7</f>
        <v>65.211900740445188</v>
      </c>
      <c r="N224" s="21">
        <v>18.11</v>
      </c>
      <c r="O224" s="21">
        <f>N224*پارامترها!$B$6*پارامترها!$B$16</f>
        <v>40.747499999999995</v>
      </c>
      <c r="P224" s="21">
        <f>O224*12/G224*100</f>
        <v>69.28118002184786</v>
      </c>
      <c r="Q224" s="21">
        <f>O224*12/(پارامترها!$B$5/1000000)*100</f>
        <v>50.235783633841869</v>
      </c>
      <c r="R224" s="3" t="str">
        <f t="shared" si="10"/>
        <v>فشار شدید</v>
      </c>
      <c r="S224" s="21">
        <f>(1-NORMSDIST((LN(O224*12*1000000/پارامترها!$B$8)-پارامترها!$B$15)/پارامترها!$B$14))*100</f>
        <v>15.477932467168021</v>
      </c>
      <c r="T224" s="21">
        <f>(1-NORMSDIST((LN(I224*1000000/5)-پارامترها!$B$15)/پارامترها!$B$14))*100</f>
        <v>6.476096687896316</v>
      </c>
      <c r="U224" s="21">
        <f>MIN(100,پارامترها!$B$9/1000000/I224*100)</f>
        <v>14.484881405033494</v>
      </c>
      <c r="V224" s="19">
        <f>MAX(0,I224-پارامترها!$B$9/1000000)</f>
        <v>11807.5</v>
      </c>
      <c r="W224" s="21">
        <f>V224/(G224*پارامترها!$B$7)</f>
        <v>55.766034256223534</v>
      </c>
      <c r="X224" s="21">
        <f>پارامترها!$B$12/1000000/(G224/12)*100</f>
        <v>68.478217826141702</v>
      </c>
      <c r="Y224" s="21">
        <f>ROUND(50*MIN(1,3/K224)+50*MIN(1,30/P224),1)</f>
        <v>29.3</v>
      </c>
      <c r="Z224" s="3">
        <f t="shared" si="11"/>
        <v>200</v>
      </c>
      <c r="AA224" s="19">
        <v>0</v>
      </c>
      <c r="AB224" s="19">
        <v>0</v>
      </c>
      <c r="AC224" s="3" t="s">
        <v>103</v>
      </c>
      <c r="AD224" s="3" t="s">
        <v>104</v>
      </c>
      <c r="AE224" s="23" t="s">
        <v>105</v>
      </c>
      <c r="AF224" s="23" t="s">
        <v>106</v>
      </c>
    </row>
    <row r="225" spans="1:32" ht="16.5" x14ac:dyDescent="0.3">
      <c r="A225" s="3">
        <v>224</v>
      </c>
      <c r="B225" s="3">
        <v>14</v>
      </c>
      <c r="C225" s="3" t="s">
        <v>375</v>
      </c>
      <c r="D225" s="19">
        <v>18322</v>
      </c>
      <c r="E225" s="19">
        <f>ROUND(D225/INDEX(مناطق!$D$2:$D$23,B225),0)</f>
        <v>6141</v>
      </c>
      <c r="F225" s="20">
        <v>0.72509999999999997</v>
      </c>
      <c r="G225" s="19">
        <f>پارامترها!$B$5*F225/1000000</f>
        <v>705.77608499999997</v>
      </c>
      <c r="H225" s="21">
        <v>184.1</v>
      </c>
      <c r="I225" s="19">
        <f>H225*پارامترها!$B$6</f>
        <v>13807.5</v>
      </c>
      <c r="J225" s="22"/>
      <c r="K225" s="21">
        <f t="shared" si="9"/>
        <v>19.563570222133556</v>
      </c>
      <c r="L225" s="21">
        <f>I225/(پارامترها!$B$5/1000000)</f>
        <v>14.185544768069038</v>
      </c>
      <c r="M225" s="21">
        <f>K225/پارامترها!$B$7</f>
        <v>65.211900740445188</v>
      </c>
      <c r="N225" s="21">
        <v>18.11</v>
      </c>
      <c r="O225" s="21">
        <f>N225*پارامترها!$B$6*پارامترها!$B$16</f>
        <v>40.747499999999995</v>
      </c>
      <c r="P225" s="21">
        <f>O225*12/G225*100</f>
        <v>69.28118002184786</v>
      </c>
      <c r="Q225" s="21">
        <f>O225*12/(پارامترها!$B$5/1000000)*100</f>
        <v>50.235783633841869</v>
      </c>
      <c r="R225" s="3" t="str">
        <f t="shared" si="10"/>
        <v>فشار شدید</v>
      </c>
      <c r="S225" s="21">
        <f>(1-NORMSDIST((LN(O225*12*1000000/پارامترها!$B$8)-پارامترها!$B$15)/پارامترها!$B$14))*100</f>
        <v>15.477932467168021</v>
      </c>
      <c r="T225" s="21">
        <f>(1-NORMSDIST((LN(I225*1000000/5)-پارامترها!$B$15)/پارامترها!$B$14))*100</f>
        <v>6.476096687896316</v>
      </c>
      <c r="U225" s="21">
        <f>MIN(100,پارامترها!$B$9/1000000/I225*100)</f>
        <v>14.484881405033494</v>
      </c>
      <c r="V225" s="19">
        <f>MAX(0,I225-پارامترها!$B$9/1000000)</f>
        <v>11807.5</v>
      </c>
      <c r="W225" s="21">
        <f>V225/(G225*پارامترها!$B$7)</f>
        <v>55.766034256223534</v>
      </c>
      <c r="X225" s="21">
        <f>پارامترها!$B$12/1000000/(G225/12)*100</f>
        <v>68.478217826141702</v>
      </c>
      <c r="Y225" s="21">
        <f>ROUND(50*MIN(1,3/K225)+50*MIN(1,30/P225),1)</f>
        <v>29.3</v>
      </c>
      <c r="Z225" s="3">
        <f t="shared" si="11"/>
        <v>200</v>
      </c>
      <c r="AA225" s="19">
        <v>0</v>
      </c>
      <c r="AB225" s="19">
        <v>0</v>
      </c>
      <c r="AC225" s="3" t="s">
        <v>103</v>
      </c>
      <c r="AD225" s="3" t="s">
        <v>104</v>
      </c>
      <c r="AE225" s="23" t="s">
        <v>105</v>
      </c>
      <c r="AF225" s="23" t="s">
        <v>106</v>
      </c>
    </row>
    <row r="226" spans="1:32" ht="16.5" x14ac:dyDescent="0.3">
      <c r="A226" s="3">
        <v>225</v>
      </c>
      <c r="B226" s="3">
        <v>14</v>
      </c>
      <c r="C226" s="3" t="s">
        <v>264</v>
      </c>
      <c r="D226" s="19">
        <v>18256</v>
      </c>
      <c r="E226" s="19">
        <f>ROUND(D226/INDEX(مناطق!$D$2:$D$23,B226),0)</f>
        <v>6119</v>
      </c>
      <c r="F226" s="20">
        <v>0.72509999999999997</v>
      </c>
      <c r="G226" s="19">
        <f>پارامترها!$B$5*F226/1000000</f>
        <v>705.77608499999997</v>
      </c>
      <c r="H226" s="21">
        <v>184.1</v>
      </c>
      <c r="I226" s="19">
        <f>H226*پارامترها!$B$6</f>
        <v>13807.5</v>
      </c>
      <c r="J226" s="22"/>
      <c r="K226" s="21">
        <f t="shared" si="9"/>
        <v>19.563570222133556</v>
      </c>
      <c r="L226" s="21">
        <f>I226/(پارامترها!$B$5/1000000)</f>
        <v>14.185544768069038</v>
      </c>
      <c r="M226" s="21">
        <f>K226/پارامترها!$B$7</f>
        <v>65.211900740445188</v>
      </c>
      <c r="N226" s="21">
        <v>18.11</v>
      </c>
      <c r="O226" s="21">
        <f>N226*پارامترها!$B$6*پارامترها!$B$16</f>
        <v>40.747499999999995</v>
      </c>
      <c r="P226" s="21">
        <f>O226*12/G226*100</f>
        <v>69.28118002184786</v>
      </c>
      <c r="Q226" s="21">
        <f>O226*12/(پارامترها!$B$5/1000000)*100</f>
        <v>50.235783633841869</v>
      </c>
      <c r="R226" s="3" t="str">
        <f t="shared" si="10"/>
        <v>فشار شدید</v>
      </c>
      <c r="S226" s="21">
        <f>(1-NORMSDIST((LN(O226*12*1000000/پارامترها!$B$8)-پارامترها!$B$15)/پارامترها!$B$14))*100</f>
        <v>15.477932467168021</v>
      </c>
      <c r="T226" s="21">
        <f>(1-NORMSDIST((LN(I226*1000000/5)-پارامترها!$B$15)/پارامترها!$B$14))*100</f>
        <v>6.476096687896316</v>
      </c>
      <c r="U226" s="21">
        <f>MIN(100,پارامترها!$B$9/1000000/I226*100)</f>
        <v>14.484881405033494</v>
      </c>
      <c r="V226" s="19">
        <f>MAX(0,I226-پارامترها!$B$9/1000000)</f>
        <v>11807.5</v>
      </c>
      <c r="W226" s="21">
        <f>V226/(G226*پارامترها!$B$7)</f>
        <v>55.766034256223534</v>
      </c>
      <c r="X226" s="21">
        <f>پارامترها!$B$12/1000000/(G226/12)*100</f>
        <v>68.478217826141702</v>
      </c>
      <c r="Y226" s="21">
        <f>ROUND(50*MIN(1,3/K226)+50*MIN(1,30/P226),1)</f>
        <v>29.3</v>
      </c>
      <c r="Z226" s="3">
        <f t="shared" si="11"/>
        <v>200</v>
      </c>
      <c r="AA226" s="19">
        <v>0</v>
      </c>
      <c r="AB226" s="19">
        <v>0</v>
      </c>
      <c r="AC226" s="3" t="s">
        <v>103</v>
      </c>
      <c r="AD226" s="3" t="s">
        <v>104</v>
      </c>
      <c r="AE226" s="23" t="s">
        <v>105</v>
      </c>
      <c r="AF226" s="23" t="s">
        <v>106</v>
      </c>
    </row>
    <row r="227" spans="1:32" ht="16.5" x14ac:dyDescent="0.3">
      <c r="A227" s="3">
        <v>226</v>
      </c>
      <c r="B227" s="3">
        <v>14</v>
      </c>
      <c r="C227" s="3" t="s">
        <v>208</v>
      </c>
      <c r="D227" s="19">
        <v>15985</v>
      </c>
      <c r="E227" s="19">
        <f>ROUND(D227/INDEX(مناطق!$D$2:$D$23,B227),0)</f>
        <v>5357</v>
      </c>
      <c r="F227" s="20">
        <v>0.72509999999999997</v>
      </c>
      <c r="G227" s="19">
        <f>پارامترها!$B$5*F227/1000000</f>
        <v>705.77608499999997</v>
      </c>
      <c r="H227" s="21">
        <v>184.1</v>
      </c>
      <c r="I227" s="19">
        <f>H227*پارامترها!$B$6</f>
        <v>13807.5</v>
      </c>
      <c r="J227" s="22"/>
      <c r="K227" s="21">
        <f t="shared" si="9"/>
        <v>19.563570222133556</v>
      </c>
      <c r="L227" s="21">
        <f>I227/(پارامترها!$B$5/1000000)</f>
        <v>14.185544768069038</v>
      </c>
      <c r="M227" s="21">
        <f>K227/پارامترها!$B$7</f>
        <v>65.211900740445188</v>
      </c>
      <c r="N227" s="21">
        <v>18.11</v>
      </c>
      <c r="O227" s="21">
        <f>N227*پارامترها!$B$6*پارامترها!$B$16</f>
        <v>40.747499999999995</v>
      </c>
      <c r="P227" s="21">
        <f>O227*12/G227*100</f>
        <v>69.28118002184786</v>
      </c>
      <c r="Q227" s="21">
        <f>O227*12/(پارامترها!$B$5/1000000)*100</f>
        <v>50.235783633841869</v>
      </c>
      <c r="R227" s="3" t="str">
        <f t="shared" si="10"/>
        <v>فشار شدید</v>
      </c>
      <c r="S227" s="21">
        <f>(1-NORMSDIST((LN(O227*12*1000000/پارامترها!$B$8)-پارامترها!$B$15)/پارامترها!$B$14))*100</f>
        <v>15.477932467168021</v>
      </c>
      <c r="T227" s="21">
        <f>(1-NORMSDIST((LN(I227*1000000/5)-پارامترها!$B$15)/پارامترها!$B$14))*100</f>
        <v>6.476096687896316</v>
      </c>
      <c r="U227" s="21">
        <f>MIN(100,پارامترها!$B$9/1000000/I227*100)</f>
        <v>14.484881405033494</v>
      </c>
      <c r="V227" s="19">
        <f>MAX(0,I227-پارامترها!$B$9/1000000)</f>
        <v>11807.5</v>
      </c>
      <c r="W227" s="21">
        <f>V227/(G227*پارامترها!$B$7)</f>
        <v>55.766034256223534</v>
      </c>
      <c r="X227" s="21">
        <f>پارامترها!$B$12/1000000/(G227/12)*100</f>
        <v>68.478217826141702</v>
      </c>
      <c r="Y227" s="21">
        <f>ROUND(50*MIN(1,3/K227)+50*MIN(1,30/P227),1)</f>
        <v>29.3</v>
      </c>
      <c r="Z227" s="3">
        <f t="shared" si="11"/>
        <v>200</v>
      </c>
      <c r="AA227" s="19">
        <v>0</v>
      </c>
      <c r="AB227" s="19">
        <v>0</v>
      </c>
      <c r="AC227" s="3" t="s">
        <v>103</v>
      </c>
      <c r="AD227" s="3" t="s">
        <v>104</v>
      </c>
      <c r="AE227" s="23" t="s">
        <v>105</v>
      </c>
      <c r="AF227" s="23" t="s">
        <v>106</v>
      </c>
    </row>
    <row r="228" spans="1:32" ht="16.5" x14ac:dyDescent="0.3">
      <c r="A228" s="3">
        <v>227</v>
      </c>
      <c r="B228" s="3">
        <v>14</v>
      </c>
      <c r="C228" s="3" t="s">
        <v>376</v>
      </c>
      <c r="D228" s="19">
        <v>11350</v>
      </c>
      <c r="E228" s="19">
        <f>ROUND(D228/INDEX(مناطق!$D$2:$D$23,B228),0)</f>
        <v>3804</v>
      </c>
      <c r="F228" s="20">
        <v>0.72509999999999997</v>
      </c>
      <c r="G228" s="19">
        <f>پارامترها!$B$5*F228/1000000</f>
        <v>705.77608499999997</v>
      </c>
      <c r="H228" s="21">
        <v>184.1</v>
      </c>
      <c r="I228" s="19">
        <f>H228*پارامترها!$B$6</f>
        <v>13807.5</v>
      </c>
      <c r="J228" s="22"/>
      <c r="K228" s="21">
        <f t="shared" si="9"/>
        <v>19.563570222133556</v>
      </c>
      <c r="L228" s="21">
        <f>I228/(پارامترها!$B$5/1000000)</f>
        <v>14.185544768069038</v>
      </c>
      <c r="M228" s="21">
        <f>K228/پارامترها!$B$7</f>
        <v>65.211900740445188</v>
      </c>
      <c r="N228" s="21">
        <v>18.11</v>
      </c>
      <c r="O228" s="21">
        <f>N228*پارامترها!$B$6*پارامترها!$B$16</f>
        <v>40.747499999999995</v>
      </c>
      <c r="P228" s="21">
        <f>O228*12/G228*100</f>
        <v>69.28118002184786</v>
      </c>
      <c r="Q228" s="21">
        <f>O228*12/(پارامترها!$B$5/1000000)*100</f>
        <v>50.235783633841869</v>
      </c>
      <c r="R228" s="3" t="str">
        <f t="shared" si="10"/>
        <v>فشار شدید</v>
      </c>
      <c r="S228" s="21">
        <f>(1-NORMSDIST((LN(O228*12*1000000/پارامترها!$B$8)-پارامترها!$B$15)/پارامترها!$B$14))*100</f>
        <v>15.477932467168021</v>
      </c>
      <c r="T228" s="21">
        <f>(1-NORMSDIST((LN(I228*1000000/5)-پارامترها!$B$15)/پارامترها!$B$14))*100</f>
        <v>6.476096687896316</v>
      </c>
      <c r="U228" s="21">
        <f>MIN(100,پارامترها!$B$9/1000000/I228*100)</f>
        <v>14.484881405033494</v>
      </c>
      <c r="V228" s="19">
        <f>MAX(0,I228-پارامترها!$B$9/1000000)</f>
        <v>11807.5</v>
      </c>
      <c r="W228" s="21">
        <f>V228/(G228*پارامترها!$B$7)</f>
        <v>55.766034256223534</v>
      </c>
      <c r="X228" s="21">
        <f>پارامترها!$B$12/1000000/(G228/12)*100</f>
        <v>68.478217826141702</v>
      </c>
      <c r="Y228" s="21">
        <f>ROUND(50*MIN(1,3/K228)+50*MIN(1,30/P228),1)</f>
        <v>29.3</v>
      </c>
      <c r="Z228" s="3">
        <f t="shared" si="11"/>
        <v>200</v>
      </c>
      <c r="AA228" s="19">
        <v>0</v>
      </c>
      <c r="AB228" s="19">
        <v>0</v>
      </c>
      <c r="AC228" s="3" t="s">
        <v>103</v>
      </c>
      <c r="AD228" s="3" t="s">
        <v>93</v>
      </c>
      <c r="AE228" s="23" t="s">
        <v>105</v>
      </c>
      <c r="AF228" s="23" t="s">
        <v>106</v>
      </c>
    </row>
    <row r="229" spans="1:32" x14ac:dyDescent="0.2">
      <c r="A229" s="3">
        <v>228</v>
      </c>
      <c r="B229" s="3">
        <v>14</v>
      </c>
      <c r="C229" s="3" t="s">
        <v>377</v>
      </c>
      <c r="D229" s="19">
        <v>20459</v>
      </c>
      <c r="E229" s="19">
        <f>ROUND(D229/INDEX(مناطق!$D$2:$D$23,B229),0)</f>
        <v>6857</v>
      </c>
      <c r="F229" s="20">
        <v>0.69</v>
      </c>
      <c r="G229" s="19">
        <f>پارامترها!$B$5*F229/1000000</f>
        <v>671.61149999999998</v>
      </c>
      <c r="H229" s="21">
        <v>175.4</v>
      </c>
      <c r="I229" s="19">
        <f>H229*پارامترها!$B$6</f>
        <v>13155</v>
      </c>
      <c r="J229" s="22">
        <v>61.5</v>
      </c>
      <c r="K229" s="21">
        <f t="shared" si="9"/>
        <v>19.587216716807262</v>
      </c>
      <c r="L229" s="21">
        <f>I229/(پارامترها!$B$5/1000000)</f>
        <v>13.515179534597008</v>
      </c>
      <c r="M229" s="21">
        <f>K229/پارامترها!$B$7</f>
        <v>65.290722389357541</v>
      </c>
      <c r="N229" s="21">
        <v>18.170000000000002</v>
      </c>
      <c r="O229" s="21">
        <f>N229*پارامترها!$B$6*پارامترها!$B$16</f>
        <v>40.882500000000007</v>
      </c>
      <c r="P229" s="21">
        <f>O229*12/G229*100</f>
        <v>73.046694405917719</v>
      </c>
      <c r="Q229" s="21">
        <f>O229*12/(پارامترها!$B$5/1000000)*100</f>
        <v>50.402219140083218</v>
      </c>
      <c r="R229" s="3" t="str">
        <f t="shared" si="10"/>
        <v>فشار شدید</v>
      </c>
      <c r="S229" s="21">
        <f>(1-NORMSDIST((LN(O229*12*1000000/پارامترها!$B$8)-پارامترها!$B$15)/پارامترها!$B$14))*100</f>
        <v>15.403403345456368</v>
      </c>
      <c r="T229" s="21">
        <f>(1-NORMSDIST((LN(I229*1000000/5)-پارامترها!$B$15)/پارامترها!$B$14))*100</f>
        <v>7.0767767705478324</v>
      </c>
      <c r="U229" s="21">
        <f>MIN(100,پارامترها!$B$9/1000000/I229*100)</f>
        <v>15.203344735841885</v>
      </c>
      <c r="V229" s="19">
        <f>MAX(0,I229-پارامترها!$B$9/1000000)</f>
        <v>11155</v>
      </c>
      <c r="W229" s="21">
        <f>V229/(G229*پارامترها!$B$7)</f>
        <v>55.364348783982017</v>
      </c>
      <c r="X229" s="21">
        <f>پارامترها!$B$12/1000000/(G229/12)*100</f>
        <v>71.961674993819344</v>
      </c>
      <c r="Y229" s="21">
        <f>ROUND(50*MIN(1,3/K229)+50*MIN(1,30/P229),1)</f>
        <v>28.2</v>
      </c>
      <c r="Z229" s="3">
        <f t="shared" si="11"/>
        <v>248</v>
      </c>
      <c r="AA229" s="19">
        <v>88</v>
      </c>
      <c r="AB229" s="19">
        <v>56</v>
      </c>
      <c r="AC229" s="3" t="s">
        <v>83</v>
      </c>
      <c r="AD229" s="3" t="s">
        <v>84</v>
      </c>
      <c r="AE229" s="3" t="s">
        <v>378</v>
      </c>
      <c r="AF229" s="23" t="s">
        <v>85</v>
      </c>
    </row>
    <row r="230" spans="1:32" x14ac:dyDescent="0.2">
      <c r="A230" s="3">
        <v>229</v>
      </c>
      <c r="B230" s="3">
        <v>14</v>
      </c>
      <c r="C230" s="3" t="s">
        <v>379</v>
      </c>
      <c r="D230" s="19">
        <v>22317</v>
      </c>
      <c r="E230" s="19">
        <f>ROUND(D230/INDEX(مناطق!$D$2:$D$23,B230),0)</f>
        <v>7480</v>
      </c>
      <c r="F230" s="20">
        <v>0.65080000000000005</v>
      </c>
      <c r="G230" s="19">
        <f>پارامترها!$B$5*F230/1000000</f>
        <v>633.45618000000013</v>
      </c>
      <c r="H230" s="21">
        <v>165.8</v>
      </c>
      <c r="I230" s="19">
        <f>H230*پارامترها!$B$6</f>
        <v>12435</v>
      </c>
      <c r="J230" s="22">
        <v>67.5</v>
      </c>
      <c r="K230" s="21">
        <f t="shared" si="9"/>
        <v>19.63040284807072</v>
      </c>
      <c r="L230" s="21">
        <f>I230/(پارامترها!$B$5/1000000)</f>
        <v>12.775466173524425</v>
      </c>
      <c r="M230" s="21">
        <f>K230/پارامترها!$B$7</f>
        <v>65.434676160235739</v>
      </c>
      <c r="N230" s="21">
        <v>19.190000000000001</v>
      </c>
      <c r="O230" s="21">
        <f>N230*پارامترها!$B$6*پارامترها!$B$16</f>
        <v>43.177499999999995</v>
      </c>
      <c r="P230" s="21">
        <f>O230*12/G230*100</f>
        <v>81.794134520875588</v>
      </c>
      <c r="Q230" s="21">
        <f>O230*12/(پارامترها!$B$5/1000000)*100</f>
        <v>53.231622746185835</v>
      </c>
      <c r="R230" s="3" t="str">
        <f t="shared" si="10"/>
        <v>فشار شدید</v>
      </c>
      <c r="S230" s="21">
        <f>(1-NORMSDIST((LN(O230*12*1000000/پارامترها!$B$8)-پارامترها!$B$15)/پارامترها!$B$14))*100</f>
        <v>14.207081233150243</v>
      </c>
      <c r="T230" s="21">
        <f>(1-NORMSDIST((LN(I230*1000000/5)-پارامترها!$B$15)/پارامترها!$B$14))*100</f>
        <v>7.8279982858286079</v>
      </c>
      <c r="U230" s="21">
        <f>MIN(100,پارامترها!$B$9/1000000/I230*100)</f>
        <v>16.083634901487738</v>
      </c>
      <c r="V230" s="19">
        <f>MAX(0,I230-پارامترها!$B$9/1000000)</f>
        <v>10435</v>
      </c>
      <c r="W230" s="21">
        <f>V230/(G230*پارامترها!$B$7)</f>
        <v>54.910401747652578</v>
      </c>
      <c r="X230" s="21">
        <f>پارامترها!$B$12/1000000/(G230/12)*100</f>
        <v>76.296182768493154</v>
      </c>
      <c r="Y230" s="21">
        <f>ROUND(50*MIN(1,3/K230)+50*MIN(1,30/P230),1)</f>
        <v>26</v>
      </c>
      <c r="Z230" s="3">
        <f t="shared" si="11"/>
        <v>308</v>
      </c>
      <c r="AA230" s="19">
        <v>86</v>
      </c>
      <c r="AB230" s="19">
        <v>77</v>
      </c>
      <c r="AC230" s="3" t="s">
        <v>83</v>
      </c>
      <c r="AD230" s="3" t="s">
        <v>84</v>
      </c>
      <c r="AE230" s="3" t="s">
        <v>379</v>
      </c>
      <c r="AF230" s="23" t="s">
        <v>85</v>
      </c>
    </row>
    <row r="231" spans="1:32" ht="16.5" x14ac:dyDescent="0.3">
      <c r="A231" s="3">
        <v>230</v>
      </c>
      <c r="B231" s="3">
        <v>14</v>
      </c>
      <c r="C231" s="3" t="s">
        <v>380</v>
      </c>
      <c r="D231" s="19">
        <v>11911</v>
      </c>
      <c r="E231" s="19">
        <f>ROUND(D231/INDEX(مناطق!$D$2:$D$23,B231),0)</f>
        <v>3992</v>
      </c>
      <c r="F231" s="20">
        <v>0.62609999999999999</v>
      </c>
      <c r="G231" s="19">
        <f>پارامترها!$B$5*F231/1000000</f>
        <v>609.41443500000014</v>
      </c>
      <c r="H231" s="21">
        <v>159.69999999999999</v>
      </c>
      <c r="I231" s="19">
        <f>H231*پارامترها!$B$6</f>
        <v>11977.5</v>
      </c>
      <c r="J231" s="22">
        <v>63</v>
      </c>
      <c r="K231" s="21">
        <f t="shared" si="9"/>
        <v>19.65411272215762</v>
      </c>
      <c r="L231" s="21">
        <f>I231/(پارامترها!$B$5/1000000)</f>
        <v>12.305439975342885</v>
      </c>
      <c r="M231" s="21">
        <f>K231/پارامترها!$B$7</f>
        <v>65.513709073858735</v>
      </c>
      <c r="N231" s="21">
        <v>16.489999999999998</v>
      </c>
      <c r="O231" s="21">
        <f>N231*پارامترها!$B$6*پارامترها!$B$16</f>
        <v>37.102499999999992</v>
      </c>
      <c r="P231" s="21">
        <f>O231*12/G231*100</f>
        <v>73.058656708714125</v>
      </c>
      <c r="Q231" s="21">
        <f>O231*12/(پارامترها!$B$5/1000000)*100</f>
        <v>45.742024965325925</v>
      </c>
      <c r="R231" s="3" t="str">
        <f t="shared" si="10"/>
        <v>فشار شدید</v>
      </c>
      <c r="S231" s="21">
        <f>(1-NORMSDIST((LN(O231*12*1000000/پارامترها!$B$8)-پارامترها!$B$15)/پارامترها!$B$14))*100</f>
        <v>17.688259795921311</v>
      </c>
      <c r="T231" s="21">
        <f>(1-NORMSDIST((LN(I231*1000000/5)-پارامترها!$B$15)/پارامترها!$B$14))*100</f>
        <v>8.3608680454269937</v>
      </c>
      <c r="U231" s="21">
        <f>MIN(100,پارامترها!$B$9/1000000/I231*100)</f>
        <v>16.697975370486329</v>
      </c>
      <c r="V231" s="19">
        <f>MAX(0,I231-پارامترها!$B$9/1000000)</f>
        <v>9977.5</v>
      </c>
      <c r="W231" s="21">
        <f>V231/(G231*پارامترها!$B$7)</f>
        <v>54.574246068413736</v>
      </c>
      <c r="X231" s="21">
        <f>پارامترها!$B$12/1000000/(G231/12)*100</f>
        <v>79.306110438804239</v>
      </c>
      <c r="Y231" s="21">
        <f>ROUND(50*MIN(1,3/K231)+50*MIN(1,30/P231),1)</f>
        <v>28.2</v>
      </c>
      <c r="Z231" s="3">
        <f t="shared" si="11"/>
        <v>248</v>
      </c>
      <c r="AA231" s="19">
        <v>85</v>
      </c>
      <c r="AB231" s="19">
        <v>46</v>
      </c>
      <c r="AC231" s="3" t="s">
        <v>83</v>
      </c>
      <c r="AD231" s="3" t="s">
        <v>84</v>
      </c>
      <c r="AE231" s="3" t="s">
        <v>381</v>
      </c>
      <c r="AF231" s="23" t="s">
        <v>85</v>
      </c>
    </row>
    <row r="232" spans="1:32" ht="16.5" x14ac:dyDescent="0.3">
      <c r="A232" s="3">
        <v>231</v>
      </c>
      <c r="B232" s="3">
        <v>14</v>
      </c>
      <c r="C232" s="3" t="s">
        <v>382</v>
      </c>
      <c r="D232" s="19">
        <v>19787</v>
      </c>
      <c r="E232" s="19">
        <f>ROUND(D232/INDEX(مناطق!$D$2:$D$23,B232),0)</f>
        <v>6632</v>
      </c>
      <c r="F232" s="20">
        <v>0.6159</v>
      </c>
      <c r="G232" s="19">
        <f>پارامترها!$B$5*F232/1000000</f>
        <v>599.48626500000012</v>
      </c>
      <c r="H232" s="21">
        <v>157.19999999999999</v>
      </c>
      <c r="I232" s="19">
        <f>H232*پارامترها!$B$6</f>
        <v>11790</v>
      </c>
      <c r="J232" s="22">
        <v>63</v>
      </c>
      <c r="K232" s="21">
        <f t="shared" si="9"/>
        <v>19.666839239427777</v>
      </c>
      <c r="L232" s="21">
        <f>I232/(پارامترها!$B$5/1000000)</f>
        <v>12.112806287563567</v>
      </c>
      <c r="M232" s="21">
        <f>K232/پارامترها!$B$7</f>
        <v>65.556130798092596</v>
      </c>
      <c r="N232" s="21">
        <v>18.600000000000001</v>
      </c>
      <c r="O232" s="21">
        <f>N232*پارامترها!$B$6*پارامترها!$B$16</f>
        <v>41.85</v>
      </c>
      <c r="P232" s="21">
        <f>O232*12/G232*100</f>
        <v>83.771727447333589</v>
      </c>
      <c r="Q232" s="21">
        <f>O232*12/(پارامترها!$B$5/1000000)*100</f>
        <v>51.595006934812758</v>
      </c>
      <c r="R232" s="3" t="str">
        <f t="shared" si="10"/>
        <v>فشار شدید</v>
      </c>
      <c r="S232" s="21">
        <f>(1-NORMSDIST((LN(O232*12*1000000/پارامترها!$B$8)-پارامترها!$B$15)/پارامترها!$B$14))*100</f>
        <v>14.883157240621436</v>
      </c>
      <c r="T232" s="21">
        <f>(1-NORMSDIST((LN(I232*1000000/5)-پارامترها!$B$15)/پارامترها!$B$14))*100</f>
        <v>8.5931420696910514</v>
      </c>
      <c r="U232" s="21">
        <f>MIN(100,پارامترها!$B$9/1000000/I232*100)</f>
        <v>16.963528413910094</v>
      </c>
      <c r="V232" s="19">
        <f>MAX(0,I232-پارامترها!$B$9/1000000)</f>
        <v>9790</v>
      </c>
      <c r="W232" s="21">
        <f>V232/(G232*پارامترها!$B$7)</f>
        <v>54.435497923098083</v>
      </c>
      <c r="X232" s="21">
        <f>پارامترها!$B$12/1000000/(G232/12)*100</f>
        <v>80.619509247824865</v>
      </c>
      <c r="Y232" s="21">
        <f>ROUND(50*MIN(1,3/K232)+50*MIN(1,30/P232),1)</f>
        <v>25.5</v>
      </c>
      <c r="Z232" s="3">
        <f t="shared" si="11"/>
        <v>324</v>
      </c>
      <c r="AA232" s="19">
        <v>69</v>
      </c>
      <c r="AB232" s="19">
        <v>25</v>
      </c>
      <c r="AC232" s="3" t="s">
        <v>83</v>
      </c>
      <c r="AD232" s="3" t="s">
        <v>93</v>
      </c>
      <c r="AE232" s="3" t="s">
        <v>383</v>
      </c>
      <c r="AF232" s="23" t="s">
        <v>85</v>
      </c>
    </row>
    <row r="233" spans="1:32" x14ac:dyDescent="0.2">
      <c r="A233" s="3">
        <v>232</v>
      </c>
      <c r="B233" s="3">
        <v>14</v>
      </c>
      <c r="C233" s="3" t="s">
        <v>384</v>
      </c>
      <c r="D233" s="19">
        <v>24870</v>
      </c>
      <c r="E233" s="19">
        <f>ROUND(D233/INDEX(مناطق!$D$2:$D$23,B233),0)</f>
        <v>8335</v>
      </c>
      <c r="F233" s="20">
        <v>0.59640000000000004</v>
      </c>
      <c r="G233" s="19">
        <f>پارامترها!$B$5*F233/1000000</f>
        <v>580.50594000000012</v>
      </c>
      <c r="H233" s="21">
        <v>152.4</v>
      </c>
      <c r="I233" s="19">
        <f>H233*پارامترها!$B$6</f>
        <v>11430</v>
      </c>
      <c r="J233" s="22">
        <v>60</v>
      </c>
      <c r="K233" s="21">
        <f t="shared" si="9"/>
        <v>19.689721004405222</v>
      </c>
      <c r="L233" s="21">
        <f>I233/(پارامترها!$B$5/1000000)</f>
        <v>11.742949607027276</v>
      </c>
      <c r="M233" s="21">
        <f>K233/پارامترها!$B$7</f>
        <v>65.632403348017405</v>
      </c>
      <c r="N233" s="21">
        <v>15.66</v>
      </c>
      <c r="O233" s="21">
        <f>N233*پارامترها!$B$6*پارامترها!$B$16</f>
        <v>35.234999999999999</v>
      </c>
      <c r="P233" s="21">
        <f>O233*12/G233*100</f>
        <v>72.836463998973016</v>
      </c>
      <c r="Q233" s="21">
        <f>O233*12/(پارامترها!$B$5/1000000)*100</f>
        <v>43.439667128987509</v>
      </c>
      <c r="R233" s="3" t="str">
        <f t="shared" si="10"/>
        <v>فشار شدید</v>
      </c>
      <c r="S233" s="21">
        <f>(1-NORMSDIST((LN(O233*12*1000000/پارامترها!$B$8)-پارامترها!$B$15)/پارامترها!$B$14))*100</f>
        <v>18.987648678956447</v>
      </c>
      <c r="T233" s="21">
        <f>(1-NORMSDIST((LN(I233*1000000/5)-پارامترها!$B$15)/پارامترها!$B$14))*100</f>
        <v>9.0636671504507387</v>
      </c>
      <c r="U233" s="21">
        <f>MIN(100,پارامترها!$B$9/1000000/I233*100)</f>
        <v>17.497812773403325</v>
      </c>
      <c r="V233" s="19">
        <f>MAX(0,I233-پارامترها!$B$9/1000000)</f>
        <v>9430</v>
      </c>
      <c r="W233" s="21">
        <f>V233/(G233*پارامترها!$B$7)</f>
        <v>54.148168291496432</v>
      </c>
      <c r="X233" s="21">
        <f>پارامترها!$B$12/1000000/(G233/12)*100</f>
        <v>83.255458996873472</v>
      </c>
      <c r="Y233" s="21">
        <f>ROUND(50*MIN(1,3/K233)+50*MIN(1,30/P233),1)</f>
        <v>28.2</v>
      </c>
      <c r="Z233" s="3">
        <f t="shared" si="11"/>
        <v>248</v>
      </c>
      <c r="AA233" s="19">
        <v>85</v>
      </c>
      <c r="AB233" s="19">
        <v>74</v>
      </c>
      <c r="AC233" s="3" t="s">
        <v>83</v>
      </c>
      <c r="AD233" s="3" t="s">
        <v>84</v>
      </c>
      <c r="AE233" s="3" t="s">
        <v>384</v>
      </c>
      <c r="AF233" s="23" t="s">
        <v>85</v>
      </c>
    </row>
    <row r="234" spans="1:32" x14ac:dyDescent="0.2">
      <c r="A234" s="3">
        <v>233</v>
      </c>
      <c r="B234" s="3">
        <v>14</v>
      </c>
      <c r="C234" s="3" t="s">
        <v>385</v>
      </c>
      <c r="D234" s="19">
        <v>25474</v>
      </c>
      <c r="E234" s="19">
        <f>ROUND(D234/INDEX(مناطق!$D$2:$D$23,B234),0)</f>
        <v>8538</v>
      </c>
      <c r="F234" s="20">
        <v>0.49009999999999998</v>
      </c>
      <c r="G234" s="19">
        <f>پارامترها!$B$5*F234/1000000</f>
        <v>477.03883500000006</v>
      </c>
      <c r="H234" s="21">
        <v>126.1</v>
      </c>
      <c r="I234" s="19">
        <f>H234*پارامترها!$B$6</f>
        <v>9457.5</v>
      </c>
      <c r="J234" s="22">
        <v>57</v>
      </c>
      <c r="K234" s="21">
        <f t="shared" si="9"/>
        <v>19.825429935908673</v>
      </c>
      <c r="L234" s="21">
        <f>I234/(پارامترها!$B$5/1000000)</f>
        <v>9.7164432115888406</v>
      </c>
      <c r="M234" s="21">
        <f>K234/پارامترها!$B$7</f>
        <v>66.084766453028919</v>
      </c>
      <c r="N234" s="21">
        <v>14.58</v>
      </c>
      <c r="O234" s="21">
        <f>N234*پارامترها!$B$6*پارامترها!$B$16</f>
        <v>32.805</v>
      </c>
      <c r="P234" s="21">
        <f>O234*12/G234*100</f>
        <v>82.52158338429615</v>
      </c>
      <c r="Q234" s="21">
        <f>O234*12/(پارامترها!$B$5/1000000)*100</f>
        <v>40.443828016643543</v>
      </c>
      <c r="R234" s="3" t="str">
        <f t="shared" si="10"/>
        <v>فشار شدید</v>
      </c>
      <c r="S234" s="21">
        <f>(1-NORMSDIST((LN(O234*12*1000000/پارامترها!$B$8)-پارامترها!$B$15)/پارامترها!$B$14))*100</f>
        <v>20.87954066077684</v>
      </c>
      <c r="T234" s="21">
        <f>(1-NORMSDIST((LN(I234*1000000/5)-پارامترها!$B$15)/پارامترها!$B$14))*100</f>
        <v>12.358293765453121</v>
      </c>
      <c r="U234" s="21">
        <f>MIN(100,پارامترها!$B$9/1000000/I234*100)</f>
        <v>21.147237642083002</v>
      </c>
      <c r="V234" s="19">
        <f>MAX(0,I234-پارامترها!$B$9/1000000)</f>
        <v>7457.5</v>
      </c>
      <c r="W234" s="21">
        <f>V234/(G234*پارامترها!$B$7)</f>
        <v>52.109663845991342</v>
      </c>
      <c r="X234" s="21">
        <f>پارامترها!$B$12/1000000/(G234/12)*100</f>
        <v>101.31311109107395</v>
      </c>
      <c r="Y234" s="21">
        <f>ROUND(50*MIN(1,3/K234)+50*MIN(1,30/P234),1)</f>
        <v>25.7</v>
      </c>
      <c r="Z234" s="3">
        <f t="shared" si="11"/>
        <v>313</v>
      </c>
      <c r="AA234" s="19">
        <v>88</v>
      </c>
      <c r="AB234" s="19">
        <v>59</v>
      </c>
      <c r="AC234" s="3" t="s">
        <v>83</v>
      </c>
      <c r="AD234" s="3" t="s">
        <v>84</v>
      </c>
      <c r="AE234" s="3" t="s">
        <v>385</v>
      </c>
      <c r="AF234" s="23" t="s">
        <v>85</v>
      </c>
    </row>
    <row r="235" spans="1:32" x14ac:dyDescent="0.2">
      <c r="A235" s="3">
        <v>234</v>
      </c>
      <c r="B235" s="3">
        <v>15</v>
      </c>
      <c r="C235" s="3" t="s">
        <v>386</v>
      </c>
      <c r="D235" s="19">
        <v>59587</v>
      </c>
      <c r="E235" s="19">
        <f>ROUND(D235/INDEX(مناطق!$D$2:$D$23,B235),0)</f>
        <v>18897</v>
      </c>
      <c r="F235" s="20">
        <v>0.70020000000000004</v>
      </c>
      <c r="G235" s="19">
        <f>پارامترها!$B$5*F235/1000000</f>
        <v>681.53967000000011</v>
      </c>
      <c r="H235" s="21">
        <v>168.7</v>
      </c>
      <c r="I235" s="19">
        <f>H235*پارامترها!$B$6</f>
        <v>12652.5</v>
      </c>
      <c r="J235" s="22">
        <v>72</v>
      </c>
      <c r="K235" s="21">
        <f t="shared" si="9"/>
        <v>18.564583335259115</v>
      </c>
      <c r="L235" s="21">
        <f>I235/(پارامترها!$B$5/1000000)</f>
        <v>12.998921251348435</v>
      </c>
      <c r="M235" s="21">
        <f>K235/پارامترها!$B$7</f>
        <v>61.88194445086372</v>
      </c>
      <c r="N235" s="21">
        <v>15.45</v>
      </c>
      <c r="O235" s="21">
        <f>N235*پارامترها!$B$6*پارامترها!$B$16</f>
        <v>34.762499999999996</v>
      </c>
      <c r="P235" s="21">
        <f>O235*12/G235*100</f>
        <v>61.207002081038056</v>
      </c>
      <c r="Q235" s="21">
        <f>O235*12/(پارامترها!$B$5/1000000)*100</f>
        <v>42.857142857142847</v>
      </c>
      <c r="R235" s="3" t="str">
        <f t="shared" si="10"/>
        <v>فشار شدید</v>
      </c>
      <c r="S235" s="21">
        <f>(1-NORMSDIST((LN(O235*12*1000000/پارامترها!$B$8)-پارامترها!$B$15)/پارامترها!$B$14))*100</f>
        <v>19.336772226989019</v>
      </c>
      <c r="T235" s="21">
        <f>(1-NORMSDIST((LN(I235*1000000/5)-پارامترها!$B$15)/پارامترها!$B$14))*100</f>
        <v>7.5903953631915826</v>
      </c>
      <c r="U235" s="21">
        <f>MIN(100,پارامترها!$B$9/1000000/I235*100)</f>
        <v>15.807152736613316</v>
      </c>
      <c r="V235" s="19">
        <f>MAX(0,I235-پارامترها!$B$9/1000000)</f>
        <v>10652.5</v>
      </c>
      <c r="W235" s="21">
        <f>V235/(G235*پارامترها!$B$7)</f>
        <v>52.100170975129487</v>
      </c>
      <c r="X235" s="21">
        <f>پارامترها!$B$12/1000000/(G235/12)*100</f>
        <v>70.913390096737146</v>
      </c>
      <c r="Y235" s="21">
        <f>ROUND(50*MIN(1,3/K235)+50*MIN(1,30/P235),1)</f>
        <v>32.6</v>
      </c>
      <c r="Z235" s="3">
        <f t="shared" si="11"/>
        <v>40</v>
      </c>
      <c r="AA235" s="19">
        <v>70</v>
      </c>
      <c r="AB235" s="19">
        <v>64</v>
      </c>
      <c r="AC235" s="3" t="s">
        <v>83</v>
      </c>
      <c r="AD235" s="3" t="s">
        <v>84</v>
      </c>
      <c r="AE235" s="3" t="s">
        <v>386</v>
      </c>
      <c r="AF235" s="23" t="s">
        <v>85</v>
      </c>
    </row>
    <row r="236" spans="1:32" x14ac:dyDescent="0.2">
      <c r="A236" s="3">
        <v>235</v>
      </c>
      <c r="B236" s="3">
        <v>15</v>
      </c>
      <c r="C236" s="3" t="s">
        <v>387</v>
      </c>
      <c r="D236" s="19">
        <v>10298</v>
      </c>
      <c r="E236" s="19">
        <f>ROUND(D236/INDEX(مناطق!$D$2:$D$23,B236),0)</f>
        <v>3266</v>
      </c>
      <c r="F236" s="20">
        <v>0.69640000000000002</v>
      </c>
      <c r="G236" s="19">
        <f>پارامترها!$B$5*F236/1000000</f>
        <v>677.84094000000016</v>
      </c>
      <c r="H236" s="21">
        <v>167.8</v>
      </c>
      <c r="I236" s="19">
        <f>H236*پارامترها!$B$6</f>
        <v>12585</v>
      </c>
      <c r="J236" s="22">
        <v>101.5</v>
      </c>
      <c r="K236" s="21">
        <f t="shared" si="9"/>
        <v>18.566302590103213</v>
      </c>
      <c r="L236" s="21">
        <f>I236/(پارامترها!$B$5/1000000)</f>
        <v>12.929573123747879</v>
      </c>
      <c r="M236" s="21">
        <f>K236/پارامترها!$B$7</f>
        <v>61.887675300344043</v>
      </c>
      <c r="N236" s="21">
        <v>15.86</v>
      </c>
      <c r="O236" s="21">
        <f>N236*پارامترها!$B$6*پارامترها!$B$16</f>
        <v>35.684999999999995</v>
      </c>
      <c r="P236" s="21">
        <f>O236*12/G236*100</f>
        <v>63.174112794072279</v>
      </c>
      <c r="Q236" s="21">
        <f>O236*12/(پارامترها!$B$5/1000000)*100</f>
        <v>43.99445214979194</v>
      </c>
      <c r="R236" s="3" t="str">
        <f t="shared" si="10"/>
        <v>فشار شدید</v>
      </c>
      <c r="S236" s="21">
        <f>(1-NORMSDIST((LN(O236*12*1000000/پارامترها!$B$8)-پارامترها!$B$15)/پارامترها!$B$14))*100</f>
        <v>18.663033894136639</v>
      </c>
      <c r="T236" s="21">
        <f>(1-NORMSDIST((LN(I236*1000000/5)-پارامترها!$B$15)/پارامترها!$B$14))*100</f>
        <v>7.6631010966658479</v>
      </c>
      <c r="U236" s="21">
        <f>MIN(100,پارامترها!$B$9/1000000/I236*100)</f>
        <v>15.891934843067142</v>
      </c>
      <c r="V236" s="19">
        <f>MAX(0,I236-پارامترها!$B$9/1000000)</f>
        <v>10585</v>
      </c>
      <c r="W236" s="21">
        <f>V236/(G236*پارامترها!$B$7)</f>
        <v>52.052526265724417</v>
      </c>
      <c r="X236" s="21">
        <f>پارامترها!$B$12/1000000/(G236/12)*100</f>
        <v>71.300338520584916</v>
      </c>
      <c r="Y236" s="21">
        <f>ROUND(50*MIN(1,3/K236)+50*MIN(1,30/P236),1)</f>
        <v>31.8</v>
      </c>
      <c r="Z236" s="3">
        <f t="shared" si="11"/>
        <v>75</v>
      </c>
      <c r="AA236" s="19">
        <v>40</v>
      </c>
      <c r="AB236" s="19">
        <v>2</v>
      </c>
      <c r="AC236" s="3" t="s">
        <v>83</v>
      </c>
      <c r="AD236" s="3" t="s">
        <v>84</v>
      </c>
      <c r="AE236" s="3" t="s">
        <v>387</v>
      </c>
      <c r="AF236" s="23" t="s">
        <v>90</v>
      </c>
    </row>
    <row r="237" spans="1:32" ht="16.5" x14ac:dyDescent="0.3">
      <c r="A237" s="3">
        <v>236</v>
      </c>
      <c r="B237" s="3">
        <v>15</v>
      </c>
      <c r="C237" s="3" t="s">
        <v>388</v>
      </c>
      <c r="D237" s="19">
        <v>45321</v>
      </c>
      <c r="E237" s="19">
        <f>ROUND(D237/INDEX(مناطق!$D$2:$D$23,B237),0)</f>
        <v>14373</v>
      </c>
      <c r="F237" s="20">
        <v>0.59370000000000001</v>
      </c>
      <c r="G237" s="19">
        <f>پارامترها!$B$5*F237/1000000</f>
        <v>577.87789500000008</v>
      </c>
      <c r="H237" s="21">
        <v>143.80000000000001</v>
      </c>
      <c r="I237" s="19">
        <f>H237*پارامترها!$B$6</f>
        <v>10785</v>
      </c>
      <c r="J237" s="22">
        <v>65.5</v>
      </c>
      <c r="K237" s="21">
        <f t="shared" si="9"/>
        <v>18.663112213350882</v>
      </c>
      <c r="L237" s="21">
        <f>I237/(پارامترها!$B$5/1000000)</f>
        <v>11.080289721066418</v>
      </c>
      <c r="M237" s="21">
        <f>K237/پارامترها!$B$7</f>
        <v>62.210374044502942</v>
      </c>
      <c r="N237" s="21">
        <v>13.37</v>
      </c>
      <c r="O237" s="21">
        <f>N237*پارامترها!$B$6*پارامترها!$B$16</f>
        <v>30.082499999999996</v>
      </c>
      <c r="P237" s="21">
        <f>O237*12/G237*100</f>
        <v>62.468213981432861</v>
      </c>
      <c r="Q237" s="21">
        <f>O237*12/(پارامترها!$B$5/1000000)*100</f>
        <v>37.087378640776691</v>
      </c>
      <c r="R237" s="3" t="str">
        <f t="shared" si="10"/>
        <v>فشار شدید</v>
      </c>
      <c r="S237" s="21">
        <f>(1-NORMSDIST((LN(O237*12*1000000/پارامترها!$B$8)-پارامترها!$B$15)/پارامترها!$B$14))*100</f>
        <v>23.316134174353632</v>
      </c>
      <c r="T237" s="21">
        <f>(1-NORMSDIST((LN(I237*1000000/5)-پارامترها!$B$15)/پارامترها!$B$14))*100</f>
        <v>9.9959993447870765</v>
      </c>
      <c r="U237" s="21">
        <f>MIN(100,پارامترها!$B$9/1000000/I237*100)</f>
        <v>18.544274455261938</v>
      </c>
      <c r="V237" s="19">
        <f>MAX(0,I237-پارامترها!$B$9/1000000)</f>
        <v>8785</v>
      </c>
      <c r="W237" s="21">
        <f>V237/(G237*پارامترها!$B$7)</f>
        <v>50.673911542045282</v>
      </c>
      <c r="X237" s="21">
        <f>پارامترها!$B$12/1000000/(G237/12)*100</f>
        <v>83.634084126217516</v>
      </c>
      <c r="Y237" s="21">
        <f>ROUND(50*MIN(1,3/K237)+50*MIN(1,30/P237),1)</f>
        <v>32</v>
      </c>
      <c r="Z237" s="3">
        <f t="shared" si="11"/>
        <v>63</v>
      </c>
      <c r="AA237" s="19">
        <v>72</v>
      </c>
      <c r="AB237" s="19">
        <v>66</v>
      </c>
      <c r="AC237" s="3" t="s">
        <v>83</v>
      </c>
      <c r="AD237" s="3" t="s">
        <v>93</v>
      </c>
      <c r="AE237" s="3" t="s">
        <v>389</v>
      </c>
      <c r="AF237" s="23" t="s">
        <v>85</v>
      </c>
    </row>
    <row r="238" spans="1:32" ht="16.5" x14ac:dyDescent="0.3">
      <c r="A238" s="3">
        <v>237</v>
      </c>
      <c r="B238" s="3">
        <v>15</v>
      </c>
      <c r="C238" s="3" t="s">
        <v>390</v>
      </c>
      <c r="D238" s="19">
        <v>35085</v>
      </c>
      <c r="E238" s="19">
        <f>ROUND(D238/INDEX(مناطق!$D$2:$D$23,B238),0)</f>
        <v>11127</v>
      </c>
      <c r="F238" s="20">
        <v>0.59370000000000001</v>
      </c>
      <c r="G238" s="19">
        <f>پارامترها!$B$5*F238/1000000</f>
        <v>577.87789500000008</v>
      </c>
      <c r="H238" s="21">
        <v>143.80000000000001</v>
      </c>
      <c r="I238" s="19">
        <f>H238*پارامترها!$B$6</f>
        <v>10785</v>
      </c>
      <c r="J238" s="22">
        <v>65.5</v>
      </c>
      <c r="K238" s="21">
        <f t="shared" si="9"/>
        <v>18.663112213350882</v>
      </c>
      <c r="L238" s="21">
        <f>I238/(پارامترها!$B$5/1000000)</f>
        <v>11.080289721066418</v>
      </c>
      <c r="M238" s="21">
        <f>K238/پارامترها!$B$7</f>
        <v>62.210374044502942</v>
      </c>
      <c r="N238" s="21">
        <v>13.37</v>
      </c>
      <c r="O238" s="21">
        <f>N238*پارامترها!$B$6*پارامترها!$B$16</f>
        <v>30.082499999999996</v>
      </c>
      <c r="P238" s="21">
        <f>O238*12/G238*100</f>
        <v>62.468213981432861</v>
      </c>
      <c r="Q238" s="21">
        <f>O238*12/(پارامترها!$B$5/1000000)*100</f>
        <v>37.087378640776691</v>
      </c>
      <c r="R238" s="3" t="str">
        <f t="shared" si="10"/>
        <v>فشار شدید</v>
      </c>
      <c r="S238" s="21">
        <f>(1-NORMSDIST((LN(O238*12*1000000/پارامترها!$B$8)-پارامترها!$B$15)/پارامترها!$B$14))*100</f>
        <v>23.316134174353632</v>
      </c>
      <c r="T238" s="21">
        <f>(1-NORMSDIST((LN(I238*1000000/5)-پارامترها!$B$15)/پارامترها!$B$14))*100</f>
        <v>9.9959993447870765</v>
      </c>
      <c r="U238" s="21">
        <f>MIN(100,پارامترها!$B$9/1000000/I238*100)</f>
        <v>18.544274455261938</v>
      </c>
      <c r="V238" s="19">
        <f>MAX(0,I238-پارامترها!$B$9/1000000)</f>
        <v>8785</v>
      </c>
      <c r="W238" s="21">
        <f>V238/(G238*پارامترها!$B$7)</f>
        <v>50.673911542045282</v>
      </c>
      <c r="X238" s="21">
        <f>پارامترها!$B$12/1000000/(G238/12)*100</f>
        <v>83.634084126217516</v>
      </c>
      <c r="Y238" s="21">
        <f>ROUND(50*MIN(1,3/K238)+50*MIN(1,30/P238),1)</f>
        <v>32</v>
      </c>
      <c r="Z238" s="3">
        <f t="shared" si="11"/>
        <v>63</v>
      </c>
      <c r="AA238" s="19">
        <v>72</v>
      </c>
      <c r="AB238" s="19">
        <v>66</v>
      </c>
      <c r="AC238" s="3" t="s">
        <v>83</v>
      </c>
      <c r="AD238" s="3" t="s">
        <v>93</v>
      </c>
      <c r="AE238" s="3" t="s">
        <v>389</v>
      </c>
      <c r="AF238" s="23" t="s">
        <v>85</v>
      </c>
    </row>
    <row r="239" spans="1:32" x14ac:dyDescent="0.2">
      <c r="A239" s="3">
        <v>238</v>
      </c>
      <c r="B239" s="3">
        <v>15</v>
      </c>
      <c r="C239" s="3" t="s">
        <v>391</v>
      </c>
      <c r="D239" s="19">
        <v>74641</v>
      </c>
      <c r="E239" s="19">
        <f>ROUND(D239/INDEX(مناطق!$D$2:$D$23,B239),0)</f>
        <v>23671</v>
      </c>
      <c r="F239" s="20">
        <v>0.52769999999999995</v>
      </c>
      <c r="G239" s="19">
        <f>پارامترها!$B$5*F239/1000000</f>
        <v>513.63679500000001</v>
      </c>
      <c r="H239" s="21">
        <v>128.4</v>
      </c>
      <c r="I239" s="19">
        <f>H239*پارامترها!$B$6</f>
        <v>9630</v>
      </c>
      <c r="J239" s="22">
        <v>72</v>
      </c>
      <c r="K239" s="21">
        <f t="shared" si="9"/>
        <v>18.748656820818297</v>
      </c>
      <c r="L239" s="21">
        <f>I239/(پارامترها!$B$5/1000000)</f>
        <v>9.8936662043458146</v>
      </c>
      <c r="M239" s="21">
        <f>K239/پارامترها!$B$7</f>
        <v>62.495522736060991</v>
      </c>
      <c r="N239" s="21">
        <v>12.27</v>
      </c>
      <c r="O239" s="21">
        <f>N239*پارامترها!$B$6*پارامترها!$B$16</f>
        <v>27.607499999999998</v>
      </c>
      <c r="P239" s="21">
        <f>O239*12/G239*100</f>
        <v>64.49888388545061</v>
      </c>
      <c r="Q239" s="21">
        <f>O239*12/(پارامترها!$B$5/1000000)*100</f>
        <v>34.036061026352286</v>
      </c>
      <c r="R239" s="3" t="str">
        <f t="shared" si="10"/>
        <v>فشار شدید</v>
      </c>
      <c r="S239" s="21">
        <f>(1-NORMSDIST((LN(O239*12*1000000/پارامترها!$B$8)-پارامترها!$B$15)/پارامترها!$B$14))*100</f>
        <v>25.878905830633904</v>
      </c>
      <c r="T239" s="21">
        <f>(1-NORMSDIST((LN(I239*1000000/5)-پارامترها!$B$15)/پارامترها!$B$14))*100</f>
        <v>12.011821869869143</v>
      </c>
      <c r="U239" s="21">
        <f>MIN(100,پارامترها!$B$9/1000000/I239*100)</f>
        <v>20.768431983385256</v>
      </c>
      <c r="V239" s="19">
        <f>MAX(0,I239-پارامترها!$B$9/1000000)</f>
        <v>7630</v>
      </c>
      <c r="W239" s="21">
        <f>V239/(G239*پارامترها!$B$7)</f>
        <v>49.516182603961099</v>
      </c>
      <c r="X239" s="21">
        <f>پارامترها!$B$12/1000000/(G239/12)*100</f>
        <v>94.094287939615967</v>
      </c>
      <c r="Y239" s="21">
        <f>ROUND(50*MIN(1,3/K239)+50*MIN(1,30/P239),1)</f>
        <v>31.3</v>
      </c>
      <c r="Z239" s="3">
        <f t="shared" si="11"/>
        <v>92</v>
      </c>
      <c r="AA239" s="19">
        <v>72</v>
      </c>
      <c r="AB239" s="19">
        <v>81</v>
      </c>
      <c r="AC239" s="3" t="s">
        <v>83</v>
      </c>
      <c r="AD239" s="3" t="s">
        <v>84</v>
      </c>
      <c r="AE239" s="3" t="s">
        <v>391</v>
      </c>
      <c r="AF239" s="23" t="s">
        <v>85</v>
      </c>
    </row>
    <row r="240" spans="1:32" x14ac:dyDescent="0.2">
      <c r="A240" s="3">
        <v>239</v>
      </c>
      <c r="B240" s="3">
        <v>15</v>
      </c>
      <c r="C240" s="3" t="s">
        <v>392</v>
      </c>
      <c r="D240" s="19">
        <v>71434</v>
      </c>
      <c r="E240" s="19">
        <f>ROUND(D240/INDEX(مناطق!$D$2:$D$23,B240),0)</f>
        <v>22654</v>
      </c>
      <c r="F240" s="20">
        <v>0.5222</v>
      </c>
      <c r="G240" s="19">
        <f>پارامترها!$B$5*F240/1000000</f>
        <v>508.28337000000005</v>
      </c>
      <c r="H240" s="21">
        <v>127.1</v>
      </c>
      <c r="I240" s="19">
        <f>H240*پارامترها!$B$6</f>
        <v>9532.5</v>
      </c>
      <c r="J240" s="22">
        <v>66</v>
      </c>
      <c r="K240" s="21">
        <f t="shared" si="9"/>
        <v>18.754302349101053</v>
      </c>
      <c r="L240" s="21">
        <f>I240/(پارامترها!$B$5/1000000)</f>
        <v>9.7934966867005695</v>
      </c>
      <c r="M240" s="21">
        <f>K240/پارامترها!$B$7</f>
        <v>62.514341163670181</v>
      </c>
      <c r="N240" s="21">
        <v>13.09</v>
      </c>
      <c r="O240" s="21">
        <f>N240*پارامترها!$B$6*پارامترها!$B$16</f>
        <v>29.452500000000001</v>
      </c>
      <c r="P240" s="21">
        <f>O240*12/G240*100</f>
        <v>69.534047513692997</v>
      </c>
      <c r="Q240" s="21">
        <f>O240*12/(پارامترها!$B$5/1000000)*100</f>
        <v>36.310679611650478</v>
      </c>
      <c r="R240" s="3" t="str">
        <f t="shared" si="10"/>
        <v>فشار شدید</v>
      </c>
      <c r="S240" s="21">
        <f>(1-NORMSDIST((LN(O240*12*1000000/پارامترها!$B$8)-پارامترها!$B$15)/پارامترها!$B$14))*100</f>
        <v>23.934505292157215</v>
      </c>
      <c r="T240" s="21">
        <f>(1-NORMSDIST((LN(I240*1000000/5)-پارامترها!$B$15)/پارامترها!$B$14))*100</f>
        <v>12.206032191019755</v>
      </c>
      <c r="U240" s="21">
        <f>MIN(100,پارامترها!$B$9/1000000/I240*100)</f>
        <v>20.980854969840021</v>
      </c>
      <c r="V240" s="19">
        <f>MAX(0,I240-پارامترها!$B$9/1000000)</f>
        <v>7532.5</v>
      </c>
      <c r="W240" s="21">
        <f>V240/(G240*پارامترها!$B$7)</f>
        <v>49.398297908769536</v>
      </c>
      <c r="X240" s="21">
        <f>پارامترها!$B$12/1000000/(G240/12)*100</f>
        <v>95.08532314388232</v>
      </c>
      <c r="Y240" s="21">
        <f>ROUND(50*MIN(1,3/K240)+50*MIN(1,30/P240),1)</f>
        <v>29.6</v>
      </c>
      <c r="Z240" s="3">
        <f t="shared" si="11"/>
        <v>185</v>
      </c>
      <c r="AA240" s="19">
        <v>84</v>
      </c>
      <c r="AB240" s="19">
        <v>69</v>
      </c>
      <c r="AC240" s="3" t="s">
        <v>83</v>
      </c>
      <c r="AD240" s="3" t="s">
        <v>84</v>
      </c>
      <c r="AE240" s="3" t="s">
        <v>392</v>
      </c>
      <c r="AF240" s="23" t="s">
        <v>85</v>
      </c>
    </row>
    <row r="241" spans="1:32" ht="16.5" x14ac:dyDescent="0.3">
      <c r="A241" s="3">
        <v>240</v>
      </c>
      <c r="B241" s="3">
        <v>15</v>
      </c>
      <c r="C241" s="3" t="s">
        <v>393</v>
      </c>
      <c r="D241" s="19">
        <v>42000</v>
      </c>
      <c r="E241" s="19">
        <f>ROUND(D241/INDEX(مناطق!$D$2:$D$23,B241),0)</f>
        <v>13320</v>
      </c>
      <c r="F241" s="20">
        <v>0.49209999999999998</v>
      </c>
      <c r="G241" s="19">
        <f>پارامترها!$B$5*F241/1000000</f>
        <v>478.98553500000008</v>
      </c>
      <c r="H241" s="21">
        <v>120</v>
      </c>
      <c r="I241" s="19">
        <f>H241*پارامترها!$B$6</f>
        <v>9000</v>
      </c>
      <c r="J241" s="22"/>
      <c r="K241" s="21">
        <f t="shared" si="9"/>
        <v>18.789711468009152</v>
      </c>
      <c r="L241" s="21">
        <f>I241/(پارامترها!$B$5/1000000)</f>
        <v>9.2464170134073029</v>
      </c>
      <c r="M241" s="21">
        <f>K241/پارامترها!$B$7</f>
        <v>62.632371560030506</v>
      </c>
      <c r="N241" s="21">
        <v>11.81</v>
      </c>
      <c r="O241" s="21">
        <f>N241*پارامترها!$B$6*پارامترها!$B$16</f>
        <v>26.572499999999998</v>
      </c>
      <c r="P241" s="21">
        <f>O241*12/G241*100</f>
        <v>66.571947731156428</v>
      </c>
      <c r="Q241" s="21">
        <f>O241*12/(پارامترها!$B$5/1000000)*100</f>
        <v>32.760055478502075</v>
      </c>
      <c r="R241" s="3" t="str">
        <f t="shared" si="10"/>
        <v>فشار شدید</v>
      </c>
      <c r="S241" s="21">
        <f>(1-NORMSDIST((LN(O241*12*1000000/پارامترها!$B$8)-پارامترها!$B$15)/پارامترها!$B$14))*100</f>
        <v>27.064637705396244</v>
      </c>
      <c r="T241" s="21">
        <f>(1-NORMSDIST((LN(I241*1000000/5)-پارامترها!$B$15)/پارامترها!$B$14))*100</f>
        <v>13.34445321736214</v>
      </c>
      <c r="U241" s="21">
        <f>MIN(100,پارامترها!$B$9/1000000/I241*100)</f>
        <v>22.222222222222221</v>
      </c>
      <c r="V241" s="19">
        <f>MAX(0,I241-پارامترها!$B$9/1000000)</f>
        <v>7000</v>
      </c>
      <c r="W241" s="21">
        <f>V241/(G241*پارامترها!$B$7)</f>
        <v>48.714066768912609</v>
      </c>
      <c r="X241" s="21">
        <f>پارامترها!$B$12/1000000/(G241/12)*100</f>
        <v>100.90135286676558</v>
      </c>
      <c r="Y241" s="21">
        <f>ROUND(50*MIN(1,3/K241)+50*MIN(1,30/P241),1)</f>
        <v>30.5</v>
      </c>
      <c r="Z241" s="3">
        <f t="shared" si="11"/>
        <v>128</v>
      </c>
      <c r="AA241" s="19">
        <v>0</v>
      </c>
      <c r="AB241" s="19">
        <v>0</v>
      </c>
      <c r="AC241" s="3" t="s">
        <v>103</v>
      </c>
      <c r="AD241" s="3" t="s">
        <v>104</v>
      </c>
      <c r="AE241" s="23" t="s">
        <v>105</v>
      </c>
      <c r="AF241" s="23" t="s">
        <v>106</v>
      </c>
    </row>
    <row r="242" spans="1:32" ht="16.5" x14ac:dyDescent="0.3">
      <c r="A242" s="3">
        <v>241</v>
      </c>
      <c r="B242" s="3">
        <v>15</v>
      </c>
      <c r="C242" s="3" t="s">
        <v>394</v>
      </c>
      <c r="D242" s="19">
        <v>28885</v>
      </c>
      <c r="E242" s="19">
        <f>ROUND(D242/INDEX(مناطق!$D$2:$D$23,B242),0)</f>
        <v>9160</v>
      </c>
      <c r="F242" s="20">
        <v>0.49209999999999998</v>
      </c>
      <c r="G242" s="19">
        <f>پارامترها!$B$5*F242/1000000</f>
        <v>478.98553500000008</v>
      </c>
      <c r="H242" s="21">
        <v>120</v>
      </c>
      <c r="I242" s="19">
        <f>H242*پارامترها!$B$6</f>
        <v>9000</v>
      </c>
      <c r="J242" s="22"/>
      <c r="K242" s="21">
        <f t="shared" si="9"/>
        <v>18.789711468009152</v>
      </c>
      <c r="L242" s="21">
        <f>I242/(پارامترها!$B$5/1000000)</f>
        <v>9.2464170134073029</v>
      </c>
      <c r="M242" s="21">
        <f>K242/پارامترها!$B$7</f>
        <v>62.632371560030506</v>
      </c>
      <c r="N242" s="21">
        <v>11.81</v>
      </c>
      <c r="O242" s="21">
        <f>N242*پارامترها!$B$6*پارامترها!$B$16</f>
        <v>26.572499999999998</v>
      </c>
      <c r="P242" s="21">
        <f>O242*12/G242*100</f>
        <v>66.571947731156428</v>
      </c>
      <c r="Q242" s="21">
        <f>O242*12/(پارامترها!$B$5/1000000)*100</f>
        <v>32.760055478502075</v>
      </c>
      <c r="R242" s="3" t="str">
        <f t="shared" si="10"/>
        <v>فشار شدید</v>
      </c>
      <c r="S242" s="21">
        <f>(1-NORMSDIST((LN(O242*12*1000000/پارامترها!$B$8)-پارامترها!$B$15)/پارامترها!$B$14))*100</f>
        <v>27.064637705396244</v>
      </c>
      <c r="T242" s="21">
        <f>(1-NORMSDIST((LN(I242*1000000/5)-پارامترها!$B$15)/پارامترها!$B$14))*100</f>
        <v>13.34445321736214</v>
      </c>
      <c r="U242" s="21">
        <f>MIN(100,پارامترها!$B$9/1000000/I242*100)</f>
        <v>22.222222222222221</v>
      </c>
      <c r="V242" s="19">
        <f>MAX(0,I242-پارامترها!$B$9/1000000)</f>
        <v>7000</v>
      </c>
      <c r="W242" s="21">
        <f>V242/(G242*پارامترها!$B$7)</f>
        <v>48.714066768912609</v>
      </c>
      <c r="X242" s="21">
        <f>پارامترها!$B$12/1000000/(G242/12)*100</f>
        <v>100.90135286676558</v>
      </c>
      <c r="Y242" s="21">
        <f>ROUND(50*MIN(1,3/K242)+50*MIN(1,30/P242),1)</f>
        <v>30.5</v>
      </c>
      <c r="Z242" s="3">
        <f t="shared" si="11"/>
        <v>128</v>
      </c>
      <c r="AA242" s="19">
        <v>0</v>
      </c>
      <c r="AB242" s="19">
        <v>0</v>
      </c>
      <c r="AC242" s="3" t="s">
        <v>103</v>
      </c>
      <c r="AD242" s="3" t="s">
        <v>104</v>
      </c>
      <c r="AE242" s="23" t="s">
        <v>105</v>
      </c>
      <c r="AF242" s="23" t="s">
        <v>106</v>
      </c>
    </row>
    <row r="243" spans="1:32" ht="16.5" x14ac:dyDescent="0.3">
      <c r="A243" s="3">
        <v>242</v>
      </c>
      <c r="B243" s="3">
        <v>15</v>
      </c>
      <c r="C243" s="3" t="s">
        <v>395</v>
      </c>
      <c r="D243" s="19">
        <v>17450</v>
      </c>
      <c r="E243" s="19">
        <f>ROUND(D243/INDEX(مناطق!$D$2:$D$23,B243),0)</f>
        <v>5534</v>
      </c>
      <c r="F243" s="20">
        <v>0.49209999999999998</v>
      </c>
      <c r="G243" s="19">
        <f>پارامترها!$B$5*F243/1000000</f>
        <v>478.98553500000008</v>
      </c>
      <c r="H243" s="21">
        <v>120</v>
      </c>
      <c r="I243" s="19">
        <f>H243*پارامترها!$B$6</f>
        <v>9000</v>
      </c>
      <c r="J243" s="22"/>
      <c r="K243" s="21">
        <f t="shared" si="9"/>
        <v>18.789711468009152</v>
      </c>
      <c r="L243" s="21">
        <f>I243/(پارامترها!$B$5/1000000)</f>
        <v>9.2464170134073029</v>
      </c>
      <c r="M243" s="21">
        <f>K243/پارامترها!$B$7</f>
        <v>62.632371560030506</v>
      </c>
      <c r="N243" s="21">
        <v>11.81</v>
      </c>
      <c r="O243" s="21">
        <f>N243*پارامترها!$B$6*پارامترها!$B$16</f>
        <v>26.572499999999998</v>
      </c>
      <c r="P243" s="21">
        <f>O243*12/G243*100</f>
        <v>66.571947731156428</v>
      </c>
      <c r="Q243" s="21">
        <f>O243*12/(پارامترها!$B$5/1000000)*100</f>
        <v>32.760055478502075</v>
      </c>
      <c r="R243" s="3" t="str">
        <f t="shared" si="10"/>
        <v>فشار شدید</v>
      </c>
      <c r="S243" s="21">
        <f>(1-NORMSDIST((LN(O243*12*1000000/پارامترها!$B$8)-پارامترها!$B$15)/پارامترها!$B$14))*100</f>
        <v>27.064637705396244</v>
      </c>
      <c r="T243" s="21">
        <f>(1-NORMSDIST((LN(I243*1000000/5)-پارامترها!$B$15)/پارامترها!$B$14))*100</f>
        <v>13.34445321736214</v>
      </c>
      <c r="U243" s="21">
        <f>MIN(100,پارامترها!$B$9/1000000/I243*100)</f>
        <v>22.222222222222221</v>
      </c>
      <c r="V243" s="19">
        <f>MAX(0,I243-پارامترها!$B$9/1000000)</f>
        <v>7000</v>
      </c>
      <c r="W243" s="21">
        <f>V243/(G243*پارامترها!$B$7)</f>
        <v>48.714066768912609</v>
      </c>
      <c r="X243" s="21">
        <f>پارامترها!$B$12/1000000/(G243/12)*100</f>
        <v>100.90135286676558</v>
      </c>
      <c r="Y243" s="21">
        <f>ROUND(50*MIN(1,3/K243)+50*MIN(1,30/P243),1)</f>
        <v>30.5</v>
      </c>
      <c r="Z243" s="3">
        <f t="shared" si="11"/>
        <v>128</v>
      </c>
      <c r="AA243" s="19">
        <v>0</v>
      </c>
      <c r="AB243" s="19">
        <v>0</v>
      </c>
      <c r="AC243" s="3" t="s">
        <v>103</v>
      </c>
      <c r="AD243" s="3" t="s">
        <v>104</v>
      </c>
      <c r="AE243" s="23" t="s">
        <v>105</v>
      </c>
      <c r="AF243" s="23" t="s">
        <v>106</v>
      </c>
    </row>
    <row r="244" spans="1:32" ht="16.5" x14ac:dyDescent="0.3">
      <c r="A244" s="3">
        <v>243</v>
      </c>
      <c r="B244" s="3">
        <v>15</v>
      </c>
      <c r="C244" s="3" t="s">
        <v>396</v>
      </c>
      <c r="D244" s="19">
        <v>14556</v>
      </c>
      <c r="E244" s="19">
        <f>ROUND(D244/INDEX(مناطق!$D$2:$D$23,B244),0)</f>
        <v>4616</v>
      </c>
      <c r="F244" s="20">
        <v>0.49209999999999998</v>
      </c>
      <c r="G244" s="19">
        <f>پارامترها!$B$5*F244/1000000</f>
        <v>478.98553500000008</v>
      </c>
      <c r="H244" s="21">
        <v>120</v>
      </c>
      <c r="I244" s="19">
        <f>H244*پارامترها!$B$6</f>
        <v>9000</v>
      </c>
      <c r="J244" s="22"/>
      <c r="K244" s="21">
        <f t="shared" si="9"/>
        <v>18.789711468009152</v>
      </c>
      <c r="L244" s="21">
        <f>I244/(پارامترها!$B$5/1000000)</f>
        <v>9.2464170134073029</v>
      </c>
      <c r="M244" s="21">
        <f>K244/پارامترها!$B$7</f>
        <v>62.632371560030506</v>
      </c>
      <c r="N244" s="21">
        <v>11.81</v>
      </c>
      <c r="O244" s="21">
        <f>N244*پارامترها!$B$6*پارامترها!$B$16</f>
        <v>26.572499999999998</v>
      </c>
      <c r="P244" s="21">
        <f>O244*12/G244*100</f>
        <v>66.571947731156428</v>
      </c>
      <c r="Q244" s="21">
        <f>O244*12/(پارامترها!$B$5/1000000)*100</f>
        <v>32.760055478502075</v>
      </c>
      <c r="R244" s="3" t="str">
        <f t="shared" si="10"/>
        <v>فشار شدید</v>
      </c>
      <c r="S244" s="21">
        <f>(1-NORMSDIST((LN(O244*12*1000000/پارامترها!$B$8)-پارامترها!$B$15)/پارامترها!$B$14))*100</f>
        <v>27.064637705396244</v>
      </c>
      <c r="T244" s="21">
        <f>(1-NORMSDIST((LN(I244*1000000/5)-پارامترها!$B$15)/پارامترها!$B$14))*100</f>
        <v>13.34445321736214</v>
      </c>
      <c r="U244" s="21">
        <f>MIN(100,پارامترها!$B$9/1000000/I244*100)</f>
        <v>22.222222222222221</v>
      </c>
      <c r="V244" s="19">
        <f>MAX(0,I244-پارامترها!$B$9/1000000)</f>
        <v>7000</v>
      </c>
      <c r="W244" s="21">
        <f>V244/(G244*پارامترها!$B$7)</f>
        <v>48.714066768912609</v>
      </c>
      <c r="X244" s="21">
        <f>پارامترها!$B$12/1000000/(G244/12)*100</f>
        <v>100.90135286676558</v>
      </c>
      <c r="Y244" s="21">
        <f>ROUND(50*MIN(1,3/K244)+50*MIN(1,30/P244),1)</f>
        <v>30.5</v>
      </c>
      <c r="Z244" s="3">
        <f t="shared" si="11"/>
        <v>128</v>
      </c>
      <c r="AA244" s="19">
        <v>0</v>
      </c>
      <c r="AB244" s="19">
        <v>0</v>
      </c>
      <c r="AC244" s="3" t="s">
        <v>103</v>
      </c>
      <c r="AD244" s="3" t="s">
        <v>104</v>
      </c>
      <c r="AE244" s="23" t="s">
        <v>105</v>
      </c>
      <c r="AF244" s="23" t="s">
        <v>106</v>
      </c>
    </row>
    <row r="245" spans="1:32" x14ac:dyDescent="0.2">
      <c r="A245" s="3">
        <v>244</v>
      </c>
      <c r="B245" s="3">
        <v>15</v>
      </c>
      <c r="C245" s="3" t="s">
        <v>397</v>
      </c>
      <c r="D245" s="19">
        <v>27859</v>
      </c>
      <c r="E245" s="19">
        <f>ROUND(D245/INDEX(مناطق!$D$2:$D$23,B245),0)</f>
        <v>8835</v>
      </c>
      <c r="F245" s="20">
        <v>0.46660000000000001</v>
      </c>
      <c r="G245" s="19">
        <f>پارامترها!$B$5*F245/1000000</f>
        <v>454.16511000000008</v>
      </c>
      <c r="H245" s="21">
        <v>114</v>
      </c>
      <c r="I245" s="19">
        <f>H245*پارامترها!$B$6</f>
        <v>8550</v>
      </c>
      <c r="J245" s="22">
        <v>59</v>
      </c>
      <c r="K245" s="21">
        <f t="shared" si="9"/>
        <v>18.82575259909331</v>
      </c>
      <c r="L245" s="21">
        <f>I245/(پارامترها!$B$5/1000000)</f>
        <v>8.7840961627369385</v>
      </c>
      <c r="M245" s="21">
        <f>K245/پارامترها!$B$7</f>
        <v>62.75250866364437</v>
      </c>
      <c r="N245" s="21">
        <v>12.51</v>
      </c>
      <c r="O245" s="21">
        <f>N245*پارامترها!$B$6*پارامترها!$B$16</f>
        <v>28.147499999999997</v>
      </c>
      <c r="P245" s="21">
        <f>O245*12/G245*100</f>
        <v>74.371631057260188</v>
      </c>
      <c r="Q245" s="21">
        <f>O245*12/(پارامترها!$B$5/1000000)*100</f>
        <v>34.701803051317611</v>
      </c>
      <c r="R245" s="3" t="str">
        <f t="shared" si="10"/>
        <v>فشار شدید</v>
      </c>
      <c r="S245" s="21">
        <f>(1-NORMSDIST((LN(O245*12*1000000/پارامترها!$B$8)-پارامترها!$B$15)/پارامترها!$B$14))*100</f>
        <v>25.288229763852634</v>
      </c>
      <c r="T245" s="21">
        <f>(1-NORMSDIST((LN(I245*1000000/5)-پارامترها!$B$15)/پارامترها!$B$14))*100</f>
        <v>14.42021016855055</v>
      </c>
      <c r="U245" s="21">
        <f>MIN(100,پارامترها!$B$9/1000000/I245*100)</f>
        <v>23.391812865497073</v>
      </c>
      <c r="V245" s="19">
        <f>MAX(0,I245-پارامترها!$B$9/1000000)</f>
        <v>6550</v>
      </c>
      <c r="W245" s="21">
        <f>V245/(G245*پارامترها!$B$7)</f>
        <v>48.073559268639841</v>
      </c>
      <c r="X245" s="21">
        <f>پارامترها!$B$12/1000000/(G245/12)*100</f>
        <v>106.41567883783827</v>
      </c>
      <c r="Y245" s="21">
        <f>ROUND(50*MIN(1,3/K245)+50*MIN(1,30/P245),1)</f>
        <v>28.1</v>
      </c>
      <c r="Z245" s="3">
        <f t="shared" si="11"/>
        <v>254</v>
      </c>
      <c r="AA245" s="19">
        <v>77</v>
      </c>
      <c r="AB245" s="19">
        <v>22</v>
      </c>
      <c r="AC245" s="3" t="s">
        <v>83</v>
      </c>
      <c r="AD245" s="3" t="s">
        <v>84</v>
      </c>
      <c r="AE245" s="3" t="s">
        <v>397</v>
      </c>
      <c r="AF245" s="23" t="s">
        <v>85</v>
      </c>
    </row>
    <row r="246" spans="1:32" ht="16.5" x14ac:dyDescent="0.3">
      <c r="A246" s="3">
        <v>245</v>
      </c>
      <c r="B246" s="3">
        <v>15</v>
      </c>
      <c r="C246" s="3" t="s">
        <v>398</v>
      </c>
      <c r="D246" s="19">
        <v>18254</v>
      </c>
      <c r="E246" s="19">
        <f>ROUND(D246/INDEX(مناطق!$D$2:$D$23,B246),0)</f>
        <v>5789</v>
      </c>
      <c r="F246" s="20">
        <v>0.45700000000000002</v>
      </c>
      <c r="G246" s="19">
        <f>پارامترها!$B$5*F246/1000000</f>
        <v>444.82095000000004</v>
      </c>
      <c r="H246" s="21">
        <v>111.7</v>
      </c>
      <c r="I246" s="19">
        <f>H246*پارامترها!$B$6</f>
        <v>8377.5</v>
      </c>
      <c r="J246" s="22">
        <v>80</v>
      </c>
      <c r="K246" s="21">
        <f t="shared" si="9"/>
        <v>18.833420503238436</v>
      </c>
      <c r="L246" s="21">
        <f>I246/(پارامترها!$B$5/1000000)</f>
        <v>8.6068731699799645</v>
      </c>
      <c r="M246" s="21">
        <f>K246/پارامترها!$B$7</f>
        <v>62.778068344128123</v>
      </c>
      <c r="N246" s="21">
        <v>12.94</v>
      </c>
      <c r="O246" s="21">
        <f>N246*پارامترها!$B$6*پارامترها!$B$16</f>
        <v>29.114999999999998</v>
      </c>
      <c r="P246" s="21">
        <f>O246*12/G246*100</f>
        <v>78.543962463998156</v>
      </c>
      <c r="Q246" s="21">
        <f>O246*12/(پارامترها!$B$5/1000000)*100</f>
        <v>35.894590846047151</v>
      </c>
      <c r="R246" s="3" t="str">
        <f t="shared" si="10"/>
        <v>فشار شدید</v>
      </c>
      <c r="S246" s="21">
        <f>(1-NORMSDIST((LN(O246*12*1000000/پارامترها!$B$8)-پارامترها!$B$15)/پارامترها!$B$14))*100</f>
        <v>24.274969715558413</v>
      </c>
      <c r="T246" s="21">
        <f>(1-NORMSDIST((LN(I246*1000000/5)-پارامترها!$B$15)/پارامترها!$B$14))*100</f>
        <v>14.863471803827878</v>
      </c>
      <c r="U246" s="21">
        <f>MIN(100,پارامترها!$B$9/1000000/I246*100)</f>
        <v>23.873470605789315</v>
      </c>
      <c r="V246" s="19">
        <f>MAX(0,I246-پارامترها!$B$9/1000000)</f>
        <v>6377.5</v>
      </c>
      <c r="W246" s="21">
        <f>V246/(G246*پارامترها!$B$7)</f>
        <v>47.790764651110365</v>
      </c>
      <c r="X246" s="21">
        <f>پارامترها!$B$12/1000000/(G246/12)*100</f>
        <v>108.65110666462876</v>
      </c>
      <c r="Y246" s="21">
        <f>ROUND(50*MIN(1,3/K246)+50*MIN(1,30/P246),1)</f>
        <v>27.1</v>
      </c>
      <c r="Z246" s="3">
        <f t="shared" si="11"/>
        <v>286</v>
      </c>
      <c r="AA246" s="19">
        <v>83</v>
      </c>
      <c r="AB246" s="19">
        <v>18</v>
      </c>
      <c r="AC246" s="3" t="s">
        <v>83</v>
      </c>
      <c r="AD246" s="3" t="s">
        <v>93</v>
      </c>
      <c r="AE246" s="3" t="s">
        <v>399</v>
      </c>
      <c r="AF246" s="23" t="s">
        <v>90</v>
      </c>
    </row>
    <row r="247" spans="1:32" x14ac:dyDescent="0.2">
      <c r="A247" s="3">
        <v>246</v>
      </c>
      <c r="B247" s="3">
        <v>15</v>
      </c>
      <c r="C247" s="3" t="s">
        <v>400</v>
      </c>
      <c r="D247" s="19">
        <v>24396</v>
      </c>
      <c r="E247" s="19">
        <f>ROUND(D247/INDEX(مناطق!$D$2:$D$23,B247),0)</f>
        <v>7737</v>
      </c>
      <c r="F247" s="20">
        <v>0.45190000000000002</v>
      </c>
      <c r="G247" s="19">
        <f>پارامترها!$B$5*F247/1000000</f>
        <v>439.85686500000008</v>
      </c>
      <c r="H247" s="21">
        <v>110.5</v>
      </c>
      <c r="I247" s="19">
        <f>H247*پارامترها!$B$6</f>
        <v>8287.5</v>
      </c>
      <c r="J247" s="22">
        <v>58</v>
      </c>
      <c r="K247" s="21">
        <f t="shared" si="9"/>
        <v>18.841356494458712</v>
      </c>
      <c r="L247" s="21">
        <f>I247/(پارامترها!$B$5/1000000)</f>
        <v>8.5144089998458927</v>
      </c>
      <c r="M247" s="21">
        <f>K247/پارامترها!$B$7</f>
        <v>62.80452164819571</v>
      </c>
      <c r="N247" s="21">
        <v>11.57</v>
      </c>
      <c r="O247" s="21">
        <f>N247*پارامترها!$B$6*پارامترها!$B$16</f>
        <v>26.032499999999999</v>
      </c>
      <c r="P247" s="21">
        <f>O247*12/G247*100</f>
        <v>71.020830833230235</v>
      </c>
      <c r="Q247" s="21">
        <f>O247*12/(پارامترها!$B$5/1000000)*100</f>
        <v>32.094313453536749</v>
      </c>
      <c r="R247" s="3" t="str">
        <f t="shared" si="10"/>
        <v>فشار شدید</v>
      </c>
      <c r="S247" s="21">
        <f>(1-NORMSDIST((LN(O247*12*1000000/پارامترها!$B$8)-پارامترها!$B$15)/پارامترها!$B$14))*100</f>
        <v>27.712767052851174</v>
      </c>
      <c r="T247" s="21">
        <f>(1-NORMSDIST((LN(I247*1000000/5)-پارامترها!$B$15)/پارامترها!$B$14))*100</f>
        <v>15.102030385124776</v>
      </c>
      <c r="U247" s="21">
        <f>MIN(100,پارامترها!$B$9/1000000/I247*100)</f>
        <v>24.132730015082956</v>
      </c>
      <c r="V247" s="19">
        <f>MAX(0,I247-پارامترها!$B$9/1000000)</f>
        <v>6287.5</v>
      </c>
      <c r="W247" s="21">
        <f>V247/(G247*پارامترها!$B$7)</f>
        <v>47.648076001572306</v>
      </c>
      <c r="X247" s="21">
        <f>پارامترها!$B$12/1000000/(G247/12)*100</f>
        <v>109.87730857653317</v>
      </c>
      <c r="Y247" s="21">
        <f>ROUND(50*MIN(1,3/K247)+50*MIN(1,30/P247),1)</f>
        <v>29.1</v>
      </c>
      <c r="Z247" s="3">
        <f t="shared" si="11"/>
        <v>221</v>
      </c>
      <c r="AA247" s="19">
        <v>82</v>
      </c>
      <c r="AB247" s="19">
        <v>19</v>
      </c>
      <c r="AC247" s="3" t="s">
        <v>83</v>
      </c>
      <c r="AD247" s="3" t="s">
        <v>84</v>
      </c>
      <c r="AE247" s="3" t="s">
        <v>401</v>
      </c>
      <c r="AF247" s="23" t="s">
        <v>90</v>
      </c>
    </row>
    <row r="248" spans="1:32" x14ac:dyDescent="0.2">
      <c r="A248" s="3">
        <v>247</v>
      </c>
      <c r="B248" s="3">
        <v>15</v>
      </c>
      <c r="C248" s="3" t="s">
        <v>402</v>
      </c>
      <c r="D248" s="19">
        <v>25267</v>
      </c>
      <c r="E248" s="19">
        <f>ROUND(D248/INDEX(مناطق!$D$2:$D$23,B248),0)</f>
        <v>8013</v>
      </c>
      <c r="F248" s="20">
        <v>0.43859999999999999</v>
      </c>
      <c r="G248" s="19">
        <f>پارامترها!$B$5*F248/1000000</f>
        <v>426.91131000000007</v>
      </c>
      <c r="H248" s="21">
        <v>107.3</v>
      </c>
      <c r="I248" s="19">
        <f>H248*پارامترها!$B$6</f>
        <v>8047.5</v>
      </c>
      <c r="J248" s="22">
        <v>69</v>
      </c>
      <c r="K248" s="21">
        <f t="shared" si="9"/>
        <v>18.850519561076979</v>
      </c>
      <c r="L248" s="21">
        <f>I248/(پارامترها!$B$5/1000000)</f>
        <v>8.2678378794883631</v>
      </c>
      <c r="M248" s="21">
        <f>K248/پارامترها!$B$7</f>
        <v>62.835065203589934</v>
      </c>
      <c r="N248" s="21">
        <v>12.66</v>
      </c>
      <c r="O248" s="21">
        <f>N248*پارامترها!$B$6*پارامترها!$B$16</f>
        <v>28.484999999999999</v>
      </c>
      <c r="P248" s="21">
        <f>O248*12/G248*100</f>
        <v>80.068152797357357</v>
      </c>
      <c r="Q248" s="21">
        <f>O248*12/(پارامترها!$B$5/1000000)*100</f>
        <v>35.117891816920938</v>
      </c>
      <c r="R248" s="3" t="str">
        <f t="shared" si="10"/>
        <v>فشار شدید</v>
      </c>
      <c r="S248" s="21">
        <f>(1-NORMSDIST((LN(O248*12*1000000/پارامترها!$B$8)-پارامترها!$B$15)/پارامترها!$B$14))*100</f>
        <v>24.928342664052984</v>
      </c>
      <c r="T248" s="21">
        <f>(1-NORMSDIST((LN(I248*1000000/5)-پارامترها!$B$15)/پارامترها!$B$14))*100</f>
        <v>15.763910288119732</v>
      </c>
      <c r="U248" s="21">
        <f>MIN(100,پارامترها!$B$9/1000000/I248*100)</f>
        <v>24.852438645542094</v>
      </c>
      <c r="V248" s="19">
        <f>MAX(0,I248-پارامترها!$B$9/1000000)</f>
        <v>6047.5</v>
      </c>
      <c r="W248" s="21">
        <f>V248/(G248*پارامترها!$B$7)</f>
        <v>47.21901917598138</v>
      </c>
      <c r="X248" s="21">
        <f>پارامترها!$B$12/1000000/(G248/12)*100</f>
        <v>113.20920142666517</v>
      </c>
      <c r="Y248" s="21">
        <f>ROUND(50*MIN(1,3/K248)+50*MIN(1,30/P248),1)</f>
        <v>26.7</v>
      </c>
      <c r="Z248" s="3">
        <f t="shared" si="11"/>
        <v>295</v>
      </c>
      <c r="AA248" s="19">
        <v>87</v>
      </c>
      <c r="AB248" s="19">
        <v>33</v>
      </c>
      <c r="AC248" s="3" t="s">
        <v>83</v>
      </c>
      <c r="AD248" s="3" t="s">
        <v>84</v>
      </c>
      <c r="AE248" s="3" t="s">
        <v>402</v>
      </c>
      <c r="AF248" s="23" t="s">
        <v>85</v>
      </c>
    </row>
    <row r="249" spans="1:32" x14ac:dyDescent="0.2">
      <c r="A249" s="3">
        <v>248</v>
      </c>
      <c r="B249" s="3">
        <v>15</v>
      </c>
      <c r="C249" s="3" t="s">
        <v>403</v>
      </c>
      <c r="D249" s="19">
        <v>40493</v>
      </c>
      <c r="E249" s="19">
        <f>ROUND(D249/INDEX(مناطق!$D$2:$D$23,B249),0)</f>
        <v>12842</v>
      </c>
      <c r="F249" s="20">
        <v>0.43680000000000002</v>
      </c>
      <c r="G249" s="19">
        <f>پارامترها!$B$5*F249/1000000</f>
        <v>425.15928000000008</v>
      </c>
      <c r="H249" s="21">
        <v>106.9</v>
      </c>
      <c r="I249" s="19">
        <f>H249*پارامترها!$B$6</f>
        <v>8017.5</v>
      </c>
      <c r="J249" s="22">
        <v>58.5</v>
      </c>
      <c r="K249" s="21">
        <f t="shared" si="9"/>
        <v>18.857638483158592</v>
      </c>
      <c r="L249" s="21">
        <f>I249/(پارامترها!$B$5/1000000)</f>
        <v>8.2370164894436719</v>
      </c>
      <c r="M249" s="21">
        <f>K249/پارامترها!$B$7</f>
        <v>62.858794943861973</v>
      </c>
      <c r="N249" s="21">
        <v>11.64</v>
      </c>
      <c r="O249" s="21">
        <f>N249*پارامترها!$B$6*پارامترها!$B$16</f>
        <v>26.189999999999998</v>
      </c>
      <c r="P249" s="21">
        <f>O249*12/G249*100</f>
        <v>73.920531618173754</v>
      </c>
      <c r="Q249" s="21">
        <f>O249*12/(پارامترها!$B$5/1000000)*100</f>
        <v>32.288488210818301</v>
      </c>
      <c r="R249" s="3" t="str">
        <f t="shared" si="10"/>
        <v>فشار شدید</v>
      </c>
      <c r="S249" s="21">
        <f>(1-NORMSDIST((LN(O249*12*1000000/پارامترها!$B$8)-پارامترها!$B$15)/پارامترها!$B$14))*100</f>
        <v>27.521565298991856</v>
      </c>
      <c r="T249" s="21">
        <f>(1-NORMSDIST((LN(I249*1000000/5)-پارامترها!$B$15)/پارامترها!$B$14))*100</f>
        <v>15.849374606441813</v>
      </c>
      <c r="U249" s="21">
        <f>MIN(100,پارامترها!$B$9/1000000/I249*100)</f>
        <v>24.94543186778921</v>
      </c>
      <c r="V249" s="19">
        <f>MAX(0,I249-پارامترها!$B$9/1000000)</f>
        <v>6017.5</v>
      </c>
      <c r="W249" s="21">
        <f>V249/(G249*پارامترها!$B$7)</f>
        <v>47.178397078227555</v>
      </c>
      <c r="X249" s="21">
        <f>پارامترها!$B$12/1000000/(G249/12)*100</f>
        <v>113.67572286111569</v>
      </c>
      <c r="Y249" s="21">
        <f>ROUND(50*MIN(1,3/K249)+50*MIN(1,30/P249),1)</f>
        <v>28.2</v>
      </c>
      <c r="Z249" s="3">
        <f t="shared" si="11"/>
        <v>248</v>
      </c>
      <c r="AA249" s="19">
        <v>88</v>
      </c>
      <c r="AB249" s="19">
        <v>36</v>
      </c>
      <c r="AC249" s="3" t="s">
        <v>83</v>
      </c>
      <c r="AD249" s="3" t="s">
        <v>84</v>
      </c>
      <c r="AE249" s="3" t="s">
        <v>404</v>
      </c>
      <c r="AF249" s="23" t="s">
        <v>85</v>
      </c>
    </row>
    <row r="250" spans="1:32" x14ac:dyDescent="0.2">
      <c r="A250" s="3">
        <v>249</v>
      </c>
      <c r="B250" s="3">
        <v>15</v>
      </c>
      <c r="C250" s="3" t="s">
        <v>405</v>
      </c>
      <c r="D250" s="19">
        <v>20492</v>
      </c>
      <c r="E250" s="19">
        <f>ROUND(D250/INDEX(مناطق!$D$2:$D$23,B250),0)</f>
        <v>6499</v>
      </c>
      <c r="F250" s="20">
        <v>0.434</v>
      </c>
      <c r="G250" s="19">
        <f>پارامترها!$B$5*F250/1000000</f>
        <v>422.43390000000005</v>
      </c>
      <c r="H250" s="21">
        <v>106.3</v>
      </c>
      <c r="I250" s="19">
        <f>H250*پارامترها!$B$6</f>
        <v>7972.5</v>
      </c>
      <c r="J250" s="22">
        <v>68</v>
      </c>
      <c r="K250" s="21">
        <f t="shared" si="9"/>
        <v>18.872775125291788</v>
      </c>
      <c r="L250" s="21">
        <f>I250/(پارامترها!$B$5/1000000)</f>
        <v>8.190784404376636</v>
      </c>
      <c r="M250" s="21">
        <f>K250/پارامترها!$B$7</f>
        <v>62.909250417639299</v>
      </c>
      <c r="N250" s="21">
        <v>12.3</v>
      </c>
      <c r="O250" s="21">
        <f>N250*پارامترها!$B$6*پارامترها!$B$16</f>
        <v>27.675000000000001</v>
      </c>
      <c r="P250" s="21">
        <f>O250*12/G250*100</f>
        <v>78.615849722287905</v>
      </c>
      <c r="Q250" s="21">
        <f>O250*12/(پارامترها!$B$5/1000000)*100</f>
        <v>34.11927877947295</v>
      </c>
      <c r="R250" s="3" t="str">
        <f t="shared" si="10"/>
        <v>فشار شدید</v>
      </c>
      <c r="S250" s="21">
        <f>(1-NORMSDIST((LN(O250*12*1000000/پارامترها!$B$8)-پارامترها!$B$15)/پارامترها!$B$14))*100</f>
        <v>25.804051201229228</v>
      </c>
      <c r="T250" s="21">
        <f>(1-NORMSDIST((LN(I250*1000000/5)-پارامترها!$B$15)/پارامترها!$B$14))*100</f>
        <v>15.978745605405653</v>
      </c>
      <c r="U250" s="21">
        <f>MIN(100,پارامترها!$B$9/1000000/I250*100)</f>
        <v>25.086233929131392</v>
      </c>
      <c r="V250" s="19">
        <f>MAX(0,I250-پارامترها!$B$9/1000000)</f>
        <v>5972.5</v>
      </c>
      <c r="W250" s="21">
        <f>V250/(G250*پارامترها!$B$7)</f>
        <v>47.12768869480724</v>
      </c>
      <c r="X250" s="21">
        <f>پارامترها!$B$12/1000000/(G250/12)*100</f>
        <v>114.40911462151</v>
      </c>
      <c r="Y250" s="21">
        <f>ROUND(50*MIN(1,3/K250)+50*MIN(1,30/P250),1)</f>
        <v>27</v>
      </c>
      <c r="Z250" s="3">
        <f t="shared" si="11"/>
        <v>290</v>
      </c>
      <c r="AA250" s="19">
        <v>81</v>
      </c>
      <c r="AB250" s="19">
        <v>23</v>
      </c>
      <c r="AC250" s="3" t="s">
        <v>83</v>
      </c>
      <c r="AD250" s="3" t="s">
        <v>84</v>
      </c>
      <c r="AE250" s="3" t="s">
        <v>405</v>
      </c>
      <c r="AF250" s="23" t="s">
        <v>85</v>
      </c>
    </row>
    <row r="251" spans="1:32" ht="16.5" x14ac:dyDescent="0.3">
      <c r="A251" s="3">
        <v>250</v>
      </c>
      <c r="B251" s="3">
        <v>15</v>
      </c>
      <c r="C251" s="3" t="s">
        <v>406</v>
      </c>
      <c r="D251" s="19">
        <v>13967</v>
      </c>
      <c r="E251" s="19">
        <f>ROUND(D251/INDEX(مناطق!$D$2:$D$23,B251),0)</f>
        <v>4429</v>
      </c>
      <c r="F251" s="20">
        <v>0.3866</v>
      </c>
      <c r="G251" s="19">
        <f>پارامترها!$B$5*F251/1000000</f>
        <v>376.29711000000003</v>
      </c>
      <c r="H251" s="21">
        <v>95</v>
      </c>
      <c r="I251" s="19">
        <f>H251*پارامترها!$B$6</f>
        <v>7125</v>
      </c>
      <c r="J251" s="22">
        <v>65.5</v>
      </c>
      <c r="K251" s="21">
        <f t="shared" si="9"/>
        <v>18.934506300088245</v>
      </c>
      <c r="L251" s="21">
        <f>I251/(پارامترها!$B$5/1000000)</f>
        <v>7.3200801356141154</v>
      </c>
      <c r="M251" s="21">
        <f>K251/پارامترها!$B$7</f>
        <v>63.115021000294149</v>
      </c>
      <c r="N251" s="21">
        <v>11.87</v>
      </c>
      <c r="O251" s="21">
        <f>N251*پارامترها!$B$6*پارامترها!$B$16</f>
        <v>26.707499999999996</v>
      </c>
      <c r="P251" s="21">
        <f>O251*12/G251*100</f>
        <v>85.169402443723243</v>
      </c>
      <c r="Q251" s="21">
        <f>O251*12/(پارامترها!$B$5/1000000)*100</f>
        <v>32.926490984743403</v>
      </c>
      <c r="R251" s="3" t="str">
        <f t="shared" si="10"/>
        <v>فشار شدید</v>
      </c>
      <c r="S251" s="21">
        <f>(1-NORMSDIST((LN(O251*12*1000000/پارامترها!$B$8)-پارامترها!$B$15)/پارامترها!$B$14))*100</f>
        <v>26.905836210348522</v>
      </c>
      <c r="T251" s="21">
        <f>(1-NORMSDIST((LN(I251*1000000/5)-پارامترها!$B$15)/پارامترها!$B$14))*100</f>
        <v>18.705879891415968</v>
      </c>
      <c r="U251" s="21">
        <f>MIN(100,پارامترها!$B$9/1000000/I251*100)</f>
        <v>28.07017543859649</v>
      </c>
      <c r="V251" s="19">
        <f>MAX(0,I251-پارامترها!$B$9/1000000)</f>
        <v>5125</v>
      </c>
      <c r="W251" s="21">
        <f>V251/(G251*پارامترها!$B$7)</f>
        <v>45.398523877404571</v>
      </c>
      <c r="X251" s="21">
        <f>پارامترها!$B$12/1000000/(G251/12)*100</f>
        <v>128.43651253423525</v>
      </c>
      <c r="Y251" s="21">
        <f>ROUND(50*MIN(1,3/K251)+50*MIN(1,30/P251),1)</f>
        <v>25.5</v>
      </c>
      <c r="Z251" s="3">
        <f t="shared" si="11"/>
        <v>324</v>
      </c>
      <c r="AA251" s="19">
        <v>99</v>
      </c>
      <c r="AB251" s="19">
        <v>32</v>
      </c>
      <c r="AC251" s="3" t="s">
        <v>83</v>
      </c>
      <c r="AD251" s="3" t="s">
        <v>84</v>
      </c>
      <c r="AE251" s="3" t="s">
        <v>407</v>
      </c>
      <c r="AF251" s="23" t="s">
        <v>85</v>
      </c>
    </row>
    <row r="252" spans="1:32" ht="16.5" x14ac:dyDescent="0.3">
      <c r="A252" s="3">
        <v>251</v>
      </c>
      <c r="B252" s="3">
        <v>15</v>
      </c>
      <c r="C252" s="3" t="s">
        <v>367</v>
      </c>
      <c r="D252" s="19">
        <v>65826</v>
      </c>
      <c r="E252" s="19">
        <f>ROUND(D252/INDEX(مناطق!$D$2:$D$23,B252),0)</f>
        <v>20876</v>
      </c>
      <c r="F252" s="20">
        <v>0.30759999999999998</v>
      </c>
      <c r="G252" s="19">
        <f>پارامترها!$B$5*F252/1000000</f>
        <v>299.40246000000002</v>
      </c>
      <c r="H252" s="21">
        <v>76.2</v>
      </c>
      <c r="I252" s="19">
        <f>H252*پارامترها!$B$6</f>
        <v>5715</v>
      </c>
      <c r="J252" s="22">
        <v>85</v>
      </c>
      <c r="K252" s="21">
        <f t="shared" si="9"/>
        <v>19.088019517274507</v>
      </c>
      <c r="L252" s="21">
        <f>I252/(پارامترها!$B$5/1000000)</f>
        <v>5.8714748035136379</v>
      </c>
      <c r="M252" s="21">
        <f>K252/پارامترها!$B$7</f>
        <v>63.626731724248359</v>
      </c>
      <c r="N252" s="21">
        <v>8.91</v>
      </c>
      <c r="O252" s="21">
        <f>N252*پارامترها!$B$6*پارامترها!$B$16</f>
        <v>20.047499999999999</v>
      </c>
      <c r="P252" s="21">
        <f>O252*12/G252*100</f>
        <v>80.350041212086225</v>
      </c>
      <c r="Q252" s="21">
        <f>O252*12/(پارامترها!$B$5/1000000)*100</f>
        <v>24.715672676837723</v>
      </c>
      <c r="R252" s="3" t="str">
        <f t="shared" si="10"/>
        <v>فشار شدید</v>
      </c>
      <c r="S252" s="21">
        <f>(1-NORMSDIST((LN(O252*12*1000000/پارامترها!$B$8)-پارامترها!$B$15)/پارامترها!$B$14))*100</f>
        <v>36.552191011112079</v>
      </c>
      <c r="T252" s="21">
        <f>(1-NORMSDIST((LN(I252*1000000/5)-پارامترها!$B$15)/پارامترها!$B$14))*100</f>
        <v>24.833550624385371</v>
      </c>
      <c r="U252" s="21">
        <f>MIN(100,پارامترها!$B$9/1000000/I252*100)</f>
        <v>34.99562554680665</v>
      </c>
      <c r="V252" s="19">
        <f>MAX(0,I252-پارامترها!$B$9/1000000)</f>
        <v>3715</v>
      </c>
      <c r="W252" s="21">
        <f>V252/(G252*پارامترها!$B$7)</f>
        <v>41.360158942359163</v>
      </c>
      <c r="X252" s="21">
        <f>پارامترها!$B$12/1000000/(G252/12)*100</f>
        <v>161.42248291851544</v>
      </c>
      <c r="Y252" s="21">
        <f>ROUND(50*MIN(1,3/K252)+50*MIN(1,30/P252),1)</f>
        <v>26.5</v>
      </c>
      <c r="Z252" s="3">
        <f t="shared" si="11"/>
        <v>300</v>
      </c>
      <c r="AA252" s="19">
        <v>46</v>
      </c>
      <c r="AB252" s="19">
        <v>17</v>
      </c>
      <c r="AC252" s="3" t="s">
        <v>83</v>
      </c>
      <c r="AD252" s="3" t="s">
        <v>93</v>
      </c>
      <c r="AE252" s="3" t="s">
        <v>408</v>
      </c>
      <c r="AF252" s="23" t="s">
        <v>90</v>
      </c>
    </row>
    <row r="253" spans="1:32" x14ac:dyDescent="0.2">
      <c r="A253" s="3">
        <v>252</v>
      </c>
      <c r="B253" s="3">
        <v>16</v>
      </c>
      <c r="C253" s="3" t="s">
        <v>409</v>
      </c>
      <c r="D253" s="19">
        <v>44318</v>
      </c>
      <c r="E253" s="19">
        <f>ROUND(D253/INDEX(مناطق!$D$2:$D$23,B253),0)</f>
        <v>14481</v>
      </c>
      <c r="F253" s="20">
        <v>0.73860000000000003</v>
      </c>
      <c r="G253" s="19">
        <f>پارامترها!$B$5*F253/1000000</f>
        <v>718.91631000000007</v>
      </c>
      <c r="H253" s="21">
        <v>182.8</v>
      </c>
      <c r="I253" s="19">
        <f>H253*پارامترها!$B$6</f>
        <v>13710</v>
      </c>
      <c r="J253" s="22">
        <v>86</v>
      </c>
      <c r="K253" s="21">
        <f t="shared" si="9"/>
        <v>19.07036995724857</v>
      </c>
      <c r="L253" s="21">
        <f>I253/(پارامترها!$B$5/1000000)</f>
        <v>14.085375250423793</v>
      </c>
      <c r="M253" s="21">
        <f>K253/پارامترها!$B$7</f>
        <v>63.567899857495235</v>
      </c>
      <c r="N253" s="21">
        <v>20.81</v>
      </c>
      <c r="O253" s="21">
        <f>N253*پارامترها!$B$6*پارامترها!$B$16</f>
        <v>46.822499999999998</v>
      </c>
      <c r="P253" s="21">
        <f>O253*12/G253*100</f>
        <v>78.155133244925253</v>
      </c>
      <c r="Q253" s="21">
        <f>O253*12/(پارامترها!$B$5/1000000)*100</f>
        <v>57.725381414701793</v>
      </c>
      <c r="R253" s="3" t="str">
        <f t="shared" si="10"/>
        <v>فشار شدید</v>
      </c>
      <c r="S253" s="21">
        <f>(1-NORMSDIST((LN(O253*12*1000000/پارامترها!$B$8)-پارامترها!$B$15)/پارامترها!$B$14))*100</f>
        <v>12.550650283373354</v>
      </c>
      <c r="T253" s="21">
        <f>(1-NORMSDIST((LN(I253*1000000/5)-پارامترها!$B$15)/پارامترها!$B$14))*100</f>
        <v>6.561466729332821</v>
      </c>
      <c r="U253" s="21">
        <f>MIN(100,پارامترها!$B$9/1000000/I253*100)</f>
        <v>14.587892049598834</v>
      </c>
      <c r="V253" s="19">
        <f>MAX(0,I253-پارامترها!$B$9/1000000)</f>
        <v>11710</v>
      </c>
      <c r="W253" s="21">
        <f>V253/(G253*پارامترها!$B$7)</f>
        <v>54.294683248086734</v>
      </c>
      <c r="X253" s="21">
        <f>پارامترها!$B$12/1000000/(G253/12)*100</f>
        <v>67.226585087646001</v>
      </c>
      <c r="Y253" s="21">
        <f>ROUND(50*MIN(1,3/K253)+50*MIN(1,30/P253),1)</f>
        <v>27.1</v>
      </c>
      <c r="Z253" s="3">
        <f t="shared" si="11"/>
        <v>286</v>
      </c>
      <c r="AA253" s="19">
        <v>81</v>
      </c>
      <c r="AB253" s="19">
        <v>75</v>
      </c>
      <c r="AC253" s="3" t="s">
        <v>83</v>
      </c>
      <c r="AD253" s="3" t="s">
        <v>84</v>
      </c>
      <c r="AE253" s="3" t="s">
        <v>410</v>
      </c>
      <c r="AF253" s="23" t="s">
        <v>85</v>
      </c>
    </row>
    <row r="254" spans="1:32" ht="16.5" x14ac:dyDescent="0.3">
      <c r="A254" s="3">
        <v>253</v>
      </c>
      <c r="B254" s="3">
        <v>16</v>
      </c>
      <c r="C254" s="3" t="s">
        <v>411</v>
      </c>
      <c r="D254" s="19">
        <v>50397</v>
      </c>
      <c r="E254" s="19">
        <f>ROUND(D254/INDEX(مناطق!$D$2:$D$23,B254),0)</f>
        <v>16467</v>
      </c>
      <c r="F254" s="20">
        <v>0.64329999999999998</v>
      </c>
      <c r="G254" s="19">
        <f>پارامترها!$B$5*F254/1000000</f>
        <v>626.15605500000015</v>
      </c>
      <c r="H254" s="21">
        <v>160</v>
      </c>
      <c r="I254" s="19">
        <f>H254*پارامترها!$B$6</f>
        <v>12000</v>
      </c>
      <c r="J254" s="22">
        <v>71</v>
      </c>
      <c r="K254" s="21">
        <f t="shared" si="9"/>
        <v>19.164551558956013</v>
      </c>
      <c r="L254" s="21">
        <f>I254/(پارامترها!$B$5/1000000)</f>
        <v>12.328556017876405</v>
      </c>
      <c r="M254" s="21">
        <f>K254/پارامترها!$B$7</f>
        <v>63.881838529853383</v>
      </c>
      <c r="N254" s="21">
        <v>16.170000000000002</v>
      </c>
      <c r="O254" s="21">
        <f>N254*پارامترها!$B$6*پارامترها!$B$16</f>
        <v>36.382500000000007</v>
      </c>
      <c r="P254" s="21">
        <f>O254*12/G254*100</f>
        <v>69.725429709371738</v>
      </c>
      <c r="Q254" s="21">
        <f>O254*12/(پارامترها!$B$5/1000000)*100</f>
        <v>44.854368932038838</v>
      </c>
      <c r="R254" s="3" t="str">
        <f t="shared" si="10"/>
        <v>فشار شدید</v>
      </c>
      <c r="S254" s="21">
        <f>(1-NORMSDIST((LN(O254*12*1000000/پارامترها!$B$8)-پارامترها!$B$15)/پارامترها!$B$14))*100</f>
        <v>18.174548183903738</v>
      </c>
      <c r="T254" s="21">
        <f>(1-NORMSDIST((LN(I254*1000000/5)-پارامترها!$B$15)/پارامترها!$B$14))*100</f>
        <v>8.3335568176098889</v>
      </c>
      <c r="U254" s="21">
        <f>MIN(100,پارامترها!$B$9/1000000/I254*100)</f>
        <v>16.666666666666664</v>
      </c>
      <c r="V254" s="19">
        <f>MAX(0,I254-پارامترها!$B$9/1000000)</f>
        <v>10000</v>
      </c>
      <c r="W254" s="21">
        <f>V254/(G254*پارامترها!$B$7)</f>
        <v>53.234865441544478</v>
      </c>
      <c r="X254" s="21">
        <f>پارامترها!$B$12/1000000/(G254/12)*100</f>
        <v>77.185692127678124</v>
      </c>
      <c r="Y254" s="21">
        <f>ROUND(50*MIN(1,3/K254)+50*MIN(1,30/P254),1)</f>
        <v>29.3</v>
      </c>
      <c r="Z254" s="3">
        <f t="shared" si="11"/>
        <v>200</v>
      </c>
      <c r="AA254" s="19">
        <v>67</v>
      </c>
      <c r="AB254" s="19">
        <v>51</v>
      </c>
      <c r="AC254" s="3" t="s">
        <v>83</v>
      </c>
      <c r="AD254" s="3" t="s">
        <v>93</v>
      </c>
      <c r="AE254" s="3" t="s">
        <v>412</v>
      </c>
      <c r="AF254" s="23" t="s">
        <v>85</v>
      </c>
    </row>
    <row r="255" spans="1:32" x14ac:dyDescent="0.2">
      <c r="A255" s="3">
        <v>254</v>
      </c>
      <c r="B255" s="3">
        <v>16</v>
      </c>
      <c r="C255" s="3" t="s">
        <v>341</v>
      </c>
      <c r="D255" s="19">
        <v>18517</v>
      </c>
      <c r="E255" s="19">
        <f>ROUND(D255/INDEX(مناطق!$D$2:$D$23,B255),0)</f>
        <v>6050</v>
      </c>
      <c r="F255" s="20">
        <v>0.63590000000000002</v>
      </c>
      <c r="G255" s="19">
        <f>پارامترها!$B$5*F255/1000000</f>
        <v>618.9532650000001</v>
      </c>
      <c r="H255" s="21">
        <v>158.19999999999999</v>
      </c>
      <c r="I255" s="19">
        <f>H255*پارامترها!$B$6</f>
        <v>11865</v>
      </c>
      <c r="J255" s="22">
        <v>84.5</v>
      </c>
      <c r="K255" s="21">
        <f t="shared" si="9"/>
        <v>19.169460233802948</v>
      </c>
      <c r="L255" s="21">
        <f>I255/(پارامترها!$B$5/1000000)</f>
        <v>12.189859762675296</v>
      </c>
      <c r="M255" s="21">
        <f>K255/پارامترها!$B$7</f>
        <v>63.898200779343163</v>
      </c>
      <c r="N255" s="21">
        <v>17.68</v>
      </c>
      <c r="O255" s="21">
        <f>N255*پارامترها!$B$6*پارامترها!$B$16</f>
        <v>39.78</v>
      </c>
      <c r="P255" s="21">
        <f>O255*12/G255*100</f>
        <v>77.123755054430475</v>
      </c>
      <c r="Q255" s="21">
        <f>O255*12/(پارامترها!$B$5/1000000)*100</f>
        <v>49.042995839112344</v>
      </c>
      <c r="R255" s="3" t="str">
        <f t="shared" si="10"/>
        <v>فشار شدید</v>
      </c>
      <c r="S255" s="21">
        <f>(1-NORMSDIST((LN(O255*12*1000000/پارامترها!$B$8)-پارامترها!$B$15)/پارامترها!$B$14))*100</f>
        <v>16.026538138605328</v>
      </c>
      <c r="T255" s="21">
        <f>(1-NORMSDIST((LN(I255*1000000/5)-پارامترها!$B$15)/پارامترها!$B$14))*100</f>
        <v>8.4992184207663755</v>
      </c>
      <c r="U255" s="21">
        <f>MIN(100,پارامترها!$B$9/1000000/I255*100)</f>
        <v>16.856300042140752</v>
      </c>
      <c r="V255" s="19">
        <f>MAX(0,I255-پارامترها!$B$9/1000000)</f>
        <v>9865</v>
      </c>
      <c r="W255" s="21">
        <f>V255/(G255*پارامترها!$B$7)</f>
        <v>53.127328334447554</v>
      </c>
      <c r="X255" s="21">
        <f>پارامترها!$B$12/1000000/(G255/12)*100</f>
        <v>78.08390587472141</v>
      </c>
      <c r="Y255" s="21">
        <f>ROUND(50*MIN(1,3/K255)+50*MIN(1,30/P255),1)</f>
        <v>27.3</v>
      </c>
      <c r="Z255" s="3">
        <f t="shared" si="11"/>
        <v>281</v>
      </c>
      <c r="AA255" s="19">
        <v>71</v>
      </c>
      <c r="AB255" s="19">
        <v>17</v>
      </c>
      <c r="AC255" s="3" t="s">
        <v>83</v>
      </c>
      <c r="AD255" s="3" t="s">
        <v>84</v>
      </c>
      <c r="AE255" s="3" t="s">
        <v>341</v>
      </c>
      <c r="AF255" s="23" t="s">
        <v>90</v>
      </c>
    </row>
    <row r="256" spans="1:32" ht="16.5" x14ac:dyDescent="0.3">
      <c r="A256" s="3">
        <v>255</v>
      </c>
      <c r="B256" s="3">
        <v>16</v>
      </c>
      <c r="C256" s="3" t="s">
        <v>413</v>
      </c>
      <c r="D256" s="19">
        <v>10224</v>
      </c>
      <c r="E256" s="19">
        <f>ROUND(D256/INDEX(مناطق!$D$2:$D$23,B256),0)</f>
        <v>3341</v>
      </c>
      <c r="F256" s="20">
        <v>0.55169999999999997</v>
      </c>
      <c r="G256" s="19">
        <f>پارامترها!$B$5*F256/1000000</f>
        <v>536.99719500000003</v>
      </c>
      <c r="H256" s="21">
        <v>137.9</v>
      </c>
      <c r="I256" s="19">
        <f>H256*پارامترها!$B$6</f>
        <v>10342.5</v>
      </c>
      <c r="J256" s="22"/>
      <c r="K256" s="21">
        <f t="shared" si="9"/>
        <v>19.259877139581704</v>
      </c>
      <c r="L256" s="21">
        <f>I256/(پارامترها!$B$5/1000000)</f>
        <v>10.625674217907227</v>
      </c>
      <c r="M256" s="21">
        <f>K256/پارامترها!$B$7</f>
        <v>64.199590465272351</v>
      </c>
      <c r="N256" s="21">
        <v>13.57</v>
      </c>
      <c r="O256" s="21">
        <f>N256*پارامترها!$B$6*پارامترها!$B$16</f>
        <v>30.532499999999999</v>
      </c>
      <c r="P256" s="21">
        <f>O256*12/G256*100</f>
        <v>68.229406673157754</v>
      </c>
      <c r="Q256" s="21">
        <f>O256*12/(پارامترها!$B$5/1000000)*100</f>
        <v>37.642163661581129</v>
      </c>
      <c r="R256" s="3" t="str">
        <f t="shared" si="10"/>
        <v>فشار شدید</v>
      </c>
      <c r="S256" s="21">
        <f>(1-NORMSDIST((LN(O256*12*1000000/پارامترها!$B$8)-پارامترها!$B$15)/پارامترها!$B$14))*100</f>
        <v>22.88766695479223</v>
      </c>
      <c r="T256" s="21">
        <f>(1-NORMSDIST((LN(I256*1000000/5)-پارامترها!$B$15)/پارامترها!$B$14))*100</f>
        <v>10.710662815711448</v>
      </c>
      <c r="U256" s="21">
        <f>MIN(100,پارامترها!$B$9/1000000/I256*100)</f>
        <v>19.337684312303601</v>
      </c>
      <c r="V256" s="19">
        <f>MAX(0,I256-پارامترها!$B$9/1000000)</f>
        <v>8342.5</v>
      </c>
      <c r="W256" s="21">
        <f>V256/(G256*پارامترها!$B$7)</f>
        <v>51.784876331306222</v>
      </c>
      <c r="X256" s="21">
        <f>پارامترها!$B$12/1000000/(G256/12)*100</f>
        <v>90.001007333216137</v>
      </c>
      <c r="Y256" s="21">
        <f>ROUND(50*MIN(1,3/K256)+50*MIN(1,30/P256),1)</f>
        <v>29.8</v>
      </c>
      <c r="Z256" s="3">
        <f t="shared" si="11"/>
        <v>172</v>
      </c>
      <c r="AA256" s="19">
        <v>0</v>
      </c>
      <c r="AB256" s="19">
        <v>0</v>
      </c>
      <c r="AC256" s="3" t="s">
        <v>103</v>
      </c>
      <c r="AD256" s="3" t="s">
        <v>104</v>
      </c>
      <c r="AE256" s="23" t="s">
        <v>105</v>
      </c>
      <c r="AF256" s="23" t="s">
        <v>106</v>
      </c>
    </row>
    <row r="257" spans="1:32" x14ac:dyDescent="0.2">
      <c r="A257" s="3">
        <v>256</v>
      </c>
      <c r="B257" s="3">
        <v>16</v>
      </c>
      <c r="C257" s="3" t="s">
        <v>414</v>
      </c>
      <c r="D257" s="19">
        <v>38015</v>
      </c>
      <c r="E257" s="19">
        <f>ROUND(D257/INDEX(مناطق!$D$2:$D$23,B257),0)</f>
        <v>12421</v>
      </c>
      <c r="F257" s="20">
        <v>0.49440000000000001</v>
      </c>
      <c r="G257" s="19">
        <f>پارامترها!$B$5*F257/1000000</f>
        <v>481.22424000000007</v>
      </c>
      <c r="H257" s="21">
        <v>124</v>
      </c>
      <c r="I257" s="19">
        <f>H257*پارامترها!$B$6</f>
        <v>9300</v>
      </c>
      <c r="J257" s="22">
        <v>64</v>
      </c>
      <c r="K257" s="21">
        <f t="shared" si="9"/>
        <v>19.325709777213216</v>
      </c>
      <c r="L257" s="21">
        <f>I257/(پارامترها!$B$5/1000000)</f>
        <v>9.5546309138542131</v>
      </c>
      <c r="M257" s="21">
        <f>K257/پارامترها!$B$7</f>
        <v>64.419032590710728</v>
      </c>
      <c r="N257" s="21">
        <v>14.64</v>
      </c>
      <c r="O257" s="21">
        <f>N257*پارامترها!$B$6*پارامترها!$B$16</f>
        <v>32.94</v>
      </c>
      <c r="P257" s="21">
        <f>O257*12/G257*100</f>
        <v>82.140500653084288</v>
      </c>
      <c r="Q257" s="21">
        <f>O257*12/(پارامترها!$B$5/1000000)*100</f>
        <v>40.610263522884878</v>
      </c>
      <c r="R257" s="3" t="str">
        <f t="shared" si="10"/>
        <v>فشار شدید</v>
      </c>
      <c r="S257" s="21">
        <f>(1-NORMSDIST((LN(O257*12*1000000/پارامترها!$B$8)-پارامترها!$B$15)/پارامترها!$B$14))*100</f>
        <v>20.767892309123816</v>
      </c>
      <c r="T257" s="21">
        <f>(1-NORMSDIST((LN(I257*1000000/5)-پارامترها!$B$15)/پارامترها!$B$14))*100</f>
        <v>12.686419652974191</v>
      </c>
      <c r="U257" s="21">
        <f>MIN(100,پارامترها!$B$9/1000000/I257*100)</f>
        <v>21.50537634408602</v>
      </c>
      <c r="V257" s="19">
        <f>MAX(0,I257-پارامترها!$B$9/1000000)</f>
        <v>7300</v>
      </c>
      <c r="W257" s="21">
        <f>V257/(G257*پارامترها!$B$7)</f>
        <v>50.56547719485895</v>
      </c>
      <c r="X257" s="21">
        <f>پارامترها!$B$12/1000000/(G257/12)*100</f>
        <v>100.43194932389834</v>
      </c>
      <c r="Y257" s="21">
        <f>ROUND(50*MIN(1,3/K257)+50*MIN(1,30/P257),1)</f>
        <v>26</v>
      </c>
      <c r="Z257" s="3">
        <f t="shared" si="11"/>
        <v>308</v>
      </c>
      <c r="AA257" s="19">
        <v>84</v>
      </c>
      <c r="AB257" s="19">
        <v>64</v>
      </c>
      <c r="AC257" s="3" t="s">
        <v>83</v>
      </c>
      <c r="AD257" s="3" t="s">
        <v>84</v>
      </c>
      <c r="AE257" s="3" t="s">
        <v>414</v>
      </c>
      <c r="AF257" s="23" t="s">
        <v>85</v>
      </c>
    </row>
    <row r="258" spans="1:32" ht="16.5" x14ac:dyDescent="0.3">
      <c r="A258" s="3">
        <v>257</v>
      </c>
      <c r="B258" s="3">
        <v>16</v>
      </c>
      <c r="C258" s="3" t="s">
        <v>193</v>
      </c>
      <c r="D258" s="19">
        <v>48252</v>
      </c>
      <c r="E258" s="19">
        <f>ROUND(D258/INDEX(مناطق!$D$2:$D$23,B258),0)</f>
        <v>15766</v>
      </c>
      <c r="F258" s="20">
        <v>0.48049999999999998</v>
      </c>
      <c r="G258" s="19">
        <f>پارامترها!$B$5*F258/1000000</f>
        <v>467.69467500000007</v>
      </c>
      <c r="H258" s="21">
        <v>120.7</v>
      </c>
      <c r="I258" s="19">
        <f>H258*پارامترها!$B$6</f>
        <v>9052.5</v>
      </c>
      <c r="J258" s="22">
        <v>58</v>
      </c>
      <c r="K258" s="21">
        <f t="shared" ref="K258:K321" si="12">I258/G258</f>
        <v>19.3555763704173</v>
      </c>
      <c r="L258" s="21">
        <f>I258/(پارامترها!$B$5/1000000)</f>
        <v>9.3003544459855121</v>
      </c>
      <c r="M258" s="21">
        <f>K258/پارامترها!$B$7</f>
        <v>64.518587901391001</v>
      </c>
      <c r="N258" s="21">
        <v>14.26</v>
      </c>
      <c r="O258" s="21">
        <f>N258*پارامترها!$B$6*پارامترها!$B$16</f>
        <v>32.085000000000001</v>
      </c>
      <c r="P258" s="21">
        <f>O258*12/G258*100</f>
        <v>82.322938570981151</v>
      </c>
      <c r="Q258" s="21">
        <f>O258*12/(پارامترها!$B$5/1000000)*100</f>
        <v>39.556171983356442</v>
      </c>
      <c r="R258" s="3" t="str">
        <f t="shared" ref="R258:R321" si="13">IF(P258&lt;=30,"قابل استطاعت",IF(P258&lt;=50,"زیر فشار","فشار شدید"))</f>
        <v>فشار شدید</v>
      </c>
      <c r="S258" s="21">
        <f>(1-NORMSDIST((LN(O258*12*1000000/پارامترها!$B$8)-پارامترها!$B$15)/پارامترها!$B$14))*100</f>
        <v>21.488959292476984</v>
      </c>
      <c r="T258" s="21">
        <f>(1-NORMSDIST((LN(I258*1000000/5)-پارامترها!$B$15)/پارامترها!$B$14))*100</f>
        <v>13.226047332938595</v>
      </c>
      <c r="U258" s="21">
        <f>MIN(100,پارامترها!$B$9/1000000/I258*100)</f>
        <v>22.093344380005522</v>
      </c>
      <c r="V258" s="19">
        <f>MAX(0,I258-پارامترها!$B$9/1000000)</f>
        <v>7052.5</v>
      </c>
      <c r="W258" s="21">
        <f>V258/(G258*پارامترها!$B$7)</f>
        <v>50.264274087220102</v>
      </c>
      <c r="X258" s="21">
        <f>پارامترها!$B$12/1000000/(G258/12)*100</f>
        <v>103.3372648194284</v>
      </c>
      <c r="Y258" s="21">
        <f>ROUND(50*MIN(1,3/K258)+50*MIN(1,30/P258),1)</f>
        <v>26</v>
      </c>
      <c r="Z258" s="3">
        <f t="shared" ref="Z258:Z321" si="14">RANK(Y258,$Y$2:$Y$350,0)</f>
        <v>308</v>
      </c>
      <c r="AA258" s="19">
        <v>77</v>
      </c>
      <c r="AB258" s="19">
        <v>58</v>
      </c>
      <c r="AC258" s="3" t="s">
        <v>83</v>
      </c>
      <c r="AD258" s="3" t="s">
        <v>93</v>
      </c>
      <c r="AE258" s="3" t="s">
        <v>193</v>
      </c>
      <c r="AF258" s="23" t="s">
        <v>85</v>
      </c>
    </row>
    <row r="259" spans="1:32" ht="16.5" x14ac:dyDescent="0.3">
      <c r="A259" s="3">
        <v>258</v>
      </c>
      <c r="B259" s="3">
        <v>16</v>
      </c>
      <c r="C259" s="3" t="s">
        <v>415</v>
      </c>
      <c r="D259" s="19">
        <v>30345</v>
      </c>
      <c r="E259" s="19">
        <f>ROUND(D259/INDEX(مناطق!$D$2:$D$23,B259),0)</f>
        <v>9915</v>
      </c>
      <c r="F259" s="20">
        <v>0.45669999999999999</v>
      </c>
      <c r="G259" s="19">
        <f>پارامترها!$B$5*F259/1000000</f>
        <v>444.52894500000008</v>
      </c>
      <c r="H259" s="21">
        <v>114.9</v>
      </c>
      <c r="I259" s="19">
        <f>H259*پارامترها!$B$6</f>
        <v>8617.5</v>
      </c>
      <c r="J259" s="22">
        <v>75</v>
      </c>
      <c r="K259" s="21">
        <f t="shared" si="12"/>
        <v>19.385689271595123</v>
      </c>
      <c r="L259" s="21">
        <f>I259/(پارامترها!$B$5/1000000)</f>
        <v>8.8534442903374924</v>
      </c>
      <c r="M259" s="21">
        <f>K259/پارامترها!$B$7</f>
        <v>64.618964238650406</v>
      </c>
      <c r="N259" s="21">
        <v>13.26</v>
      </c>
      <c r="O259" s="21">
        <f>N259*پارامترها!$B$6*پارامترها!$B$16</f>
        <v>29.834999999999997</v>
      </c>
      <c r="P259" s="21">
        <f>O259*12/G259*100</f>
        <v>80.539187386324173</v>
      </c>
      <c r="Q259" s="21">
        <f>O259*12/(پارامترها!$B$5/1000000)*100</f>
        <v>36.782246879334252</v>
      </c>
      <c r="R259" s="3" t="str">
        <f t="shared" si="13"/>
        <v>فشار شدید</v>
      </c>
      <c r="S259" s="21">
        <f>(1-NORMSDIST((LN(O259*12*1000000/پارامترها!$B$8)-پارامترها!$B$15)/پارامترها!$B$14))*100</f>
        <v>23.55644608097084</v>
      </c>
      <c r="T259" s="21">
        <f>(1-NORMSDIST((LN(I259*1000000/5)-پارامترها!$B$15)/پارامترها!$B$14))*100</f>
        <v>14.251596963005753</v>
      </c>
      <c r="U259" s="21">
        <f>MIN(100,پارامترها!$B$9/1000000/I259*100)</f>
        <v>23.208587177255584</v>
      </c>
      <c r="V259" s="19">
        <f>MAX(0,I259-پارامترها!$B$9/1000000)</f>
        <v>6617.5</v>
      </c>
      <c r="W259" s="21">
        <f>V259/(G259*پارامترها!$B$7)</f>
        <v>49.621815590283624</v>
      </c>
      <c r="X259" s="21">
        <f>پارامترها!$B$12/1000000/(G259/12)*100</f>
        <v>108.72247809445005</v>
      </c>
      <c r="Y259" s="21">
        <f>ROUND(50*MIN(1,3/K259)+50*MIN(1,30/P259),1)</f>
        <v>26.4</v>
      </c>
      <c r="Z259" s="3">
        <f t="shared" si="14"/>
        <v>303</v>
      </c>
      <c r="AA259" s="19">
        <v>72</v>
      </c>
      <c r="AB259" s="19">
        <v>31</v>
      </c>
      <c r="AC259" s="3" t="s">
        <v>83</v>
      </c>
      <c r="AD259" s="3" t="s">
        <v>93</v>
      </c>
      <c r="AE259" s="3" t="s">
        <v>416</v>
      </c>
      <c r="AF259" s="23" t="s">
        <v>85</v>
      </c>
    </row>
    <row r="260" spans="1:32" ht="16.5" x14ac:dyDescent="0.3">
      <c r="A260" s="3">
        <v>259</v>
      </c>
      <c r="B260" s="3">
        <v>16</v>
      </c>
      <c r="C260" s="3" t="s">
        <v>417</v>
      </c>
      <c r="D260" s="19">
        <v>17410</v>
      </c>
      <c r="E260" s="19">
        <f>ROUND(D260/INDEX(مناطق!$D$2:$D$23,B260),0)</f>
        <v>5689</v>
      </c>
      <c r="F260" s="20">
        <v>0.45669999999999999</v>
      </c>
      <c r="G260" s="19">
        <f>پارامترها!$B$5*F260/1000000</f>
        <v>444.52894500000008</v>
      </c>
      <c r="H260" s="21">
        <v>114.9</v>
      </c>
      <c r="I260" s="19">
        <f>H260*پارامترها!$B$6</f>
        <v>8617.5</v>
      </c>
      <c r="J260" s="22">
        <v>75</v>
      </c>
      <c r="K260" s="21">
        <f t="shared" si="12"/>
        <v>19.385689271595123</v>
      </c>
      <c r="L260" s="21">
        <f>I260/(پارامترها!$B$5/1000000)</f>
        <v>8.8534442903374924</v>
      </c>
      <c r="M260" s="21">
        <f>K260/پارامترها!$B$7</f>
        <v>64.618964238650406</v>
      </c>
      <c r="N260" s="21">
        <v>13.26</v>
      </c>
      <c r="O260" s="21">
        <f>N260*پارامترها!$B$6*پارامترها!$B$16</f>
        <v>29.834999999999997</v>
      </c>
      <c r="P260" s="21">
        <f>O260*12/G260*100</f>
        <v>80.539187386324173</v>
      </c>
      <c r="Q260" s="21">
        <f>O260*12/(پارامترها!$B$5/1000000)*100</f>
        <v>36.782246879334252</v>
      </c>
      <c r="R260" s="3" t="str">
        <f t="shared" si="13"/>
        <v>فشار شدید</v>
      </c>
      <c r="S260" s="21">
        <f>(1-NORMSDIST((LN(O260*12*1000000/پارامترها!$B$8)-پارامترها!$B$15)/پارامترها!$B$14))*100</f>
        <v>23.55644608097084</v>
      </c>
      <c r="T260" s="21">
        <f>(1-NORMSDIST((LN(I260*1000000/5)-پارامترها!$B$15)/پارامترها!$B$14))*100</f>
        <v>14.251596963005753</v>
      </c>
      <c r="U260" s="21">
        <f>MIN(100,پارامترها!$B$9/1000000/I260*100)</f>
        <v>23.208587177255584</v>
      </c>
      <c r="V260" s="19">
        <f>MAX(0,I260-پارامترها!$B$9/1000000)</f>
        <v>6617.5</v>
      </c>
      <c r="W260" s="21">
        <f>V260/(G260*پارامترها!$B$7)</f>
        <v>49.621815590283624</v>
      </c>
      <c r="X260" s="21">
        <f>پارامترها!$B$12/1000000/(G260/12)*100</f>
        <v>108.72247809445005</v>
      </c>
      <c r="Y260" s="21">
        <f>ROUND(50*MIN(1,3/K260)+50*MIN(1,30/P260),1)</f>
        <v>26.4</v>
      </c>
      <c r="Z260" s="3">
        <f t="shared" si="14"/>
        <v>303</v>
      </c>
      <c r="AA260" s="19">
        <v>72</v>
      </c>
      <c r="AB260" s="19">
        <v>31</v>
      </c>
      <c r="AC260" s="3" t="s">
        <v>83</v>
      </c>
      <c r="AD260" s="3" t="s">
        <v>93</v>
      </c>
      <c r="AE260" s="3" t="s">
        <v>416</v>
      </c>
      <c r="AF260" s="23" t="s">
        <v>85</v>
      </c>
    </row>
    <row r="261" spans="1:32" ht="16.5" x14ac:dyDescent="0.3">
      <c r="A261" s="3">
        <v>260</v>
      </c>
      <c r="B261" s="3">
        <v>16</v>
      </c>
      <c r="C261" s="3" t="s">
        <v>418</v>
      </c>
      <c r="D261" s="19">
        <v>10200</v>
      </c>
      <c r="E261" s="19">
        <f>ROUND(D261/INDEX(مناطق!$D$2:$D$23,B261),0)</f>
        <v>3333</v>
      </c>
      <c r="F261" s="20">
        <v>0.39229999999999998</v>
      </c>
      <c r="G261" s="19">
        <f>پارامترها!$B$5*F261/1000000</f>
        <v>381.84520500000002</v>
      </c>
      <c r="H261" s="21">
        <v>99.2</v>
      </c>
      <c r="I261" s="19">
        <f>H261*پارامترها!$B$6</f>
        <v>7440</v>
      </c>
      <c r="J261" s="22">
        <v>70</v>
      </c>
      <c r="K261" s="21">
        <f t="shared" si="12"/>
        <v>19.484335281884711</v>
      </c>
      <c r="L261" s="21">
        <f>I261/(پارامترها!$B$5/1000000)</f>
        <v>7.6437047310833712</v>
      </c>
      <c r="M261" s="21">
        <f>K261/پارامترها!$B$7</f>
        <v>64.947784272949036</v>
      </c>
      <c r="N261" s="21">
        <v>10.74</v>
      </c>
      <c r="O261" s="21">
        <f>N261*پارامترها!$B$6*پارامترها!$B$16</f>
        <v>24.164999999999999</v>
      </c>
      <c r="P261" s="21">
        <f>O261*12/G261*100</f>
        <v>75.941768078507096</v>
      </c>
      <c r="Q261" s="21">
        <f>O261*12/(پارامترها!$B$5/1000000)*100</f>
        <v>29.791955617198333</v>
      </c>
      <c r="R261" s="3" t="str">
        <f t="shared" si="13"/>
        <v>فشار شدید</v>
      </c>
      <c r="S261" s="21">
        <f>(1-NORMSDIST((LN(O261*12*1000000/پارامترها!$B$8)-پارامترها!$B$15)/پارامترها!$B$14))*100</f>
        <v>30.124410804505388</v>
      </c>
      <c r="T261" s="21">
        <f>(1-NORMSDIST((LN(I261*1000000/5)-پارامترها!$B$15)/پارامترها!$B$14))*100</f>
        <v>17.623764922821394</v>
      </c>
      <c r="U261" s="21">
        <f>MIN(100,پارامترها!$B$9/1000000/I261*100)</f>
        <v>26.881720430107524</v>
      </c>
      <c r="V261" s="19">
        <f>MAX(0,I261-پارامترها!$B$9/1000000)</f>
        <v>5440</v>
      </c>
      <c r="W261" s="21">
        <f>V261/(G261*پارامترها!$B$7)</f>
        <v>47.48870247914553</v>
      </c>
      <c r="X261" s="21">
        <f>پارامترها!$B$12/1000000/(G261/12)*100</f>
        <v>126.5703689669522</v>
      </c>
      <c r="Y261" s="21">
        <f>ROUND(50*MIN(1,3/K261)+50*MIN(1,30/P261),1)</f>
        <v>27.5</v>
      </c>
      <c r="Z261" s="3">
        <f t="shared" si="14"/>
        <v>273</v>
      </c>
      <c r="AA261" s="19">
        <v>13</v>
      </c>
      <c r="AB261" s="19">
        <v>3</v>
      </c>
      <c r="AC261" s="3" t="s">
        <v>83</v>
      </c>
      <c r="AD261" s="3" t="s">
        <v>84</v>
      </c>
      <c r="AE261" s="3" t="s">
        <v>419</v>
      </c>
      <c r="AF261" s="23" t="s">
        <v>90</v>
      </c>
    </row>
    <row r="262" spans="1:32" x14ac:dyDescent="0.2">
      <c r="A262" s="3">
        <v>261</v>
      </c>
      <c r="B262" s="3">
        <v>17</v>
      </c>
      <c r="C262" s="3" t="s">
        <v>420</v>
      </c>
      <c r="D262" s="19">
        <v>22736</v>
      </c>
      <c r="E262" s="19">
        <f>ROUND(D262/INDEX(مناطق!$D$2:$D$23,B262),0)</f>
        <v>7354</v>
      </c>
      <c r="F262" s="20">
        <v>0.57740000000000002</v>
      </c>
      <c r="G262" s="19">
        <f>پارامترها!$B$5*F262/1000000</f>
        <v>562.01229000000012</v>
      </c>
      <c r="H262" s="21">
        <v>142.69999999999999</v>
      </c>
      <c r="I262" s="19">
        <f>H262*پارامترها!$B$6</f>
        <v>10702.5</v>
      </c>
      <c r="J262" s="22">
        <v>90.5</v>
      </c>
      <c r="K262" s="21">
        <f t="shared" si="12"/>
        <v>19.043177863601521</v>
      </c>
      <c r="L262" s="21">
        <f>I262/(پارامترها!$B$5/1000000)</f>
        <v>10.995530898443517</v>
      </c>
      <c r="M262" s="21">
        <f>K262/پارامترها!$B$7</f>
        <v>63.477259545338406</v>
      </c>
      <c r="N262" s="21">
        <v>14.94</v>
      </c>
      <c r="O262" s="21">
        <f>N262*پارامترها!$B$6*پارامترها!$B$16</f>
        <v>33.615000000000002</v>
      </c>
      <c r="P262" s="21">
        <f>O262*12/G262*100</f>
        <v>71.774231129358384</v>
      </c>
      <c r="Q262" s="21">
        <f>O262*12/(پارامترها!$B$5/1000000)*100</f>
        <v>41.442441054091532</v>
      </c>
      <c r="R262" s="3" t="str">
        <f t="shared" si="13"/>
        <v>فشار شدید</v>
      </c>
      <c r="S262" s="21">
        <f>(1-NORMSDIST((LN(O262*12*1000000/پارامترها!$B$8)-پارامترها!$B$15)/پارامترها!$B$14))*100</f>
        <v>20.221621989132387</v>
      </c>
      <c r="T262" s="21">
        <f>(1-NORMSDIST((LN(I262*1000000/5)-پارامترها!$B$15)/پارامترها!$B$14))*100</f>
        <v>10.124315482485846</v>
      </c>
      <c r="U262" s="21">
        <f>MIN(100,پارامترها!$B$9/1000000/I262*100)</f>
        <v>18.687222611539358</v>
      </c>
      <c r="V262" s="19">
        <f>MAX(0,I262-پارامترها!$B$9/1000000)</f>
        <v>8702.5</v>
      </c>
      <c r="W262" s="21">
        <f>V262/(G262*پارامترها!$B$7)</f>
        <v>51.615122746396395</v>
      </c>
      <c r="X262" s="21">
        <f>پارامترها!$B$12/1000000/(G262/12)*100</f>
        <v>85.99507403140862</v>
      </c>
      <c r="Y262" s="21">
        <f>ROUND(50*MIN(1,3/K262)+50*MIN(1,30/P262),1)</f>
        <v>28.8</v>
      </c>
      <c r="Z262" s="3">
        <f t="shared" si="14"/>
        <v>232</v>
      </c>
      <c r="AA262" s="19">
        <v>91</v>
      </c>
      <c r="AB262" s="19">
        <v>31</v>
      </c>
      <c r="AC262" s="3" t="s">
        <v>83</v>
      </c>
      <c r="AD262" s="3" t="s">
        <v>84</v>
      </c>
      <c r="AE262" s="3" t="s">
        <v>420</v>
      </c>
      <c r="AF262" s="23" t="s">
        <v>85</v>
      </c>
    </row>
    <row r="263" spans="1:32" x14ac:dyDescent="0.2">
      <c r="A263" s="3">
        <v>262</v>
      </c>
      <c r="B263" s="3">
        <v>17</v>
      </c>
      <c r="C263" s="3" t="s">
        <v>421</v>
      </c>
      <c r="D263" s="19">
        <v>21417</v>
      </c>
      <c r="E263" s="19">
        <f>ROUND(D263/INDEX(مناطق!$D$2:$D$23,B263),0)</f>
        <v>6927</v>
      </c>
      <c r="F263" s="20">
        <v>0.53680000000000005</v>
      </c>
      <c r="G263" s="19">
        <f>پارامترها!$B$5*F263/1000000</f>
        <v>522.49428000000012</v>
      </c>
      <c r="H263" s="21">
        <v>133</v>
      </c>
      <c r="I263" s="19">
        <f>H263*پارامترها!$B$6</f>
        <v>9975</v>
      </c>
      <c r="J263" s="22">
        <v>75</v>
      </c>
      <c r="K263" s="21">
        <f t="shared" si="12"/>
        <v>19.091118088412369</v>
      </c>
      <c r="L263" s="21">
        <f>I263/(پارامترها!$B$5/1000000)</f>
        <v>10.248112189859761</v>
      </c>
      <c r="M263" s="21">
        <f>K263/پارامترها!$B$7</f>
        <v>63.637060294707901</v>
      </c>
      <c r="N263" s="21">
        <v>14.99</v>
      </c>
      <c r="O263" s="21">
        <f>N263*پارامترها!$B$6*پارامترها!$B$16</f>
        <v>33.727499999999999</v>
      </c>
      <c r="P263" s="21">
        <f>O263*12/G263*100</f>
        <v>77.461135076923711</v>
      </c>
      <c r="Q263" s="21">
        <f>O263*12/(پارامترها!$B$5/1000000)*100</f>
        <v>41.581137309292643</v>
      </c>
      <c r="R263" s="3" t="str">
        <f t="shared" si="13"/>
        <v>فشار شدید</v>
      </c>
      <c r="S263" s="21">
        <f>(1-NORMSDIST((LN(O263*12*1000000/پارامترها!$B$8)-پارامترها!$B$15)/پارامترها!$B$14))*100</f>
        <v>20.13247635843549</v>
      </c>
      <c r="T263" s="21">
        <f>(1-NORMSDIST((LN(I263*1000000/5)-پارامترها!$B$15)/پارامترها!$B$14))*100</f>
        <v>11.356890366681348</v>
      </c>
      <c r="U263" s="21">
        <f>MIN(100,پارامترها!$B$9/1000000/I263*100)</f>
        <v>20.050125313283207</v>
      </c>
      <c r="V263" s="19">
        <f>MAX(0,I263-پارامترها!$B$9/1000000)</f>
        <v>7975</v>
      </c>
      <c r="W263" s="21">
        <f>V263/(G263*پارامترها!$B$7)</f>
        <v>50.877749959929375</v>
      </c>
      <c r="X263" s="21">
        <f>پارامترها!$B$12/1000000/(G263/12)*100</f>
        <v>92.499172402636617</v>
      </c>
      <c r="Y263" s="21">
        <f>ROUND(50*MIN(1,3/K263)+50*MIN(1,30/P263),1)</f>
        <v>27.2</v>
      </c>
      <c r="Z263" s="3">
        <f t="shared" si="14"/>
        <v>282</v>
      </c>
      <c r="AA263" s="19">
        <v>84</v>
      </c>
      <c r="AB263" s="19">
        <v>47</v>
      </c>
      <c r="AC263" s="3" t="s">
        <v>83</v>
      </c>
      <c r="AD263" s="3" t="s">
        <v>84</v>
      </c>
      <c r="AE263" s="3" t="s">
        <v>421</v>
      </c>
      <c r="AF263" s="23" t="s">
        <v>85</v>
      </c>
    </row>
    <row r="264" spans="1:32" x14ac:dyDescent="0.2">
      <c r="A264" s="3">
        <v>263</v>
      </c>
      <c r="B264" s="3">
        <v>17</v>
      </c>
      <c r="C264" s="3" t="s">
        <v>422</v>
      </c>
      <c r="D264" s="19">
        <v>21145</v>
      </c>
      <c r="E264" s="19">
        <f>ROUND(D264/INDEX(مناطق!$D$2:$D$23,B264),0)</f>
        <v>6839</v>
      </c>
      <c r="F264" s="20">
        <v>0.53620000000000001</v>
      </c>
      <c r="G264" s="19">
        <f>پارامترها!$B$5*F264/1000000</f>
        <v>521.91027000000008</v>
      </c>
      <c r="H264" s="21">
        <v>132.9</v>
      </c>
      <c r="I264" s="19">
        <f>H264*پارامترها!$B$6</f>
        <v>9967.5</v>
      </c>
      <c r="J264" s="22">
        <v>60</v>
      </c>
      <c r="K264" s="21">
        <f t="shared" si="12"/>
        <v>19.098110485543806</v>
      </c>
      <c r="L264" s="21">
        <f>I264/(پارامترها!$B$5/1000000)</f>
        <v>10.240406842348589</v>
      </c>
      <c r="M264" s="21">
        <f>K264/پارامترها!$B$7</f>
        <v>63.660368285146021</v>
      </c>
      <c r="N264" s="21">
        <v>14.55</v>
      </c>
      <c r="O264" s="21">
        <f>N264*پارامترها!$B$6*پارامترها!$B$16</f>
        <v>32.737499999999997</v>
      </c>
      <c r="P264" s="21">
        <f>O264*12/G264*100</f>
        <v>75.271559611195215</v>
      </c>
      <c r="Q264" s="21">
        <f>O264*12/(پارامترها!$B$5/1000000)*100</f>
        <v>40.360610263522879</v>
      </c>
      <c r="R264" s="3" t="str">
        <f t="shared" si="13"/>
        <v>فشار شدید</v>
      </c>
      <c r="S264" s="21">
        <f>(1-NORMSDIST((LN(O264*12*1000000/پارامترها!$B$8)-پارامترها!$B$15)/پارامترها!$B$14))*100</f>
        <v>20.935670174155074</v>
      </c>
      <c r="T264" s="21">
        <f>(1-NORMSDIST((LN(I264*1000000/5)-پارامترها!$B$15)/پارامترها!$B$14))*100</f>
        <v>11.370613969208442</v>
      </c>
      <c r="U264" s="21">
        <f>MIN(100,پارامترها!$B$9/1000000/I264*100)</f>
        <v>20.065211938801102</v>
      </c>
      <c r="V264" s="19">
        <f>MAX(0,I264-پارامترها!$B$9/1000000)</f>
        <v>7967.5</v>
      </c>
      <c r="W264" s="21">
        <f>V264/(G264*پارامترها!$B$7)</f>
        <v>50.886780467710146</v>
      </c>
      <c r="X264" s="21">
        <f>پارامترها!$B$12/1000000/(G264/12)*100</f>
        <v>92.602677630987202</v>
      </c>
      <c r="Y264" s="21">
        <f>ROUND(50*MIN(1,3/K264)+50*MIN(1,30/P264),1)</f>
        <v>27.8</v>
      </c>
      <c r="Z264" s="3">
        <f t="shared" si="14"/>
        <v>266</v>
      </c>
      <c r="AA264" s="19">
        <v>88</v>
      </c>
      <c r="AB264" s="19">
        <v>47</v>
      </c>
      <c r="AC264" s="3" t="s">
        <v>83</v>
      </c>
      <c r="AD264" s="3" t="s">
        <v>84</v>
      </c>
      <c r="AE264" s="3" t="s">
        <v>422</v>
      </c>
      <c r="AF264" s="23" t="s">
        <v>85</v>
      </c>
    </row>
    <row r="265" spans="1:32" x14ac:dyDescent="0.2">
      <c r="A265" s="3">
        <v>264</v>
      </c>
      <c r="B265" s="3">
        <v>17</v>
      </c>
      <c r="C265" s="3" t="s">
        <v>423</v>
      </c>
      <c r="D265" s="19">
        <v>25174</v>
      </c>
      <c r="E265" s="19">
        <f>ROUND(D265/INDEX(مناطق!$D$2:$D$23,B265),0)</f>
        <v>8142</v>
      </c>
      <c r="F265" s="20">
        <v>0.50570000000000004</v>
      </c>
      <c r="G265" s="19">
        <f>پارامترها!$B$5*F265/1000000</f>
        <v>492.22309500000011</v>
      </c>
      <c r="H265" s="21">
        <v>125.5</v>
      </c>
      <c r="I265" s="19">
        <f>H265*پارامترها!$B$6</f>
        <v>9412.5</v>
      </c>
      <c r="J265" s="22">
        <v>72</v>
      </c>
      <c r="K265" s="21">
        <f t="shared" si="12"/>
        <v>19.122426589918536</v>
      </c>
      <c r="L265" s="21">
        <f>I265/(پارامترها!$B$5/1000000)</f>
        <v>9.6702111265218047</v>
      </c>
      <c r="M265" s="21">
        <f>K265/پارامترها!$B$7</f>
        <v>63.741421966395123</v>
      </c>
      <c r="N265" s="21">
        <v>15.73</v>
      </c>
      <c r="O265" s="21">
        <f>N265*پارامترها!$B$6*پارامترها!$B$16</f>
        <v>35.392499999999998</v>
      </c>
      <c r="P265" s="21">
        <f>O265*12/G265*100</f>
        <v>86.284045652104126</v>
      </c>
      <c r="Q265" s="21">
        <f>O265*12/(پارامترها!$B$5/1000000)*100</f>
        <v>43.633841886269067</v>
      </c>
      <c r="R265" s="3" t="str">
        <f t="shared" si="13"/>
        <v>فشار شدید</v>
      </c>
      <c r="S265" s="21">
        <f>(1-NORMSDIST((LN(O265*12*1000000/پارامترها!$B$8)-پارامترها!$B$15)/پارامترها!$B$14))*100</f>
        <v>18.873170765463044</v>
      </c>
      <c r="T265" s="21">
        <f>(1-NORMSDIST((LN(I265*1000000/5)-پارامترها!$B$15)/پارامترها!$B$14))*100</f>
        <v>12.450872853784533</v>
      </c>
      <c r="U265" s="21">
        <f>MIN(100,پارامترها!$B$9/1000000/I265*100)</f>
        <v>21.248339973439574</v>
      </c>
      <c r="V265" s="19">
        <f>MAX(0,I265-پارامترها!$B$9/1000000)</f>
        <v>7412.5</v>
      </c>
      <c r="W265" s="21">
        <f>V265/(G265*پارامترها!$B$7)</f>
        <v>50.197427923070791</v>
      </c>
      <c r="X265" s="21">
        <f>پارامترها!$B$12/1000000/(G265/12)*100</f>
        <v>98.187770903174481</v>
      </c>
      <c r="Y265" s="21">
        <f>ROUND(50*MIN(1,3/K265)+50*MIN(1,30/P265),1)</f>
        <v>25.2</v>
      </c>
      <c r="Z265" s="3">
        <f t="shared" si="14"/>
        <v>328</v>
      </c>
      <c r="AA265" s="19">
        <v>88</v>
      </c>
      <c r="AB265" s="19">
        <v>62</v>
      </c>
      <c r="AC265" s="3" t="s">
        <v>83</v>
      </c>
      <c r="AD265" s="3" t="s">
        <v>84</v>
      </c>
      <c r="AE265" s="3" t="s">
        <v>423</v>
      </c>
      <c r="AF265" s="23" t="s">
        <v>85</v>
      </c>
    </row>
    <row r="266" spans="1:32" ht="16.5" x14ac:dyDescent="0.3">
      <c r="A266" s="3">
        <v>265</v>
      </c>
      <c r="B266" s="3">
        <v>17</v>
      </c>
      <c r="C266" s="3" t="s">
        <v>424</v>
      </c>
      <c r="D266" s="19">
        <v>22920</v>
      </c>
      <c r="E266" s="19">
        <f>ROUND(D266/INDEX(مناطق!$D$2:$D$23,B266),0)</f>
        <v>7413</v>
      </c>
      <c r="F266" s="20">
        <v>0.48599999999999999</v>
      </c>
      <c r="G266" s="19">
        <f>پارامترها!$B$5*F266/1000000</f>
        <v>473.04810000000003</v>
      </c>
      <c r="H266" s="21">
        <v>120.8</v>
      </c>
      <c r="I266" s="19">
        <f>H266*پارامترها!$B$6</f>
        <v>9060</v>
      </c>
      <c r="J266" s="22"/>
      <c r="K266" s="21">
        <f t="shared" si="12"/>
        <v>19.152386406371782</v>
      </c>
      <c r="L266" s="21">
        <f>I266/(پارامترها!$B$5/1000000)</f>
        <v>9.3080597934966853</v>
      </c>
      <c r="M266" s="21">
        <f>K266/پارامترها!$B$7</f>
        <v>63.841288021239279</v>
      </c>
      <c r="N266" s="21">
        <v>11.89</v>
      </c>
      <c r="O266" s="21">
        <f>N266*پارامترها!$B$6*پارامترها!$B$16</f>
        <v>26.752499999999998</v>
      </c>
      <c r="P266" s="21">
        <f>O266*12/G266*100</f>
        <v>67.86413474655113</v>
      </c>
      <c r="Q266" s="21">
        <f>O266*12/(پارامترها!$B$5/1000000)*100</f>
        <v>32.98196948682385</v>
      </c>
      <c r="R266" s="3" t="str">
        <f t="shared" si="13"/>
        <v>فشار شدید</v>
      </c>
      <c r="S266" s="21">
        <f>(1-NORMSDIST((LN(O266*12*1000000/پارامترها!$B$8)-پارامترها!$B$15)/پارامترها!$B$14))*100</f>
        <v>26.853184377788786</v>
      </c>
      <c r="T266" s="21">
        <f>(1-NORMSDIST((LN(I266*1000000/5)-پارامترها!$B$15)/پارامترها!$B$14))*100</f>
        <v>13.209247370401245</v>
      </c>
      <c r="U266" s="21">
        <f>MIN(100,پارامترها!$B$9/1000000/I266*100)</f>
        <v>22.075055187637968</v>
      </c>
      <c r="V266" s="19">
        <f>MAX(0,I266-پارامترها!$B$9/1000000)</f>
        <v>7060</v>
      </c>
      <c r="W266" s="21">
        <f>V266/(G266*پارامترها!$B$7)</f>
        <v>49.748288458051796</v>
      </c>
      <c r="X266" s="21">
        <f>پارامترها!$B$12/1000000/(G266/12)*100</f>
        <v>102.16781017641017</v>
      </c>
      <c r="Y266" s="21">
        <f>ROUND(50*MIN(1,3/K266)+50*MIN(1,30/P266),1)</f>
        <v>29.9</v>
      </c>
      <c r="Z266" s="3">
        <f t="shared" si="14"/>
        <v>168</v>
      </c>
      <c r="AA266" s="19">
        <v>0</v>
      </c>
      <c r="AB266" s="19">
        <v>0</v>
      </c>
      <c r="AC266" s="3" t="s">
        <v>103</v>
      </c>
      <c r="AD266" s="3" t="s">
        <v>104</v>
      </c>
      <c r="AE266" s="23" t="s">
        <v>105</v>
      </c>
      <c r="AF266" s="23" t="s">
        <v>106</v>
      </c>
    </row>
    <row r="267" spans="1:32" ht="16.5" x14ac:dyDescent="0.3">
      <c r="A267" s="3">
        <v>266</v>
      </c>
      <c r="B267" s="3">
        <v>17</v>
      </c>
      <c r="C267" s="3" t="s">
        <v>425</v>
      </c>
      <c r="D267" s="19">
        <v>18554</v>
      </c>
      <c r="E267" s="19">
        <f>ROUND(D267/INDEX(مناطق!$D$2:$D$23,B267),0)</f>
        <v>6001</v>
      </c>
      <c r="F267" s="20">
        <v>0.48599999999999999</v>
      </c>
      <c r="G267" s="19">
        <f>پارامترها!$B$5*F267/1000000</f>
        <v>473.04810000000003</v>
      </c>
      <c r="H267" s="21">
        <v>120.8</v>
      </c>
      <c r="I267" s="19">
        <f>H267*پارامترها!$B$6</f>
        <v>9060</v>
      </c>
      <c r="J267" s="22"/>
      <c r="K267" s="21">
        <f t="shared" si="12"/>
        <v>19.152386406371782</v>
      </c>
      <c r="L267" s="21">
        <f>I267/(پارامترها!$B$5/1000000)</f>
        <v>9.3080597934966853</v>
      </c>
      <c r="M267" s="21">
        <f>K267/پارامترها!$B$7</f>
        <v>63.841288021239279</v>
      </c>
      <c r="N267" s="21">
        <v>11.89</v>
      </c>
      <c r="O267" s="21">
        <f>N267*پارامترها!$B$6*پارامترها!$B$16</f>
        <v>26.752499999999998</v>
      </c>
      <c r="P267" s="21">
        <f>O267*12/G267*100</f>
        <v>67.86413474655113</v>
      </c>
      <c r="Q267" s="21">
        <f>O267*12/(پارامترها!$B$5/1000000)*100</f>
        <v>32.98196948682385</v>
      </c>
      <c r="R267" s="3" t="str">
        <f t="shared" si="13"/>
        <v>فشار شدید</v>
      </c>
      <c r="S267" s="21">
        <f>(1-NORMSDIST((LN(O267*12*1000000/پارامترها!$B$8)-پارامترها!$B$15)/پارامترها!$B$14))*100</f>
        <v>26.853184377788786</v>
      </c>
      <c r="T267" s="21">
        <f>(1-NORMSDIST((LN(I267*1000000/5)-پارامترها!$B$15)/پارامترها!$B$14))*100</f>
        <v>13.209247370401245</v>
      </c>
      <c r="U267" s="21">
        <f>MIN(100,پارامترها!$B$9/1000000/I267*100)</f>
        <v>22.075055187637968</v>
      </c>
      <c r="V267" s="19">
        <f>MAX(0,I267-پارامترها!$B$9/1000000)</f>
        <v>7060</v>
      </c>
      <c r="W267" s="21">
        <f>V267/(G267*پارامترها!$B$7)</f>
        <v>49.748288458051796</v>
      </c>
      <c r="X267" s="21">
        <f>پارامترها!$B$12/1000000/(G267/12)*100</f>
        <v>102.16781017641017</v>
      </c>
      <c r="Y267" s="21">
        <f>ROUND(50*MIN(1,3/K267)+50*MIN(1,30/P267),1)</f>
        <v>29.9</v>
      </c>
      <c r="Z267" s="3">
        <f t="shared" si="14"/>
        <v>168</v>
      </c>
      <c r="AA267" s="19">
        <v>0</v>
      </c>
      <c r="AB267" s="19">
        <v>0</v>
      </c>
      <c r="AC267" s="3" t="s">
        <v>103</v>
      </c>
      <c r="AD267" s="3" t="s">
        <v>104</v>
      </c>
      <c r="AE267" s="23" t="s">
        <v>105</v>
      </c>
      <c r="AF267" s="23" t="s">
        <v>106</v>
      </c>
    </row>
    <row r="268" spans="1:32" x14ac:dyDescent="0.2">
      <c r="A268" s="3">
        <v>267</v>
      </c>
      <c r="B268" s="3">
        <v>17</v>
      </c>
      <c r="C268" s="3" t="s">
        <v>426</v>
      </c>
      <c r="D268" s="19">
        <v>20420</v>
      </c>
      <c r="E268" s="19">
        <f>ROUND(D268/INDEX(مناطق!$D$2:$D$23,B268),0)</f>
        <v>6605</v>
      </c>
      <c r="F268" s="20">
        <v>0.48580000000000001</v>
      </c>
      <c r="G268" s="19">
        <f>پارامترها!$B$5*F268/1000000</f>
        <v>472.85343000000006</v>
      </c>
      <c r="H268" s="21">
        <v>120.8</v>
      </c>
      <c r="I268" s="19">
        <f>H268*پارامترها!$B$6</f>
        <v>9060</v>
      </c>
      <c r="J268" s="22">
        <v>48</v>
      </c>
      <c r="K268" s="21">
        <f t="shared" si="12"/>
        <v>19.160271291676999</v>
      </c>
      <c r="L268" s="21">
        <f>I268/(پارامترها!$B$5/1000000)</f>
        <v>9.3080597934966853</v>
      </c>
      <c r="M268" s="21">
        <f>K268/پارامترها!$B$7</f>
        <v>63.867570972256665</v>
      </c>
      <c r="N268" s="21">
        <v>13.65</v>
      </c>
      <c r="O268" s="21">
        <f>N268*پارامترها!$B$6*پارامترها!$B$16</f>
        <v>30.712499999999999</v>
      </c>
      <c r="P268" s="21">
        <f>O268*12/G268*100</f>
        <v>77.941699608692687</v>
      </c>
      <c r="Q268" s="21">
        <f>O268*12/(پارامترها!$B$5/1000000)*100</f>
        <v>37.864077669902905</v>
      </c>
      <c r="R268" s="3" t="str">
        <f t="shared" si="13"/>
        <v>فشار شدید</v>
      </c>
      <c r="S268" s="21">
        <f>(1-NORMSDIST((LN(O268*12*1000000/پارامترها!$B$8)-پارامترها!$B$15)/پارامترها!$B$14))*100</f>
        <v>22.719274503459641</v>
      </c>
      <c r="T268" s="21">
        <f>(1-NORMSDIST((LN(I268*1000000/5)-پارامترها!$B$15)/پارامترها!$B$14))*100</f>
        <v>13.209247370401245</v>
      </c>
      <c r="U268" s="21">
        <f>MIN(100,پارامترها!$B$9/1000000/I268*100)</f>
        <v>22.075055187637968</v>
      </c>
      <c r="V268" s="19">
        <f>MAX(0,I268-پارامترها!$B$9/1000000)</f>
        <v>7060</v>
      </c>
      <c r="W268" s="21">
        <f>V268/(G268*پارامترها!$B$7)</f>
        <v>49.768769433127154</v>
      </c>
      <c r="X268" s="21">
        <f>پارامترها!$B$12/1000000/(G268/12)*100</f>
        <v>102.20987185206947</v>
      </c>
      <c r="Y268" s="21">
        <f>ROUND(50*MIN(1,3/K268)+50*MIN(1,30/P268),1)</f>
        <v>27.1</v>
      </c>
      <c r="Z268" s="3">
        <f t="shared" si="14"/>
        <v>286</v>
      </c>
      <c r="AA268" s="19">
        <v>83</v>
      </c>
      <c r="AB268" s="19">
        <v>64</v>
      </c>
      <c r="AC268" s="3" t="s">
        <v>83</v>
      </c>
      <c r="AD268" s="3" t="s">
        <v>84</v>
      </c>
      <c r="AE268" s="3" t="s">
        <v>426</v>
      </c>
      <c r="AF268" s="23" t="s">
        <v>85</v>
      </c>
    </row>
    <row r="269" spans="1:32" x14ac:dyDescent="0.2">
      <c r="A269" s="3">
        <v>268</v>
      </c>
      <c r="B269" s="3">
        <v>17</v>
      </c>
      <c r="C269" s="3" t="s">
        <v>427</v>
      </c>
      <c r="D269" s="19">
        <v>20061</v>
      </c>
      <c r="E269" s="19">
        <f>ROUND(D269/INDEX(مناطق!$D$2:$D$23,B269),0)</f>
        <v>6489</v>
      </c>
      <c r="F269" s="20">
        <v>0.48089999999999999</v>
      </c>
      <c r="G269" s="19">
        <f>پارامترها!$B$5*F269/1000000</f>
        <v>468.08401500000008</v>
      </c>
      <c r="H269" s="21">
        <v>119.6</v>
      </c>
      <c r="I269" s="19">
        <f>H269*پارامترها!$B$6</f>
        <v>8970</v>
      </c>
      <c r="J269" s="22">
        <v>63</v>
      </c>
      <c r="K269" s="21">
        <f t="shared" si="12"/>
        <v>19.163226498986507</v>
      </c>
      <c r="L269" s="21">
        <f>I269/(پارامترها!$B$5/1000000)</f>
        <v>9.2155956233626117</v>
      </c>
      <c r="M269" s="21">
        <f>K269/پارامترها!$B$7</f>
        <v>63.877421663288359</v>
      </c>
      <c r="N269" s="21">
        <v>12.65</v>
      </c>
      <c r="O269" s="21">
        <f>N269*پارامترها!$B$6*پارامترها!$B$16</f>
        <v>28.462499999999999</v>
      </c>
      <c r="P269" s="21">
        <f>O269*12/G269*100</f>
        <v>72.967670130756318</v>
      </c>
      <c r="Q269" s="21">
        <f>O269*12/(پارامترها!$B$5/1000000)*100</f>
        <v>35.090152565880715</v>
      </c>
      <c r="R269" s="3" t="str">
        <f t="shared" si="13"/>
        <v>فشار شدید</v>
      </c>
      <c r="S269" s="21">
        <f>(1-NORMSDIST((LN(O269*12*1000000/پارامترها!$B$8)-پارامترها!$B$15)/پارامترها!$B$14))*100</f>
        <v>24.952117566239718</v>
      </c>
      <c r="T269" s="21">
        <f>(1-NORMSDIST((LN(I269*1000000/5)-پارامترها!$B$15)/پارامترها!$B$14))*100</f>
        <v>13.412752663888162</v>
      </c>
      <c r="U269" s="21">
        <f>MIN(100,پارامترها!$B$9/1000000/I269*100)</f>
        <v>22.296544035674472</v>
      </c>
      <c r="V269" s="19">
        <f>MAX(0,I269-پارامترها!$B$9/1000000)</f>
        <v>6970</v>
      </c>
      <c r="W269" s="21">
        <f>V269/(G269*پارامترها!$B$7)</f>
        <v>49.634964213279815</v>
      </c>
      <c r="X269" s="21">
        <f>پارامترها!$B$12/1000000/(G269/12)*100</f>
        <v>103.25131159437584</v>
      </c>
      <c r="Y269" s="21">
        <f>ROUND(50*MIN(1,3/K269)+50*MIN(1,30/P269),1)</f>
        <v>28.4</v>
      </c>
      <c r="Z269" s="3">
        <f t="shared" si="14"/>
        <v>243</v>
      </c>
      <c r="AA269" s="19">
        <v>84</v>
      </c>
      <c r="AB269" s="19">
        <v>29</v>
      </c>
      <c r="AC269" s="3" t="s">
        <v>83</v>
      </c>
      <c r="AD269" s="3" t="s">
        <v>84</v>
      </c>
      <c r="AE269" s="3" t="s">
        <v>427</v>
      </c>
      <c r="AF269" s="23" t="s">
        <v>85</v>
      </c>
    </row>
    <row r="270" spans="1:32" x14ac:dyDescent="0.2">
      <c r="A270" s="3">
        <v>269</v>
      </c>
      <c r="B270" s="3">
        <v>17</v>
      </c>
      <c r="C270" s="3" t="s">
        <v>428</v>
      </c>
      <c r="D270" s="19">
        <v>15628</v>
      </c>
      <c r="E270" s="19">
        <f>ROUND(D270/INDEX(مناطق!$D$2:$D$23,B270),0)</f>
        <v>5055</v>
      </c>
      <c r="F270" s="20">
        <v>0.47370000000000001</v>
      </c>
      <c r="G270" s="19">
        <f>پارامترها!$B$5*F270/1000000</f>
        <v>461.07589500000006</v>
      </c>
      <c r="H270" s="21">
        <v>117.9</v>
      </c>
      <c r="I270" s="19">
        <f>H270*پارامترها!$B$6</f>
        <v>8842.5</v>
      </c>
      <c r="J270" s="22">
        <v>65</v>
      </c>
      <c r="K270" s="21">
        <f t="shared" si="12"/>
        <v>19.177970689619329</v>
      </c>
      <c r="L270" s="21">
        <f>I270/(پارامترها!$B$5/1000000)</f>
        <v>9.0846047156726755</v>
      </c>
      <c r="M270" s="21">
        <f>K270/پارامترها!$B$7</f>
        <v>63.926568965397763</v>
      </c>
      <c r="N270" s="21">
        <v>12.83</v>
      </c>
      <c r="O270" s="21">
        <f>N270*پارامترها!$B$6*پارامترها!$B$16</f>
        <v>28.8675</v>
      </c>
      <c r="P270" s="21">
        <f>O270*12/G270*100</f>
        <v>75.130798152004871</v>
      </c>
      <c r="Q270" s="21">
        <f>O270*12/(پارامترها!$B$5/1000000)*100</f>
        <v>35.589459084604705</v>
      </c>
      <c r="R270" s="3" t="str">
        <f t="shared" si="13"/>
        <v>فشار شدید</v>
      </c>
      <c r="S270" s="21">
        <f>(1-NORMSDIST((LN(O270*12*1000000/پارامترها!$B$8)-پارامترها!$B$15)/پارامترها!$B$14))*100</f>
        <v>24.528841681851098</v>
      </c>
      <c r="T270" s="21">
        <f>(1-NORMSDIST((LN(I270*1000000/5)-پارامترها!$B$15)/پارامترها!$B$14))*100</f>
        <v>13.708316387884079</v>
      </c>
      <c r="U270" s="21">
        <f>MIN(100,پارامترها!$B$9/1000000/I270*100)</f>
        <v>22.618037885213457</v>
      </c>
      <c r="V270" s="19">
        <f>MAX(0,I270-پارامترها!$B$9/1000000)</f>
        <v>6842.5</v>
      </c>
      <c r="W270" s="21">
        <f>V270/(G270*پارامترها!$B$7)</f>
        <v>49.467633378086987</v>
      </c>
      <c r="X270" s="21">
        <f>پارامترها!$B$12/1000000/(G270/12)*100</f>
        <v>104.82067921835623</v>
      </c>
      <c r="Y270" s="21">
        <f>ROUND(50*MIN(1,3/K270)+50*MIN(1,30/P270),1)</f>
        <v>27.8</v>
      </c>
      <c r="Z270" s="3">
        <f t="shared" si="14"/>
        <v>266</v>
      </c>
      <c r="AA270" s="19">
        <v>88</v>
      </c>
      <c r="AB270" s="19">
        <v>48</v>
      </c>
      <c r="AC270" s="3" t="s">
        <v>83</v>
      </c>
      <c r="AD270" s="3" t="s">
        <v>84</v>
      </c>
      <c r="AE270" s="3" t="s">
        <v>428</v>
      </c>
      <c r="AF270" s="23" t="s">
        <v>85</v>
      </c>
    </row>
    <row r="271" spans="1:32" x14ac:dyDescent="0.2">
      <c r="A271" s="3">
        <v>270</v>
      </c>
      <c r="B271" s="3">
        <v>17</v>
      </c>
      <c r="C271" s="3" t="s">
        <v>429</v>
      </c>
      <c r="D271" s="19">
        <v>25792</v>
      </c>
      <c r="E271" s="19">
        <f>ROUND(D271/INDEX(مناطق!$D$2:$D$23,B271),0)</f>
        <v>8342</v>
      </c>
      <c r="F271" s="20">
        <v>0.47170000000000001</v>
      </c>
      <c r="G271" s="19">
        <f>پارامترها!$B$5*F271/1000000</f>
        <v>459.12919500000004</v>
      </c>
      <c r="H271" s="21">
        <v>117.4</v>
      </c>
      <c r="I271" s="19">
        <f>H271*پارامترها!$B$6</f>
        <v>8805</v>
      </c>
      <c r="J271" s="22">
        <v>67</v>
      </c>
      <c r="K271" s="21">
        <f t="shared" si="12"/>
        <v>19.17760860317323</v>
      </c>
      <c r="L271" s="21">
        <f>I271/(پارامترها!$B$5/1000000)</f>
        <v>9.046077978116811</v>
      </c>
      <c r="M271" s="21">
        <f>K271/پارامترها!$B$7</f>
        <v>63.925362010577437</v>
      </c>
      <c r="N271" s="21">
        <v>13.84</v>
      </c>
      <c r="O271" s="21">
        <f>N271*پارامترها!$B$6*پارامترها!$B$16</f>
        <v>31.14</v>
      </c>
      <c r="P271" s="21">
        <f>O271*12/G271*100</f>
        <v>81.388856136669759</v>
      </c>
      <c r="Q271" s="21">
        <f>O271*12/(پارامترها!$B$5/1000000)*100</f>
        <v>38.391123439667126</v>
      </c>
      <c r="R271" s="3" t="str">
        <f t="shared" si="13"/>
        <v>فشار شدید</v>
      </c>
      <c r="S271" s="21">
        <f>(1-NORMSDIST((LN(O271*12*1000000/پارامترها!$B$8)-پارامترها!$B$15)/پارامترها!$B$14))*100</f>
        <v>22.326030236362836</v>
      </c>
      <c r="T271" s="21">
        <f>(1-NORMSDIST((LN(I271*1000000/5)-پارامترها!$B$15)/پارامترها!$B$14))*100</f>
        <v>13.796908479067415</v>
      </c>
      <c r="U271" s="21">
        <f>MIN(100,پارامترها!$B$9/1000000/I271*100)</f>
        <v>22.714366837024418</v>
      </c>
      <c r="V271" s="19">
        <f>MAX(0,I271-پارامترها!$B$9/1000000)</f>
        <v>6805</v>
      </c>
      <c r="W271" s="21">
        <f>V271/(G271*پارامترها!$B$7)</f>
        <v>49.405120781599024</v>
      </c>
      <c r="X271" s="21">
        <f>پارامترها!$B$12/1000000/(G271/12)*100</f>
        <v>105.26511712049044</v>
      </c>
      <c r="Y271" s="21">
        <f>ROUND(50*MIN(1,3/K271)+50*MIN(1,30/P271),1)</f>
        <v>26.3</v>
      </c>
      <c r="Z271" s="3">
        <f t="shared" si="14"/>
        <v>305</v>
      </c>
      <c r="AA271" s="19">
        <v>73</v>
      </c>
      <c r="AB271" s="19">
        <v>10</v>
      </c>
      <c r="AC271" s="3" t="s">
        <v>83</v>
      </c>
      <c r="AD271" s="3" t="s">
        <v>84</v>
      </c>
      <c r="AE271" s="3" t="s">
        <v>430</v>
      </c>
      <c r="AF271" s="23" t="s">
        <v>90</v>
      </c>
    </row>
    <row r="272" spans="1:32" x14ac:dyDescent="0.2">
      <c r="A272" s="3">
        <v>271</v>
      </c>
      <c r="B272" s="3">
        <v>17</v>
      </c>
      <c r="C272" s="3" t="s">
        <v>431</v>
      </c>
      <c r="D272" s="19">
        <v>14553</v>
      </c>
      <c r="E272" s="19">
        <f>ROUND(D272/INDEX(مناطق!$D$2:$D$23,B272),0)</f>
        <v>4707</v>
      </c>
      <c r="F272" s="20">
        <v>0.45860000000000001</v>
      </c>
      <c r="G272" s="19">
        <f>پارامترها!$B$5*F272/1000000</f>
        <v>446.37831000000006</v>
      </c>
      <c r="H272" s="21">
        <v>114.2</v>
      </c>
      <c r="I272" s="19">
        <f>H272*پارامترها!$B$6</f>
        <v>8565</v>
      </c>
      <c r="J272" s="22">
        <v>63</v>
      </c>
      <c r="K272" s="21">
        <f t="shared" si="12"/>
        <v>19.187760265502146</v>
      </c>
      <c r="L272" s="21">
        <f>I272/(پارامترها!$B$5/1000000)</f>
        <v>8.7995068577592832</v>
      </c>
      <c r="M272" s="21">
        <f>K272/پارامترها!$B$7</f>
        <v>63.959200885007157</v>
      </c>
      <c r="N272" s="21">
        <v>14.13</v>
      </c>
      <c r="O272" s="21">
        <f>N272*پارامترها!$B$6*پارامترها!$B$16</f>
        <v>31.7925</v>
      </c>
      <c r="P272" s="21">
        <f>O272*12/G272*100</f>
        <v>85.4678624505747</v>
      </c>
      <c r="Q272" s="21">
        <f>O272*12/(پارامترها!$B$5/1000000)*100</f>
        <v>39.195561719833563</v>
      </c>
      <c r="R272" s="3" t="str">
        <f t="shared" si="13"/>
        <v>فشار شدید</v>
      </c>
      <c r="S272" s="21">
        <f>(1-NORMSDIST((LN(O272*12*1000000/پارامترها!$B$8)-پارامترها!$B$15)/پارامترها!$B$14))*100</f>
        <v>21.743432541924633</v>
      </c>
      <c r="T272" s="21">
        <f>(1-NORMSDIST((LN(I272*1000000/5)-پارامترها!$B$15)/پارامترها!$B$14))*100</f>
        <v>14.382509823054402</v>
      </c>
      <c r="U272" s="21">
        <f>MIN(100,پارامترها!$B$9/1000000/I272*100)</f>
        <v>23.350846468184471</v>
      </c>
      <c r="V272" s="19">
        <f>MAX(0,I272-پارامترها!$B$9/1000000)</f>
        <v>6565</v>
      </c>
      <c r="W272" s="21">
        <f>V272/(G272*پارامترها!$B$7)</f>
        <v>49.024186084071445</v>
      </c>
      <c r="X272" s="21">
        <f>پارامترها!$B$12/1000000/(G272/12)*100</f>
        <v>108.2720360787949</v>
      </c>
      <c r="Y272" s="21">
        <f>ROUND(50*MIN(1,3/K272)+50*MIN(1,30/P272),1)</f>
        <v>25.4</v>
      </c>
      <c r="Z272" s="3">
        <f t="shared" si="14"/>
        <v>326</v>
      </c>
      <c r="AA272" s="19">
        <v>89</v>
      </c>
      <c r="AB272" s="19">
        <v>23</v>
      </c>
      <c r="AC272" s="3" t="s">
        <v>83</v>
      </c>
      <c r="AD272" s="3" t="s">
        <v>84</v>
      </c>
      <c r="AE272" s="3" t="s">
        <v>431</v>
      </c>
      <c r="AF272" s="23" t="s">
        <v>85</v>
      </c>
    </row>
    <row r="273" spans="1:32" x14ac:dyDescent="0.2">
      <c r="A273" s="3">
        <v>272</v>
      </c>
      <c r="B273" s="3">
        <v>17</v>
      </c>
      <c r="C273" s="3" t="s">
        <v>432</v>
      </c>
      <c r="D273" s="19">
        <v>10860</v>
      </c>
      <c r="E273" s="19">
        <f>ROUND(D273/INDEX(مناطق!$D$2:$D$23,B273),0)</f>
        <v>3513</v>
      </c>
      <c r="F273" s="20">
        <v>0.43319999999999997</v>
      </c>
      <c r="G273" s="19">
        <f>پارامترها!$B$5*F273/1000000</f>
        <v>421.65521999999999</v>
      </c>
      <c r="H273" s="21">
        <v>108.1</v>
      </c>
      <c r="I273" s="19">
        <f>H273*پارامترها!$B$6</f>
        <v>8107.5</v>
      </c>
      <c r="J273" s="22">
        <v>66</v>
      </c>
      <c r="K273" s="21">
        <f t="shared" si="12"/>
        <v>19.227794689699323</v>
      </c>
      <c r="L273" s="21">
        <f>I273/(پارامترها!$B$5/1000000)</f>
        <v>8.3294806595777455</v>
      </c>
      <c r="M273" s="21">
        <f>K273/پارامترها!$B$7</f>
        <v>64.092648965664409</v>
      </c>
      <c r="N273" s="21">
        <v>11.88</v>
      </c>
      <c r="O273" s="21">
        <f>N273*پارامترها!$B$6*پارامترها!$B$16</f>
        <v>26.730000000000004</v>
      </c>
      <c r="P273" s="21">
        <f>O273*12/G273*100</f>
        <v>76.071630276508856</v>
      </c>
      <c r="Q273" s="21">
        <f>O273*12/(پارامترها!$B$5/1000000)*100</f>
        <v>32.954230235783633</v>
      </c>
      <c r="R273" s="3" t="str">
        <f t="shared" si="13"/>
        <v>فشار شدید</v>
      </c>
      <c r="S273" s="21">
        <f>(1-NORMSDIST((LN(O273*12*1000000/پارامترها!$B$8)-پارامترها!$B$15)/پارامترها!$B$14))*100</f>
        <v>26.879492738923506</v>
      </c>
      <c r="T273" s="21">
        <f>(1-NORMSDIST((LN(I273*1000000/5)-پارامترها!$B$15)/پارامترها!$B$14))*100</f>
        <v>15.594834874779572</v>
      </c>
      <c r="U273" s="21">
        <f>MIN(100,پارامترها!$B$9/1000000/I273*100)</f>
        <v>24.668516805427075</v>
      </c>
      <c r="V273" s="19">
        <f>MAX(0,I273-پارامترها!$B$9/1000000)</f>
        <v>6107.5</v>
      </c>
      <c r="W273" s="21">
        <f>V273/(G273*پارامترها!$B$7)</f>
        <v>48.281943084526112</v>
      </c>
      <c r="X273" s="21">
        <f>پارامترها!$B$12/1000000/(G273/12)*100</f>
        <v>114.62039645829951</v>
      </c>
      <c r="Y273" s="21">
        <f>ROUND(50*MIN(1,3/K273)+50*MIN(1,30/P273),1)</f>
        <v>27.5</v>
      </c>
      <c r="Z273" s="3">
        <f t="shared" si="14"/>
        <v>273</v>
      </c>
      <c r="AA273" s="19">
        <v>88</v>
      </c>
      <c r="AB273" s="19">
        <v>22</v>
      </c>
      <c r="AC273" s="3" t="s">
        <v>83</v>
      </c>
      <c r="AD273" s="3" t="s">
        <v>84</v>
      </c>
      <c r="AE273" s="3" t="s">
        <v>432</v>
      </c>
      <c r="AF273" s="23" t="s">
        <v>85</v>
      </c>
    </row>
    <row r="274" spans="1:32" x14ac:dyDescent="0.2">
      <c r="A274" s="3">
        <v>273</v>
      </c>
      <c r="B274" s="3">
        <v>17</v>
      </c>
      <c r="C274" s="3" t="s">
        <v>433</v>
      </c>
      <c r="D274" s="19">
        <v>19359</v>
      </c>
      <c r="E274" s="19">
        <f>ROUND(D274/INDEX(مناطق!$D$2:$D$23,B274),0)</f>
        <v>6262</v>
      </c>
      <c r="F274" s="20">
        <v>0.43280000000000002</v>
      </c>
      <c r="G274" s="19">
        <f>پارامترها!$B$5*F274/1000000</f>
        <v>421.26588000000004</v>
      </c>
      <c r="H274" s="21">
        <v>108</v>
      </c>
      <c r="I274" s="19">
        <f>H274*پارامترها!$B$6</f>
        <v>8100</v>
      </c>
      <c r="J274" s="22">
        <v>60</v>
      </c>
      <c r="K274" s="21">
        <f t="shared" si="12"/>
        <v>19.22776181161408</v>
      </c>
      <c r="L274" s="21">
        <f>I274/(پارامترها!$B$5/1000000)</f>
        <v>8.3217753120665723</v>
      </c>
      <c r="M274" s="21">
        <f>K274/پارامترها!$B$7</f>
        <v>64.092539372046929</v>
      </c>
      <c r="N274" s="21">
        <v>11.51</v>
      </c>
      <c r="O274" s="21">
        <f>N274*پارامترها!$B$6*پارامترها!$B$16</f>
        <v>25.897499999999997</v>
      </c>
      <c r="P274" s="21">
        <f>O274*12/G274*100</f>
        <v>73.770512817226006</v>
      </c>
      <c r="Q274" s="21">
        <f>O274*12/(پارامترها!$B$5/1000000)*100</f>
        <v>31.927877947295418</v>
      </c>
      <c r="R274" s="3" t="str">
        <f t="shared" si="13"/>
        <v>فشار شدید</v>
      </c>
      <c r="S274" s="21">
        <f>(1-NORMSDIST((LN(O274*12*1000000/پارامترها!$B$8)-پارامترها!$B$15)/پارامترها!$B$14))*100</f>
        <v>27.878097161950766</v>
      </c>
      <c r="T274" s="21">
        <f>(1-NORMSDIST((LN(I274*1000000/5)-پارامترها!$B$15)/پارامترها!$B$14))*100</f>
        <v>15.615835315724791</v>
      </c>
      <c r="U274" s="21">
        <f>MIN(100,پارامترها!$B$9/1000000/I274*100)</f>
        <v>24.691358024691358</v>
      </c>
      <c r="V274" s="19">
        <f>MAX(0,I274-پارامترها!$B$9/1000000)</f>
        <v>6100</v>
      </c>
      <c r="W274" s="21">
        <f>V274/(G274*پارامترها!$B$7)</f>
        <v>48.267221008578552</v>
      </c>
      <c r="X274" s="21">
        <f>پارامترها!$B$12/1000000/(G274/12)*100</f>
        <v>114.7263302812739</v>
      </c>
      <c r="Y274" s="21">
        <f>ROUND(50*MIN(1,3/K274)+50*MIN(1,30/P274),1)</f>
        <v>28.1</v>
      </c>
      <c r="Z274" s="3">
        <f t="shared" si="14"/>
        <v>254</v>
      </c>
      <c r="AA274" s="19">
        <v>85</v>
      </c>
      <c r="AB274" s="19">
        <v>26</v>
      </c>
      <c r="AC274" s="3" t="s">
        <v>83</v>
      </c>
      <c r="AD274" s="3" t="s">
        <v>84</v>
      </c>
      <c r="AE274" s="3" t="s">
        <v>433</v>
      </c>
      <c r="AF274" s="23" t="s">
        <v>85</v>
      </c>
    </row>
    <row r="275" spans="1:32" x14ac:dyDescent="0.2">
      <c r="A275" s="3">
        <v>274</v>
      </c>
      <c r="B275" s="3">
        <v>17</v>
      </c>
      <c r="C275" s="3" t="s">
        <v>434</v>
      </c>
      <c r="D275" s="19">
        <v>19735</v>
      </c>
      <c r="E275" s="19">
        <f>ROUND(D275/INDEX(مناطق!$D$2:$D$23,B275),0)</f>
        <v>6383</v>
      </c>
      <c r="F275" s="20">
        <v>0.40889999999999999</v>
      </c>
      <c r="G275" s="19">
        <f>پارامترها!$B$5*F275/1000000</f>
        <v>398.00281500000006</v>
      </c>
      <c r="H275" s="21">
        <v>102.2</v>
      </c>
      <c r="I275" s="19">
        <f>H275*پارامترها!$B$6</f>
        <v>7665</v>
      </c>
      <c r="J275" s="22">
        <v>61</v>
      </c>
      <c r="K275" s="21">
        <f t="shared" si="12"/>
        <v>19.258657755975918</v>
      </c>
      <c r="L275" s="21">
        <f>I275/(پارامترها!$B$5/1000000)</f>
        <v>7.8748651564185534</v>
      </c>
      <c r="M275" s="21">
        <f>K275/پارامترها!$B$7</f>
        <v>64.195525853253059</v>
      </c>
      <c r="N275" s="21">
        <v>12.1</v>
      </c>
      <c r="O275" s="21">
        <f>N275*پارامترها!$B$6*پارامترها!$B$16</f>
        <v>27.224999999999998</v>
      </c>
      <c r="P275" s="21">
        <f>O275*12/G275*100</f>
        <v>82.084846560695794</v>
      </c>
      <c r="Q275" s="21">
        <f>O275*12/(پارامترها!$B$5/1000000)*100</f>
        <v>33.564493758668512</v>
      </c>
      <c r="R275" s="3" t="str">
        <f t="shared" si="13"/>
        <v>فشار شدید</v>
      </c>
      <c r="S275" s="21">
        <f>(1-NORMSDIST((LN(O275*12*1000000/پارامترها!$B$8)-پارامترها!$B$15)/پارامترها!$B$14))*100</f>
        <v>26.308714858299975</v>
      </c>
      <c r="T275" s="21">
        <f>(1-NORMSDIST((LN(I275*1000000/5)-پارامترها!$B$15)/پارامترها!$B$14))*100</f>
        <v>16.902045920918006</v>
      </c>
      <c r="U275" s="21">
        <f>MIN(100,پارامترها!$B$9/1000000/I275*100)</f>
        <v>26.092628832354858</v>
      </c>
      <c r="V275" s="19">
        <f>MAX(0,I275-پارامترها!$B$9/1000000)</f>
        <v>5665</v>
      </c>
      <c r="W275" s="21">
        <f>V275/(G275*پارامترها!$B$7)</f>
        <v>47.445225565385343</v>
      </c>
      <c r="X275" s="21">
        <f>پارامترها!$B$12/1000000/(G275/12)*100</f>
        <v>121.43202676873403</v>
      </c>
      <c r="Y275" s="21">
        <f>ROUND(50*MIN(1,3/K275)+50*MIN(1,30/P275),1)</f>
        <v>26.1</v>
      </c>
      <c r="Z275" s="3">
        <f t="shared" si="14"/>
        <v>306</v>
      </c>
      <c r="AA275" s="19">
        <v>84</v>
      </c>
      <c r="AB275" s="19">
        <v>19</v>
      </c>
      <c r="AC275" s="3" t="s">
        <v>83</v>
      </c>
      <c r="AD275" s="3" t="s">
        <v>84</v>
      </c>
      <c r="AE275" s="3" t="s">
        <v>434</v>
      </c>
      <c r="AF275" s="23" t="s">
        <v>90</v>
      </c>
    </row>
    <row r="276" spans="1:32" x14ac:dyDescent="0.2">
      <c r="A276" s="3">
        <v>275</v>
      </c>
      <c r="B276" s="3">
        <v>18</v>
      </c>
      <c r="C276" s="3" t="s">
        <v>435</v>
      </c>
      <c r="D276" s="19">
        <v>20071</v>
      </c>
      <c r="E276" s="19">
        <f>ROUND(D276/INDEX(مناطق!$D$2:$D$23,B276),0)</f>
        <v>6243</v>
      </c>
      <c r="F276" s="20">
        <v>0.61229999999999996</v>
      </c>
      <c r="G276" s="19">
        <f>پارامترها!$B$5*F276/1000000</f>
        <v>595.98220500000002</v>
      </c>
      <c r="H276" s="21">
        <v>145.4</v>
      </c>
      <c r="I276" s="19">
        <f>H276*پارامترها!$B$6</f>
        <v>10905</v>
      </c>
      <c r="J276" s="22">
        <v>67.5</v>
      </c>
      <c r="K276" s="21">
        <f t="shared" si="12"/>
        <v>18.297526182010753</v>
      </c>
      <c r="L276" s="21">
        <f>I276/(پارامترها!$B$5/1000000)</f>
        <v>11.203575281245183</v>
      </c>
      <c r="M276" s="21">
        <f>K276/پارامترها!$B$7</f>
        <v>60.991753940035842</v>
      </c>
      <c r="N276" s="21">
        <v>14.35</v>
      </c>
      <c r="O276" s="21">
        <f>N276*پارامترها!$B$6*پارامترها!$B$16</f>
        <v>32.287500000000001</v>
      </c>
      <c r="P276" s="21">
        <f>O276*12/G276*100</f>
        <v>65.010330300046462</v>
      </c>
      <c r="Q276" s="21">
        <f>O276*12/(پارامترها!$B$5/1000000)*100</f>
        <v>39.805825242718448</v>
      </c>
      <c r="R276" s="3" t="str">
        <f t="shared" si="13"/>
        <v>فشار شدید</v>
      </c>
      <c r="S276" s="21">
        <f>(1-NORMSDIST((LN(O276*12*1000000/پارامترها!$B$8)-پارامترها!$B$15)/پارامترها!$B$14))*100</f>
        <v>21.315147798317057</v>
      </c>
      <c r="T276" s="21">
        <f>(1-NORMSDIST((LN(I276*1000000/5)-پارامترها!$B$15)/پارامترها!$B$14))*100</f>
        <v>9.8131939734758866</v>
      </c>
      <c r="U276" s="21">
        <f>MIN(100,پارامترها!$B$9/1000000/I276*100)</f>
        <v>18.340210912425491</v>
      </c>
      <c r="V276" s="19">
        <f>MAX(0,I276-پارامترها!$B$9/1000000)</f>
        <v>8905</v>
      </c>
      <c r="W276" s="21">
        <f>V276/(G276*پارامترها!$B$7)</f>
        <v>49.805737628245687</v>
      </c>
      <c r="X276" s="21">
        <f>پارامترها!$B$12/1000000/(G276/12)*100</f>
        <v>81.093509302197191</v>
      </c>
      <c r="Y276" s="21">
        <f>ROUND(50*MIN(1,3/K276)+50*MIN(1,30/P276),1)</f>
        <v>31.3</v>
      </c>
      <c r="Z276" s="3">
        <f t="shared" si="14"/>
        <v>92</v>
      </c>
      <c r="AA276" s="19">
        <v>86</v>
      </c>
      <c r="AB276" s="19">
        <v>67</v>
      </c>
      <c r="AC276" s="3" t="s">
        <v>83</v>
      </c>
      <c r="AD276" s="3" t="s">
        <v>84</v>
      </c>
      <c r="AE276" s="3" t="s">
        <v>435</v>
      </c>
      <c r="AF276" s="23" t="s">
        <v>85</v>
      </c>
    </row>
    <row r="277" spans="1:32" x14ac:dyDescent="0.2">
      <c r="A277" s="3">
        <v>276</v>
      </c>
      <c r="B277" s="3">
        <v>18</v>
      </c>
      <c r="C277" s="3" t="s">
        <v>436</v>
      </c>
      <c r="D277" s="19">
        <v>26965</v>
      </c>
      <c r="E277" s="19">
        <f>ROUND(D277/INDEX(مناطق!$D$2:$D$23,B277),0)</f>
        <v>8387</v>
      </c>
      <c r="F277" s="20">
        <v>0.60960000000000003</v>
      </c>
      <c r="G277" s="19">
        <f>پارامترها!$B$5*F277/1000000</f>
        <v>593.35416000000009</v>
      </c>
      <c r="H277" s="21">
        <v>144.80000000000001</v>
      </c>
      <c r="I277" s="19">
        <f>H277*پارامترها!$B$6</f>
        <v>10860</v>
      </c>
      <c r="J277" s="22">
        <v>71.5</v>
      </c>
      <c r="K277" s="21">
        <f t="shared" si="12"/>
        <v>18.302728340187247</v>
      </c>
      <c r="L277" s="21">
        <f>I277/(پارامترها!$B$5/1000000)</f>
        <v>11.157343196178147</v>
      </c>
      <c r="M277" s="21">
        <f>K277/پارامترها!$B$7</f>
        <v>61.009094467290829</v>
      </c>
      <c r="N277" s="21">
        <v>13.8</v>
      </c>
      <c r="O277" s="21">
        <f>N277*پارامترها!$B$6*پارامترها!$B$16</f>
        <v>31.049999999999997</v>
      </c>
      <c r="P277" s="21">
        <f>O277*12/G277*100</f>
        <v>62.795548614675582</v>
      </c>
      <c r="Q277" s="21">
        <f>O277*12/(پارامترها!$B$5/1000000)*100</f>
        <v>38.280166435506231</v>
      </c>
      <c r="R277" s="3" t="str">
        <f t="shared" si="13"/>
        <v>فشار شدید</v>
      </c>
      <c r="S277" s="21">
        <f>(1-NORMSDIST((LN(O277*12*1000000/پارامترها!$B$8)-پارامترها!$B$15)/پارامترها!$B$14))*100</f>
        <v>22.408045831921577</v>
      </c>
      <c r="T277" s="21">
        <f>(1-NORMSDIST((LN(I277*1000000/5)-پارامترها!$B$15)/پارامترها!$B$14))*100</f>
        <v>9.8812204160004686</v>
      </c>
      <c r="U277" s="21">
        <f>MIN(100,پارامترها!$B$9/1000000/I277*100)</f>
        <v>18.41620626151013</v>
      </c>
      <c r="V277" s="19">
        <f>MAX(0,I277-پارامترها!$B$9/1000000)</f>
        <v>8860</v>
      </c>
      <c r="W277" s="21">
        <f>V277/(G277*پارامترها!$B$7)</f>
        <v>49.773533791914979</v>
      </c>
      <c r="X277" s="21">
        <f>پارامترها!$B$12/1000000/(G277/12)*100</f>
        <v>81.452683309933306</v>
      </c>
      <c r="Y277" s="21">
        <f>ROUND(50*MIN(1,3/K277)+50*MIN(1,30/P277),1)</f>
        <v>32.1</v>
      </c>
      <c r="Z277" s="3">
        <f t="shared" si="14"/>
        <v>58</v>
      </c>
      <c r="AA277" s="19">
        <v>84</v>
      </c>
      <c r="AB277" s="19">
        <v>49</v>
      </c>
      <c r="AC277" s="3" t="s">
        <v>83</v>
      </c>
      <c r="AD277" s="3" t="s">
        <v>84</v>
      </c>
      <c r="AE277" s="3" t="s">
        <v>436</v>
      </c>
      <c r="AF277" s="23" t="s">
        <v>85</v>
      </c>
    </row>
    <row r="278" spans="1:32" ht="16.5" x14ac:dyDescent="0.3">
      <c r="A278" s="3">
        <v>277</v>
      </c>
      <c r="B278" s="3">
        <v>18</v>
      </c>
      <c r="C278" s="3" t="s">
        <v>437</v>
      </c>
      <c r="D278" s="19">
        <v>34720</v>
      </c>
      <c r="E278" s="19">
        <f>ROUND(D278/INDEX(مناطق!$D$2:$D$23,B278),0)</f>
        <v>10799</v>
      </c>
      <c r="F278" s="20">
        <v>0.55469999999999997</v>
      </c>
      <c r="G278" s="19">
        <f>پارامترها!$B$5*F278/1000000</f>
        <v>539.91724499999998</v>
      </c>
      <c r="H278" s="21">
        <v>132.19999999999999</v>
      </c>
      <c r="I278" s="19">
        <f>H278*پارامترها!$B$6</f>
        <v>9915</v>
      </c>
      <c r="J278" s="22">
        <v>64.5</v>
      </c>
      <c r="K278" s="21">
        <f t="shared" si="12"/>
        <v>18.363925382676008</v>
      </c>
      <c r="L278" s="21">
        <f>I278/(پارامترها!$B$5/1000000)</f>
        <v>10.18646940977038</v>
      </c>
      <c r="M278" s="21">
        <f>K278/پارامترها!$B$7</f>
        <v>61.213084608920028</v>
      </c>
      <c r="N278" s="21">
        <v>13.25</v>
      </c>
      <c r="O278" s="21">
        <f>N278*پارامترها!$B$6*پارامترها!$B$16</f>
        <v>29.8125</v>
      </c>
      <c r="P278" s="21">
        <f>O278*12/G278*100</f>
        <v>66.260154368656998</v>
      </c>
      <c r="Q278" s="21">
        <f>O278*12/(پارامترها!$B$5/1000000)*100</f>
        <v>36.754507628294029</v>
      </c>
      <c r="R278" s="3" t="str">
        <f t="shared" si="13"/>
        <v>فشار شدید</v>
      </c>
      <c r="S278" s="21">
        <f>(1-NORMSDIST((LN(O278*12*1000000/پارامترها!$B$8)-پارامترها!$B$15)/پارامترها!$B$14))*100</f>
        <v>23.578459267441644</v>
      </c>
      <c r="T278" s="21">
        <f>(1-NORMSDIST((LN(I278*1000000/5)-پارامترها!$B$15)/پارامترها!$B$14))*100</f>
        <v>11.467302233932685</v>
      </c>
      <c r="U278" s="21">
        <f>MIN(100,پارامترها!$B$9/1000000/I278*100)</f>
        <v>20.17145738779627</v>
      </c>
      <c r="V278" s="19">
        <f>MAX(0,I278-پارامترها!$B$9/1000000)</f>
        <v>7915</v>
      </c>
      <c r="W278" s="21">
        <f>V278/(G278*پارامترها!$B$7)</f>
        <v>48.865513331276048</v>
      </c>
      <c r="X278" s="21">
        <f>پارامترها!$B$12/1000000/(G278/12)*100</f>
        <v>89.514252290851545</v>
      </c>
      <c r="Y278" s="21">
        <f>ROUND(50*MIN(1,3/K278)+50*MIN(1,30/P278),1)</f>
        <v>30.8</v>
      </c>
      <c r="Z278" s="3">
        <f t="shared" si="14"/>
        <v>113</v>
      </c>
      <c r="AA278" s="19">
        <v>91</v>
      </c>
      <c r="AB278" s="19">
        <v>82</v>
      </c>
      <c r="AC278" s="3" t="s">
        <v>83</v>
      </c>
      <c r="AD278" s="3" t="s">
        <v>93</v>
      </c>
      <c r="AE278" s="3" t="s">
        <v>438</v>
      </c>
      <c r="AF278" s="23" t="s">
        <v>85</v>
      </c>
    </row>
    <row r="279" spans="1:32" ht="16.5" x14ac:dyDescent="0.3">
      <c r="A279" s="3">
        <v>278</v>
      </c>
      <c r="B279" s="3">
        <v>18</v>
      </c>
      <c r="C279" s="3" t="s">
        <v>439</v>
      </c>
      <c r="D279" s="19">
        <v>31007</v>
      </c>
      <c r="E279" s="19">
        <f>ROUND(D279/INDEX(مناطق!$D$2:$D$23,B279),0)</f>
        <v>9645</v>
      </c>
      <c r="F279" s="20">
        <v>0.55469999999999997</v>
      </c>
      <c r="G279" s="19">
        <f>پارامترها!$B$5*F279/1000000</f>
        <v>539.91724499999998</v>
      </c>
      <c r="H279" s="21">
        <v>132.19999999999999</v>
      </c>
      <c r="I279" s="19">
        <f>H279*پارامترها!$B$6</f>
        <v>9915</v>
      </c>
      <c r="J279" s="22">
        <v>64.5</v>
      </c>
      <c r="K279" s="21">
        <f t="shared" si="12"/>
        <v>18.363925382676008</v>
      </c>
      <c r="L279" s="21">
        <f>I279/(پارامترها!$B$5/1000000)</f>
        <v>10.18646940977038</v>
      </c>
      <c r="M279" s="21">
        <f>K279/پارامترها!$B$7</f>
        <v>61.213084608920028</v>
      </c>
      <c r="N279" s="21">
        <v>13.25</v>
      </c>
      <c r="O279" s="21">
        <f>N279*پارامترها!$B$6*پارامترها!$B$16</f>
        <v>29.8125</v>
      </c>
      <c r="P279" s="21">
        <f>O279*12/G279*100</f>
        <v>66.260154368656998</v>
      </c>
      <c r="Q279" s="21">
        <f>O279*12/(پارامترها!$B$5/1000000)*100</f>
        <v>36.754507628294029</v>
      </c>
      <c r="R279" s="3" t="str">
        <f t="shared" si="13"/>
        <v>فشار شدید</v>
      </c>
      <c r="S279" s="21">
        <f>(1-NORMSDIST((LN(O279*12*1000000/پارامترها!$B$8)-پارامترها!$B$15)/پارامترها!$B$14))*100</f>
        <v>23.578459267441644</v>
      </c>
      <c r="T279" s="21">
        <f>(1-NORMSDIST((LN(I279*1000000/5)-پارامترها!$B$15)/پارامترها!$B$14))*100</f>
        <v>11.467302233932685</v>
      </c>
      <c r="U279" s="21">
        <f>MIN(100,پارامترها!$B$9/1000000/I279*100)</f>
        <v>20.17145738779627</v>
      </c>
      <c r="V279" s="19">
        <f>MAX(0,I279-پارامترها!$B$9/1000000)</f>
        <v>7915</v>
      </c>
      <c r="W279" s="21">
        <f>V279/(G279*پارامترها!$B$7)</f>
        <v>48.865513331276048</v>
      </c>
      <c r="X279" s="21">
        <f>پارامترها!$B$12/1000000/(G279/12)*100</f>
        <v>89.514252290851545</v>
      </c>
      <c r="Y279" s="21">
        <f>ROUND(50*MIN(1,3/K279)+50*MIN(1,30/P279),1)</f>
        <v>30.8</v>
      </c>
      <c r="Z279" s="3">
        <f t="shared" si="14"/>
        <v>113</v>
      </c>
      <c r="AA279" s="19">
        <v>91</v>
      </c>
      <c r="AB279" s="19">
        <v>82</v>
      </c>
      <c r="AC279" s="3" t="s">
        <v>83</v>
      </c>
      <c r="AD279" s="3" t="s">
        <v>93</v>
      </c>
      <c r="AE279" s="3" t="s">
        <v>438</v>
      </c>
      <c r="AF279" s="23" t="s">
        <v>85</v>
      </c>
    </row>
    <row r="280" spans="1:32" ht="16.5" x14ac:dyDescent="0.3">
      <c r="A280" s="3">
        <v>279</v>
      </c>
      <c r="B280" s="3">
        <v>18</v>
      </c>
      <c r="C280" s="3" t="s">
        <v>207</v>
      </c>
      <c r="D280" s="19">
        <v>34739</v>
      </c>
      <c r="E280" s="19">
        <f>ROUND(D280/INDEX(مناطق!$D$2:$D$23,B280),0)</f>
        <v>10805</v>
      </c>
      <c r="F280" s="20">
        <v>0.54290000000000005</v>
      </c>
      <c r="G280" s="19">
        <f>پارامترها!$B$5*F280/1000000</f>
        <v>528.43171500000017</v>
      </c>
      <c r="H280" s="21">
        <v>129.5</v>
      </c>
      <c r="I280" s="19">
        <f>H280*پارامترها!$B$6</f>
        <v>9712.5</v>
      </c>
      <c r="J280" s="22">
        <v>62</v>
      </c>
      <c r="K280" s="21">
        <f t="shared" si="12"/>
        <v>18.3798582187672</v>
      </c>
      <c r="L280" s="21">
        <f>I280/(پارامترها!$B$5/1000000)</f>
        <v>9.9784250269687149</v>
      </c>
      <c r="M280" s="21">
        <f>K280/پارامترها!$B$7</f>
        <v>61.266194062557339</v>
      </c>
      <c r="N280" s="21">
        <v>13.36</v>
      </c>
      <c r="O280" s="21">
        <f>N280*پارامترها!$B$6*پارامترها!$B$16</f>
        <v>30.06</v>
      </c>
      <c r="P280" s="21">
        <f>O280*12/G280*100</f>
        <v>68.262367636280104</v>
      </c>
      <c r="Q280" s="21">
        <f>O280*12/(پارامترها!$B$5/1000000)*100</f>
        <v>37.059639389736468</v>
      </c>
      <c r="R280" s="3" t="str">
        <f t="shared" si="13"/>
        <v>فشار شدید</v>
      </c>
      <c r="S280" s="21">
        <f>(1-NORMSDIST((LN(O280*12*1000000/پارامترها!$B$8)-پارامترها!$B$15)/پارامترها!$B$14))*100</f>
        <v>23.337842658458385</v>
      </c>
      <c r="T280" s="21">
        <f>(1-NORMSDIST((LN(I280*1000000/5)-پارامترها!$B$15)/پارامترها!$B$14))*100</f>
        <v>11.8507057686843</v>
      </c>
      <c r="U280" s="21">
        <f>MIN(100,پارامترها!$B$9/1000000/I280*100)</f>
        <v>20.592020592020592</v>
      </c>
      <c r="V280" s="19">
        <f>MAX(0,I280-پارامترها!$B$9/1000000)</f>
        <v>7712.5</v>
      </c>
      <c r="W280" s="21">
        <f>V280/(G280*پارامترها!$B$7)</f>
        <v>48.650246765248234</v>
      </c>
      <c r="X280" s="21">
        <f>پارامترها!$B$12/1000000/(G280/12)*100</f>
        <v>91.459855858786767</v>
      </c>
      <c r="Y280" s="21">
        <f>ROUND(50*MIN(1,3/K280)+50*MIN(1,30/P280),1)</f>
        <v>30.1</v>
      </c>
      <c r="Z280" s="3">
        <f t="shared" si="14"/>
        <v>158</v>
      </c>
      <c r="AA280" s="19">
        <v>85</v>
      </c>
      <c r="AB280" s="19">
        <v>70</v>
      </c>
      <c r="AC280" s="3" t="s">
        <v>83</v>
      </c>
      <c r="AD280" s="3" t="s">
        <v>93</v>
      </c>
      <c r="AE280" s="3" t="s">
        <v>440</v>
      </c>
      <c r="AF280" s="23" t="s">
        <v>85</v>
      </c>
    </row>
    <row r="281" spans="1:32" x14ac:dyDescent="0.2">
      <c r="A281" s="3">
        <v>280</v>
      </c>
      <c r="B281" s="3">
        <v>18</v>
      </c>
      <c r="C281" s="3" t="s">
        <v>441</v>
      </c>
      <c r="D281" s="19">
        <v>35697</v>
      </c>
      <c r="E281" s="19">
        <f>ROUND(D281/INDEX(مناطق!$D$2:$D$23,B281),0)</f>
        <v>11103</v>
      </c>
      <c r="F281" s="20">
        <v>0.52669999999999995</v>
      </c>
      <c r="G281" s="19">
        <f>پارامترها!$B$5*F281/1000000</f>
        <v>512.66344500000002</v>
      </c>
      <c r="H281" s="21">
        <v>125.7</v>
      </c>
      <c r="I281" s="19">
        <f>H281*پارامترها!$B$6</f>
        <v>9427.5</v>
      </c>
      <c r="J281" s="22">
        <v>65</v>
      </c>
      <c r="K281" s="21">
        <f t="shared" si="12"/>
        <v>18.389257303102621</v>
      </c>
      <c r="L281" s="21">
        <f>I281/(پارامترها!$B$5/1000000)</f>
        <v>9.6856218215441494</v>
      </c>
      <c r="M281" s="21">
        <f>K281/پارامترها!$B$7</f>
        <v>61.297524343675406</v>
      </c>
      <c r="N281" s="21">
        <v>12.46</v>
      </c>
      <c r="O281" s="21">
        <f>N281*پارامترها!$B$6*پارامترها!$B$16</f>
        <v>28.035000000000004</v>
      </c>
      <c r="P281" s="21">
        <f>O281*12/G281*100</f>
        <v>65.621998853458336</v>
      </c>
      <c r="Q281" s="21">
        <f>O281*12/(پارامترها!$B$5/1000000)*100</f>
        <v>34.563106796116507</v>
      </c>
      <c r="R281" s="3" t="str">
        <f t="shared" si="13"/>
        <v>فشار شدید</v>
      </c>
      <c r="S281" s="21">
        <f>(1-NORMSDIST((LN(O281*12*1000000/پارامترها!$B$8)-پارامترها!$B$15)/پارامترها!$B$14))*100</f>
        <v>25.409762639779167</v>
      </c>
      <c r="T281" s="21">
        <f>(1-NORMSDIST((LN(I281*1000000/5)-پارامترها!$B$15)/پارامترها!$B$14))*100</f>
        <v>12.419910303740078</v>
      </c>
      <c r="U281" s="21">
        <f>MIN(100,پارامترها!$B$9/1000000/I281*100)</f>
        <v>21.214531954388757</v>
      </c>
      <c r="V281" s="19">
        <f>MAX(0,I281-پارامترها!$B$9/1000000)</f>
        <v>7427.5</v>
      </c>
      <c r="W281" s="21">
        <f>V281/(G281*پارامترها!$B$7)</f>
        <v>48.293541454537163</v>
      </c>
      <c r="X281" s="21">
        <f>پارامترها!$B$12/1000000/(G281/12)*100</f>
        <v>94.27293667312577</v>
      </c>
      <c r="Y281" s="21">
        <f>ROUND(50*MIN(1,3/K281)+50*MIN(1,30/P281),1)</f>
        <v>31</v>
      </c>
      <c r="Z281" s="3">
        <f t="shared" si="14"/>
        <v>103</v>
      </c>
      <c r="AA281" s="19">
        <v>75</v>
      </c>
      <c r="AB281" s="19">
        <v>32</v>
      </c>
      <c r="AC281" s="3" t="s">
        <v>83</v>
      </c>
      <c r="AD281" s="3" t="s">
        <v>84</v>
      </c>
      <c r="AE281" s="3" t="s">
        <v>441</v>
      </c>
      <c r="AF281" s="23" t="s">
        <v>85</v>
      </c>
    </row>
    <row r="282" spans="1:32" x14ac:dyDescent="0.2">
      <c r="A282" s="3">
        <v>281</v>
      </c>
      <c r="B282" s="3">
        <v>18</v>
      </c>
      <c r="C282" s="3" t="s">
        <v>442</v>
      </c>
      <c r="D282" s="19">
        <v>10188</v>
      </c>
      <c r="E282" s="19">
        <f>ROUND(D282/INDEX(مناطق!$D$2:$D$23,B282),0)</f>
        <v>3169</v>
      </c>
      <c r="F282" s="20">
        <v>0.504</v>
      </c>
      <c r="G282" s="19">
        <f>پارامترها!$B$5*F282/1000000</f>
        <v>490.56840000000005</v>
      </c>
      <c r="H282" s="21">
        <v>120.5</v>
      </c>
      <c r="I282" s="19">
        <f>H282*پارامترها!$B$6</f>
        <v>9037.5</v>
      </c>
      <c r="J282" s="22">
        <v>73</v>
      </c>
      <c r="K282" s="21">
        <f t="shared" si="12"/>
        <v>18.422507442387236</v>
      </c>
      <c r="L282" s="21">
        <f>I282/(پارامترها!$B$5/1000000)</f>
        <v>9.2849437509631674</v>
      </c>
      <c r="M282" s="21">
        <f>K282/پارامترها!$B$7</f>
        <v>61.40835814129079</v>
      </c>
      <c r="N282" s="21">
        <v>11.67</v>
      </c>
      <c r="O282" s="21">
        <f>N282*پارامترها!$B$6*پارامترها!$B$16</f>
        <v>26.2575</v>
      </c>
      <c r="P282" s="21">
        <f>O282*12/G282*100</f>
        <v>64.229575325275746</v>
      </c>
      <c r="Q282" s="21">
        <f>O282*12/(پارامترها!$B$5/1000000)*100</f>
        <v>32.371705963938972</v>
      </c>
      <c r="R282" s="3" t="str">
        <f t="shared" si="13"/>
        <v>فشار شدید</v>
      </c>
      <c r="S282" s="21">
        <f>(1-NORMSDIST((LN(O282*12*1000000/پارامترها!$B$8)-پارامترها!$B$15)/پارامترها!$B$14))*100</f>
        <v>27.440171596627174</v>
      </c>
      <c r="T282" s="21">
        <f>(1-NORMSDIST((LN(I282*1000000/5)-پارامترها!$B$15)/پارامترها!$B$14))*100</f>
        <v>13.259733317968392</v>
      </c>
      <c r="U282" s="21">
        <f>MIN(100,پارامترها!$B$9/1000000/I282*100)</f>
        <v>22.130013831258644</v>
      </c>
      <c r="V282" s="19">
        <f>MAX(0,I282-پارامترها!$B$9/1000000)</f>
        <v>7037.5</v>
      </c>
      <c r="W282" s="21">
        <f>V282/(G282*پارامترها!$B$7)</f>
        <v>47.818679991074298</v>
      </c>
      <c r="X282" s="21">
        <f>پارامترها!$B$12/1000000/(G282/12)*100</f>
        <v>98.518959812966941</v>
      </c>
      <c r="Y282" s="21">
        <f>ROUND(50*MIN(1,3/K282)+50*MIN(1,30/P282),1)</f>
        <v>31.5</v>
      </c>
      <c r="Z282" s="3">
        <f t="shared" si="14"/>
        <v>85</v>
      </c>
      <c r="AA282" s="19">
        <v>80</v>
      </c>
      <c r="AB282" s="19">
        <v>42</v>
      </c>
      <c r="AC282" s="3" t="s">
        <v>83</v>
      </c>
      <c r="AD282" s="3" t="s">
        <v>84</v>
      </c>
      <c r="AE282" s="3" t="s">
        <v>443</v>
      </c>
      <c r="AF282" s="23" t="s">
        <v>85</v>
      </c>
    </row>
    <row r="283" spans="1:32" ht="16.5" x14ac:dyDescent="0.3">
      <c r="A283" s="3">
        <v>282</v>
      </c>
      <c r="B283" s="3">
        <v>18</v>
      </c>
      <c r="C283" s="3" t="s">
        <v>444</v>
      </c>
      <c r="D283" s="19">
        <v>11694</v>
      </c>
      <c r="E283" s="19">
        <f>ROUND(D283/INDEX(مناطق!$D$2:$D$23,B283),0)</f>
        <v>3637</v>
      </c>
      <c r="F283" s="20">
        <v>0.49869999999999998</v>
      </c>
      <c r="G283" s="19">
        <f>پارامترها!$B$5*F283/1000000</f>
        <v>485.40964500000007</v>
      </c>
      <c r="H283" s="21">
        <v>119.3</v>
      </c>
      <c r="I283" s="19">
        <f>H283*پارامترها!$B$6</f>
        <v>8947.5</v>
      </c>
      <c r="J283" s="22"/>
      <c r="K283" s="21">
        <f t="shared" si="12"/>
        <v>18.432884661778814</v>
      </c>
      <c r="L283" s="21">
        <f>I283/(پارامترها!$B$5/1000000)</f>
        <v>9.1924795808290938</v>
      </c>
      <c r="M283" s="21">
        <f>K283/پارامترها!$B$7</f>
        <v>61.442948872596048</v>
      </c>
      <c r="N283" s="21">
        <v>11.74</v>
      </c>
      <c r="O283" s="21">
        <f>N283*پارامترها!$B$6*پارامترها!$B$16</f>
        <v>26.414999999999999</v>
      </c>
      <c r="P283" s="21">
        <f>O283*12/G283*100</f>
        <v>65.301545460638707</v>
      </c>
      <c r="Q283" s="21">
        <f>O283*12/(پارامترها!$B$5/1000000)*100</f>
        <v>32.565880721220523</v>
      </c>
      <c r="R283" s="3" t="str">
        <f t="shared" si="13"/>
        <v>فشار شدید</v>
      </c>
      <c r="S283" s="21">
        <f>(1-NORMSDIST((LN(O283*12*1000000/پارامترها!$B$8)-پارامترها!$B$15)/پارامترها!$B$14))*100</f>
        <v>27.251523694609968</v>
      </c>
      <c r="T283" s="21">
        <f>(1-NORMSDIST((LN(I283*1000000/5)-پارامترها!$B$15)/پارامترها!$B$14))*100</f>
        <v>13.464285313818159</v>
      </c>
      <c r="U283" s="21">
        <f>MIN(100,پارامترها!$B$9/1000000/I283*100)</f>
        <v>22.352612461581447</v>
      </c>
      <c r="V283" s="19">
        <f>MAX(0,I283-پارامترها!$B$9/1000000)</f>
        <v>6947.5</v>
      </c>
      <c r="W283" s="21">
        <f>V283/(G283*پارامترها!$B$7)</f>
        <v>47.708844626137029</v>
      </c>
      <c r="X283" s="21">
        <f>پارامترها!$B$12/1000000/(G283/12)*100</f>
        <v>99.5659830473939</v>
      </c>
      <c r="Y283" s="21">
        <f>ROUND(50*MIN(1,3/K283)+50*MIN(1,30/P283),1)</f>
        <v>31.1</v>
      </c>
      <c r="Z283" s="3">
        <f t="shared" si="14"/>
        <v>95</v>
      </c>
      <c r="AA283" s="19">
        <v>0</v>
      </c>
      <c r="AB283" s="19">
        <v>0</v>
      </c>
      <c r="AC283" s="3" t="s">
        <v>103</v>
      </c>
      <c r="AD283" s="3" t="s">
        <v>104</v>
      </c>
      <c r="AE283" s="23" t="s">
        <v>105</v>
      </c>
      <c r="AF283" s="23" t="s">
        <v>106</v>
      </c>
    </row>
    <row r="284" spans="1:32" ht="16.5" x14ac:dyDescent="0.3">
      <c r="A284" s="3">
        <v>283</v>
      </c>
      <c r="B284" s="3">
        <v>18</v>
      </c>
      <c r="C284" s="3" t="s">
        <v>445</v>
      </c>
      <c r="D284" s="19">
        <v>8997</v>
      </c>
      <c r="E284" s="19">
        <f>ROUND(D284/INDEX(مناطق!$D$2:$D$23,B284),0)</f>
        <v>2798</v>
      </c>
      <c r="F284" s="20">
        <v>0.49869999999999998</v>
      </c>
      <c r="G284" s="19">
        <f>پارامترها!$B$5*F284/1000000</f>
        <v>485.40964500000007</v>
      </c>
      <c r="H284" s="21">
        <v>119.3</v>
      </c>
      <c r="I284" s="19">
        <f>H284*پارامترها!$B$6</f>
        <v>8947.5</v>
      </c>
      <c r="J284" s="22"/>
      <c r="K284" s="21">
        <f t="shared" si="12"/>
        <v>18.432884661778814</v>
      </c>
      <c r="L284" s="21">
        <f>I284/(پارامترها!$B$5/1000000)</f>
        <v>9.1924795808290938</v>
      </c>
      <c r="M284" s="21">
        <f>K284/پارامترها!$B$7</f>
        <v>61.442948872596048</v>
      </c>
      <c r="N284" s="21">
        <v>11.74</v>
      </c>
      <c r="O284" s="21">
        <f>N284*پارامترها!$B$6*پارامترها!$B$16</f>
        <v>26.414999999999999</v>
      </c>
      <c r="P284" s="21">
        <f>O284*12/G284*100</f>
        <v>65.301545460638707</v>
      </c>
      <c r="Q284" s="21">
        <f>O284*12/(پارامترها!$B$5/1000000)*100</f>
        <v>32.565880721220523</v>
      </c>
      <c r="R284" s="3" t="str">
        <f t="shared" si="13"/>
        <v>فشار شدید</v>
      </c>
      <c r="S284" s="21">
        <f>(1-NORMSDIST((LN(O284*12*1000000/پارامترها!$B$8)-پارامترها!$B$15)/پارامترها!$B$14))*100</f>
        <v>27.251523694609968</v>
      </c>
      <c r="T284" s="21">
        <f>(1-NORMSDIST((LN(I284*1000000/5)-پارامترها!$B$15)/پارامترها!$B$14))*100</f>
        <v>13.464285313818159</v>
      </c>
      <c r="U284" s="21">
        <f>MIN(100,پارامترها!$B$9/1000000/I284*100)</f>
        <v>22.352612461581447</v>
      </c>
      <c r="V284" s="19">
        <f>MAX(0,I284-پارامترها!$B$9/1000000)</f>
        <v>6947.5</v>
      </c>
      <c r="W284" s="21">
        <f>V284/(G284*پارامترها!$B$7)</f>
        <v>47.708844626137029</v>
      </c>
      <c r="X284" s="21">
        <f>پارامترها!$B$12/1000000/(G284/12)*100</f>
        <v>99.5659830473939</v>
      </c>
      <c r="Y284" s="21">
        <f>ROUND(50*MIN(1,3/K284)+50*MIN(1,30/P284),1)</f>
        <v>31.1</v>
      </c>
      <c r="Z284" s="3">
        <f t="shared" si="14"/>
        <v>95</v>
      </c>
      <c r="AA284" s="19">
        <v>0</v>
      </c>
      <c r="AB284" s="19">
        <v>0</v>
      </c>
      <c r="AC284" s="3" t="s">
        <v>103</v>
      </c>
      <c r="AD284" s="3" t="s">
        <v>104</v>
      </c>
      <c r="AE284" s="23" t="s">
        <v>105</v>
      </c>
      <c r="AF284" s="23" t="s">
        <v>106</v>
      </c>
    </row>
    <row r="285" spans="1:32" x14ac:dyDescent="0.2">
      <c r="A285" s="3">
        <v>284</v>
      </c>
      <c r="B285" s="3">
        <v>18</v>
      </c>
      <c r="C285" s="3" t="s">
        <v>446</v>
      </c>
      <c r="D285" s="19">
        <v>8217</v>
      </c>
      <c r="E285" s="19">
        <f>ROUND(D285/INDEX(مناطق!$D$2:$D$23,B285),0)</f>
        <v>2556</v>
      </c>
      <c r="F285" s="20">
        <v>0.49869999999999998</v>
      </c>
      <c r="G285" s="19">
        <f>پارامترها!$B$5*F285/1000000</f>
        <v>485.40964500000007</v>
      </c>
      <c r="H285" s="21">
        <v>119.3</v>
      </c>
      <c r="I285" s="19">
        <f>H285*پارامترها!$B$6</f>
        <v>8947.5</v>
      </c>
      <c r="J285" s="22"/>
      <c r="K285" s="21">
        <f t="shared" si="12"/>
        <v>18.432884661778814</v>
      </c>
      <c r="L285" s="21">
        <f>I285/(پارامترها!$B$5/1000000)</f>
        <v>9.1924795808290938</v>
      </c>
      <c r="M285" s="21">
        <f>K285/پارامترها!$B$7</f>
        <v>61.442948872596048</v>
      </c>
      <c r="N285" s="21">
        <v>11.74</v>
      </c>
      <c r="O285" s="21">
        <f>N285*پارامترها!$B$6*پارامترها!$B$16</f>
        <v>26.414999999999999</v>
      </c>
      <c r="P285" s="21">
        <f>O285*12/G285*100</f>
        <v>65.301545460638707</v>
      </c>
      <c r="Q285" s="21">
        <f>O285*12/(پارامترها!$B$5/1000000)*100</f>
        <v>32.565880721220523</v>
      </c>
      <c r="R285" s="3" t="str">
        <f t="shared" si="13"/>
        <v>فشار شدید</v>
      </c>
      <c r="S285" s="21">
        <f>(1-NORMSDIST((LN(O285*12*1000000/پارامترها!$B$8)-پارامترها!$B$15)/پارامترها!$B$14))*100</f>
        <v>27.251523694609968</v>
      </c>
      <c r="T285" s="21">
        <f>(1-NORMSDIST((LN(I285*1000000/5)-پارامترها!$B$15)/پارامترها!$B$14))*100</f>
        <v>13.464285313818159</v>
      </c>
      <c r="U285" s="21">
        <f>MIN(100,پارامترها!$B$9/1000000/I285*100)</f>
        <v>22.352612461581447</v>
      </c>
      <c r="V285" s="19">
        <f>MAX(0,I285-پارامترها!$B$9/1000000)</f>
        <v>6947.5</v>
      </c>
      <c r="W285" s="21">
        <f>V285/(G285*پارامترها!$B$7)</f>
        <v>47.708844626137029</v>
      </c>
      <c r="X285" s="21">
        <f>پارامترها!$B$12/1000000/(G285/12)*100</f>
        <v>99.5659830473939</v>
      </c>
      <c r="Y285" s="21">
        <f>ROUND(50*MIN(1,3/K285)+50*MIN(1,30/P285),1)</f>
        <v>31.1</v>
      </c>
      <c r="Z285" s="3">
        <f t="shared" si="14"/>
        <v>95</v>
      </c>
      <c r="AA285" s="19">
        <v>0</v>
      </c>
      <c r="AB285" s="19">
        <v>0</v>
      </c>
      <c r="AC285" s="3" t="s">
        <v>103</v>
      </c>
      <c r="AD285" s="3" t="s">
        <v>84</v>
      </c>
      <c r="AE285" s="23" t="s">
        <v>105</v>
      </c>
      <c r="AF285" s="23" t="s">
        <v>106</v>
      </c>
    </row>
    <row r="286" spans="1:32" ht="16.5" x14ac:dyDescent="0.3">
      <c r="A286" s="3">
        <v>285</v>
      </c>
      <c r="B286" s="3">
        <v>18</v>
      </c>
      <c r="C286" s="3" t="s">
        <v>148</v>
      </c>
      <c r="D286" s="19">
        <v>6547</v>
      </c>
      <c r="E286" s="19">
        <f>ROUND(D286/INDEX(مناطق!$D$2:$D$23,B286),0)</f>
        <v>2036</v>
      </c>
      <c r="F286" s="20">
        <v>0.49869999999999998</v>
      </c>
      <c r="G286" s="19">
        <f>پارامترها!$B$5*F286/1000000</f>
        <v>485.40964500000007</v>
      </c>
      <c r="H286" s="21">
        <v>119.3</v>
      </c>
      <c r="I286" s="19">
        <f>H286*پارامترها!$B$6</f>
        <v>8947.5</v>
      </c>
      <c r="J286" s="22"/>
      <c r="K286" s="21">
        <f t="shared" si="12"/>
        <v>18.432884661778814</v>
      </c>
      <c r="L286" s="21">
        <f>I286/(پارامترها!$B$5/1000000)</f>
        <v>9.1924795808290938</v>
      </c>
      <c r="M286" s="21">
        <f>K286/پارامترها!$B$7</f>
        <v>61.442948872596048</v>
      </c>
      <c r="N286" s="21">
        <v>11.74</v>
      </c>
      <c r="O286" s="21">
        <f>N286*پارامترها!$B$6*پارامترها!$B$16</f>
        <v>26.414999999999999</v>
      </c>
      <c r="P286" s="21">
        <f>O286*12/G286*100</f>
        <v>65.301545460638707</v>
      </c>
      <c r="Q286" s="21">
        <f>O286*12/(پارامترها!$B$5/1000000)*100</f>
        <v>32.565880721220523</v>
      </c>
      <c r="R286" s="3" t="str">
        <f t="shared" si="13"/>
        <v>فشار شدید</v>
      </c>
      <c r="S286" s="21">
        <f>(1-NORMSDIST((LN(O286*12*1000000/پارامترها!$B$8)-پارامترها!$B$15)/پارامترها!$B$14))*100</f>
        <v>27.251523694609968</v>
      </c>
      <c r="T286" s="21">
        <f>(1-NORMSDIST((LN(I286*1000000/5)-پارامترها!$B$15)/پارامترها!$B$14))*100</f>
        <v>13.464285313818159</v>
      </c>
      <c r="U286" s="21">
        <f>MIN(100,پارامترها!$B$9/1000000/I286*100)</f>
        <v>22.352612461581447</v>
      </c>
      <c r="V286" s="19">
        <f>MAX(0,I286-پارامترها!$B$9/1000000)</f>
        <v>6947.5</v>
      </c>
      <c r="W286" s="21">
        <f>V286/(G286*پارامترها!$B$7)</f>
        <v>47.708844626137029</v>
      </c>
      <c r="X286" s="21">
        <f>پارامترها!$B$12/1000000/(G286/12)*100</f>
        <v>99.5659830473939</v>
      </c>
      <c r="Y286" s="21">
        <f>ROUND(50*MIN(1,3/K286)+50*MIN(1,30/P286),1)</f>
        <v>31.1</v>
      </c>
      <c r="Z286" s="3">
        <f t="shared" si="14"/>
        <v>95</v>
      </c>
      <c r="AA286" s="19">
        <v>0</v>
      </c>
      <c r="AB286" s="19">
        <v>0</v>
      </c>
      <c r="AC286" s="3" t="s">
        <v>103</v>
      </c>
      <c r="AD286" s="3" t="s">
        <v>104</v>
      </c>
      <c r="AE286" s="23" t="s">
        <v>105</v>
      </c>
      <c r="AF286" s="23" t="s">
        <v>106</v>
      </c>
    </row>
    <row r="287" spans="1:32" ht="16.5" x14ac:dyDescent="0.3">
      <c r="A287" s="3">
        <v>286</v>
      </c>
      <c r="B287" s="3">
        <v>18</v>
      </c>
      <c r="C287" s="3" t="s">
        <v>447</v>
      </c>
      <c r="D287" s="19">
        <v>36772</v>
      </c>
      <c r="E287" s="19">
        <f>ROUND(D287/INDEX(مناطق!$D$2:$D$23,B287),0)</f>
        <v>11438</v>
      </c>
      <c r="F287" s="20">
        <v>0.49059999999999998</v>
      </c>
      <c r="G287" s="19">
        <f>پارامترها!$B$5*F287/1000000</f>
        <v>477.52551000000005</v>
      </c>
      <c r="H287" s="21">
        <v>117.4</v>
      </c>
      <c r="I287" s="19">
        <f>H287*پارامترها!$B$6</f>
        <v>8805</v>
      </c>
      <c r="J287" s="22">
        <v>63</v>
      </c>
      <c r="K287" s="21">
        <f t="shared" si="12"/>
        <v>18.438805499626604</v>
      </c>
      <c r="L287" s="21">
        <f>I287/(پارامترها!$B$5/1000000)</f>
        <v>9.046077978116811</v>
      </c>
      <c r="M287" s="21">
        <f>K287/پارامترها!$B$7</f>
        <v>61.46268499875535</v>
      </c>
      <c r="N287" s="21">
        <v>11.62</v>
      </c>
      <c r="O287" s="21">
        <f>N287*پارامترها!$B$6*پارامترها!$B$16</f>
        <v>26.144999999999996</v>
      </c>
      <c r="P287" s="21">
        <f>O287*12/G287*100</f>
        <v>65.701202015364572</v>
      </c>
      <c r="Q287" s="21">
        <f>O287*12/(پارامترها!$B$5/1000000)*100</f>
        <v>32.233009708737853</v>
      </c>
      <c r="R287" s="3" t="str">
        <f t="shared" si="13"/>
        <v>فشار شدید</v>
      </c>
      <c r="S287" s="21">
        <f>(1-NORMSDIST((LN(O287*12*1000000/پارامترها!$B$8)-پارامترها!$B$15)/پارامترها!$B$14))*100</f>
        <v>27.576010546099006</v>
      </c>
      <c r="T287" s="21">
        <f>(1-NORMSDIST((LN(I287*1000000/5)-پارامترها!$B$15)/پارامترها!$B$14))*100</f>
        <v>13.796908479067415</v>
      </c>
      <c r="U287" s="21">
        <f>MIN(100,پارامترها!$B$9/1000000/I287*100)</f>
        <v>22.714366837024418</v>
      </c>
      <c r="V287" s="19">
        <f>MAX(0,I287-پارامترها!$B$9/1000000)</f>
        <v>6805</v>
      </c>
      <c r="W287" s="21">
        <f>V287/(G287*پارامترها!$B$7)</f>
        <v>47.501825260253284</v>
      </c>
      <c r="X287" s="21">
        <f>پارامترها!$B$12/1000000/(G287/12)*100</f>
        <v>101.20985679929748</v>
      </c>
      <c r="Y287" s="21">
        <f>ROUND(50*MIN(1,3/K287)+50*MIN(1,30/P287),1)</f>
        <v>31</v>
      </c>
      <c r="Z287" s="3">
        <f t="shared" si="14"/>
        <v>103</v>
      </c>
      <c r="AA287" s="19">
        <v>89</v>
      </c>
      <c r="AB287" s="19">
        <v>42</v>
      </c>
      <c r="AC287" s="3" t="s">
        <v>83</v>
      </c>
      <c r="AD287" s="3" t="s">
        <v>146</v>
      </c>
      <c r="AE287" s="3" t="s">
        <v>448</v>
      </c>
      <c r="AF287" s="23" t="s">
        <v>90</v>
      </c>
    </row>
    <row r="288" spans="1:32" x14ac:dyDescent="0.2">
      <c r="A288" s="3">
        <v>287</v>
      </c>
      <c r="B288" s="3">
        <v>18</v>
      </c>
      <c r="C288" s="3" t="s">
        <v>449</v>
      </c>
      <c r="D288" s="19">
        <v>30523</v>
      </c>
      <c r="E288" s="19">
        <f>ROUND(D288/INDEX(مناطق!$D$2:$D$23,B288),0)</f>
        <v>9494</v>
      </c>
      <c r="F288" s="20">
        <v>0.49059999999999998</v>
      </c>
      <c r="G288" s="19">
        <f>پارامترها!$B$5*F288/1000000</f>
        <v>477.52551000000005</v>
      </c>
      <c r="H288" s="21">
        <v>117.4</v>
      </c>
      <c r="I288" s="19">
        <f>H288*پارامترها!$B$6</f>
        <v>8805</v>
      </c>
      <c r="J288" s="22">
        <v>63</v>
      </c>
      <c r="K288" s="21">
        <f t="shared" si="12"/>
        <v>18.438805499626604</v>
      </c>
      <c r="L288" s="21">
        <f>I288/(پارامترها!$B$5/1000000)</f>
        <v>9.046077978116811</v>
      </c>
      <c r="M288" s="21">
        <f>K288/پارامترها!$B$7</f>
        <v>61.46268499875535</v>
      </c>
      <c r="N288" s="21">
        <v>11.62</v>
      </c>
      <c r="O288" s="21">
        <f>N288*پارامترها!$B$6*پارامترها!$B$16</f>
        <v>26.144999999999996</v>
      </c>
      <c r="P288" s="21">
        <f>O288*12/G288*100</f>
        <v>65.701202015364572</v>
      </c>
      <c r="Q288" s="21">
        <f>O288*12/(پارامترها!$B$5/1000000)*100</f>
        <v>32.233009708737853</v>
      </c>
      <c r="R288" s="3" t="str">
        <f t="shared" si="13"/>
        <v>فشار شدید</v>
      </c>
      <c r="S288" s="21">
        <f>(1-NORMSDIST((LN(O288*12*1000000/پارامترها!$B$8)-پارامترها!$B$15)/پارامترها!$B$14))*100</f>
        <v>27.576010546099006</v>
      </c>
      <c r="T288" s="21">
        <f>(1-NORMSDIST((LN(I288*1000000/5)-پارامترها!$B$15)/پارامترها!$B$14))*100</f>
        <v>13.796908479067415</v>
      </c>
      <c r="U288" s="21">
        <f>MIN(100,پارامترها!$B$9/1000000/I288*100)</f>
        <v>22.714366837024418</v>
      </c>
      <c r="V288" s="19">
        <f>MAX(0,I288-پارامترها!$B$9/1000000)</f>
        <v>6805</v>
      </c>
      <c r="W288" s="21">
        <f>V288/(G288*پارامترها!$B$7)</f>
        <v>47.501825260253284</v>
      </c>
      <c r="X288" s="21">
        <f>پارامترها!$B$12/1000000/(G288/12)*100</f>
        <v>101.20985679929748</v>
      </c>
      <c r="Y288" s="21">
        <f>ROUND(50*MIN(1,3/K288)+50*MIN(1,30/P288),1)</f>
        <v>31</v>
      </c>
      <c r="Z288" s="3">
        <f t="shared" si="14"/>
        <v>103</v>
      </c>
      <c r="AA288" s="19">
        <v>89</v>
      </c>
      <c r="AB288" s="19">
        <v>42</v>
      </c>
      <c r="AC288" s="3" t="s">
        <v>83</v>
      </c>
      <c r="AD288" s="3" t="s">
        <v>84</v>
      </c>
      <c r="AE288" s="3" t="s">
        <v>448</v>
      </c>
      <c r="AF288" s="23" t="s">
        <v>85</v>
      </c>
    </row>
    <row r="289" spans="1:32" x14ac:dyDescent="0.2">
      <c r="A289" s="3">
        <v>288</v>
      </c>
      <c r="B289" s="3">
        <v>18</v>
      </c>
      <c r="C289" s="3" t="s">
        <v>450</v>
      </c>
      <c r="D289" s="19">
        <v>43277</v>
      </c>
      <c r="E289" s="19">
        <f>ROUND(D289/INDEX(مناطق!$D$2:$D$23,B289),0)</f>
        <v>13461</v>
      </c>
      <c r="F289" s="20">
        <v>0.49</v>
      </c>
      <c r="G289" s="19">
        <f>پارامترها!$B$5*F289/1000000</f>
        <v>476.94150000000008</v>
      </c>
      <c r="H289" s="21">
        <v>117.3</v>
      </c>
      <c r="I289" s="19">
        <f>H289*پارامترها!$B$6</f>
        <v>8797.5</v>
      </c>
      <c r="J289" s="22">
        <v>60</v>
      </c>
      <c r="K289" s="21">
        <f t="shared" si="12"/>
        <v>18.445658429807427</v>
      </c>
      <c r="L289" s="21">
        <f>I289/(پارامترها!$B$5/1000000)</f>
        <v>9.0383726306056396</v>
      </c>
      <c r="M289" s="21">
        <f>K289/پارامترها!$B$7</f>
        <v>61.485528099358092</v>
      </c>
      <c r="N289" s="21">
        <v>12.1</v>
      </c>
      <c r="O289" s="21">
        <f>N289*پارامترها!$B$6*پارامترها!$B$16</f>
        <v>27.224999999999998</v>
      </c>
      <c r="P289" s="21">
        <f>O289*12/G289*100</f>
        <v>68.498966854425518</v>
      </c>
      <c r="Q289" s="21">
        <f>O289*12/(پارامترها!$B$5/1000000)*100</f>
        <v>33.564493758668512</v>
      </c>
      <c r="R289" s="3" t="str">
        <f t="shared" si="13"/>
        <v>فشار شدید</v>
      </c>
      <c r="S289" s="21">
        <f>(1-NORMSDIST((LN(O289*12*1000000/پارامترها!$B$8)-پارامترها!$B$15)/پارامترها!$B$14))*100</f>
        <v>26.308714858299975</v>
      </c>
      <c r="T289" s="21">
        <f>(1-NORMSDIST((LN(I289*1000000/5)-پارامترها!$B$15)/پارامترها!$B$14))*100</f>
        <v>13.814719066071291</v>
      </c>
      <c r="U289" s="21">
        <f>MIN(100,پارامترها!$B$9/1000000/I289*100)</f>
        <v>22.733731173628872</v>
      </c>
      <c r="V289" s="19">
        <f>MAX(0,I289-پارامترها!$B$9/1000000)</f>
        <v>6797.5</v>
      </c>
      <c r="W289" s="21">
        <f>V289/(G289*پارامترها!$B$7)</f>
        <v>47.50757343056398</v>
      </c>
      <c r="X289" s="21">
        <f>پارامترها!$B$12/1000000/(G289/12)*100</f>
        <v>101.33378723619457</v>
      </c>
      <c r="Y289" s="21">
        <f>ROUND(50*MIN(1,3/K289)+50*MIN(1,30/P289),1)</f>
        <v>30</v>
      </c>
      <c r="Z289" s="3">
        <f t="shared" si="14"/>
        <v>162</v>
      </c>
      <c r="AA289" s="19">
        <v>79</v>
      </c>
      <c r="AB289" s="19">
        <v>46</v>
      </c>
      <c r="AC289" s="3" t="s">
        <v>83</v>
      </c>
      <c r="AD289" s="3" t="s">
        <v>84</v>
      </c>
      <c r="AE289" s="3" t="s">
        <v>450</v>
      </c>
      <c r="AF289" s="23" t="s">
        <v>85</v>
      </c>
    </row>
    <row r="290" spans="1:32" ht="16.5" x14ac:dyDescent="0.3">
      <c r="A290" s="3">
        <v>289</v>
      </c>
      <c r="B290" s="3">
        <v>18</v>
      </c>
      <c r="C290" s="3" t="s">
        <v>373</v>
      </c>
      <c r="D290" s="19">
        <v>25065</v>
      </c>
      <c r="E290" s="19">
        <f>ROUND(D290/INDEX(مناطق!$D$2:$D$23,B290),0)</f>
        <v>7796</v>
      </c>
      <c r="F290" s="20">
        <v>0.45860000000000001</v>
      </c>
      <c r="G290" s="19">
        <f>پارامترها!$B$5*F290/1000000</f>
        <v>446.37831000000006</v>
      </c>
      <c r="H290" s="21">
        <v>110</v>
      </c>
      <c r="I290" s="19">
        <f>H290*پارامترها!$B$6</f>
        <v>8250</v>
      </c>
      <c r="J290" s="22">
        <v>65</v>
      </c>
      <c r="K290" s="21">
        <f t="shared" si="12"/>
        <v>18.482080816157932</v>
      </c>
      <c r="L290" s="21">
        <f>I290/(پارامترها!$B$5/1000000)</f>
        <v>8.4758822622900283</v>
      </c>
      <c r="M290" s="21">
        <f>K290/پارامترها!$B$7</f>
        <v>61.606936053859776</v>
      </c>
      <c r="N290" s="21">
        <v>12.16</v>
      </c>
      <c r="O290" s="21">
        <f>N290*پارامترها!$B$6*پارامترها!$B$16</f>
        <v>27.36</v>
      </c>
      <c r="P290" s="21">
        <f>O290*12/G290*100</f>
        <v>73.55196089164815</v>
      </c>
      <c r="Q290" s="21">
        <f>O290*12/(پارامترها!$B$5/1000000)*100</f>
        <v>33.73092926490984</v>
      </c>
      <c r="R290" s="3" t="str">
        <f t="shared" si="13"/>
        <v>فشار شدید</v>
      </c>
      <c r="S290" s="21">
        <f>(1-NORMSDIST((LN(O290*12*1000000/پارامترها!$B$8)-پارامترها!$B$15)/پارامترها!$B$14))*100</f>
        <v>26.155915536974138</v>
      </c>
      <c r="T290" s="21">
        <f>(1-NORMSDIST((LN(I290*1000000/5)-پارامترها!$B$15)/پارامترها!$B$14))*100</f>
        <v>15.202950719368236</v>
      </c>
      <c r="U290" s="21">
        <f>MIN(100,پارامترها!$B$9/1000000/I290*100)</f>
        <v>24.242424242424242</v>
      </c>
      <c r="V290" s="19">
        <f>MAX(0,I290-پارامترها!$B$9/1000000)</f>
        <v>6250</v>
      </c>
      <c r="W290" s="21">
        <f>V290/(G290*پارامترها!$B$7)</f>
        <v>46.671921252924072</v>
      </c>
      <c r="X290" s="21">
        <f>پارامترها!$B$12/1000000/(G290/12)*100</f>
        <v>108.2720360787949</v>
      </c>
      <c r="Y290" s="21">
        <f>ROUND(50*MIN(1,3/K290)+50*MIN(1,30/P290),1)</f>
        <v>28.5</v>
      </c>
      <c r="Z290" s="3">
        <f t="shared" si="14"/>
        <v>238</v>
      </c>
      <c r="AA290" s="19">
        <v>73</v>
      </c>
      <c r="AB290" s="19">
        <v>40</v>
      </c>
      <c r="AC290" s="3" t="s">
        <v>83</v>
      </c>
      <c r="AD290" s="3" t="s">
        <v>93</v>
      </c>
      <c r="AE290" s="3" t="s">
        <v>373</v>
      </c>
      <c r="AF290" s="23" t="s">
        <v>85</v>
      </c>
    </row>
    <row r="291" spans="1:32" x14ac:dyDescent="0.2">
      <c r="A291" s="3">
        <v>290</v>
      </c>
      <c r="B291" s="3">
        <v>18</v>
      </c>
      <c r="C291" s="3" t="s">
        <v>451</v>
      </c>
      <c r="D291" s="19">
        <v>22091</v>
      </c>
      <c r="E291" s="19">
        <f>ROUND(D291/INDEX(مناطق!$D$2:$D$23,B291),0)</f>
        <v>6871</v>
      </c>
      <c r="F291" s="20">
        <v>0.39069999999999999</v>
      </c>
      <c r="G291" s="19">
        <f>پارامترها!$B$5*F291/1000000</f>
        <v>380.28784500000006</v>
      </c>
      <c r="H291" s="21">
        <v>94.2</v>
      </c>
      <c r="I291" s="19">
        <f>H291*پارامترها!$B$6</f>
        <v>7065</v>
      </c>
      <c r="J291" s="22">
        <v>63</v>
      </c>
      <c r="K291" s="21">
        <f t="shared" si="12"/>
        <v>18.578032647874924</v>
      </c>
      <c r="L291" s="21">
        <f>I291/(پارامترها!$B$5/1000000)</f>
        <v>7.258437355524733</v>
      </c>
      <c r="M291" s="21">
        <f>K291/پارامترها!$B$7</f>
        <v>61.926775492916413</v>
      </c>
      <c r="N291" s="21">
        <v>10.39</v>
      </c>
      <c r="O291" s="21">
        <f>N291*پارامترها!$B$6*پارامترها!$B$16</f>
        <v>23.377499999999998</v>
      </c>
      <c r="P291" s="21">
        <f>O291*12/G291*100</f>
        <v>73.767806068058775</v>
      </c>
      <c r="Q291" s="21">
        <f>O291*12/(پارامترها!$B$5/1000000)*100</f>
        <v>28.821081830790561</v>
      </c>
      <c r="R291" s="3" t="str">
        <f t="shared" si="13"/>
        <v>فشار شدید</v>
      </c>
      <c r="S291" s="21">
        <f>(1-NORMSDIST((LN(O291*12*1000000/پارامترها!$B$8)-پارامترها!$B$15)/پارامترها!$B$14))*100</f>
        <v>31.227324506736267</v>
      </c>
      <c r="T291" s="21">
        <f>(1-NORMSDIST((LN(I291*1000000/5)-پارامترها!$B$15)/پارامترها!$B$14))*100</f>
        <v>18.922118053702008</v>
      </c>
      <c r="U291" s="21">
        <f>MIN(100,پارامترها!$B$9/1000000/I291*100)</f>
        <v>28.308563340410476</v>
      </c>
      <c r="V291" s="19">
        <f>MAX(0,I291-پارامترها!$B$9/1000000)</f>
        <v>5065</v>
      </c>
      <c r="W291" s="21">
        <f>V291/(G291*پارامترها!$B$7)</f>
        <v>44.39619502783038</v>
      </c>
      <c r="X291" s="21">
        <f>پارامترها!$B$12/1000000/(G291/12)*100</f>
        <v>127.08870167836022</v>
      </c>
      <c r="Y291" s="21">
        <f>ROUND(50*MIN(1,3/K291)+50*MIN(1,30/P291),1)</f>
        <v>28.4</v>
      </c>
      <c r="Z291" s="3">
        <f t="shared" si="14"/>
        <v>243</v>
      </c>
      <c r="AA291" s="19">
        <v>78</v>
      </c>
      <c r="AB291" s="19">
        <v>34</v>
      </c>
      <c r="AC291" s="3" t="s">
        <v>83</v>
      </c>
      <c r="AD291" s="3" t="s">
        <v>84</v>
      </c>
      <c r="AE291" s="3" t="s">
        <v>451</v>
      </c>
      <c r="AF291" s="23" t="s">
        <v>85</v>
      </c>
    </row>
    <row r="292" spans="1:32" x14ac:dyDescent="0.2">
      <c r="A292" s="3">
        <v>291</v>
      </c>
      <c r="B292" s="3">
        <v>18</v>
      </c>
      <c r="C292" s="3" t="s">
        <v>452</v>
      </c>
      <c r="D292" s="19">
        <v>2455</v>
      </c>
      <c r="E292" s="19">
        <f>ROUND(D292/INDEX(مناطق!$D$2:$D$23,B292),0)</f>
        <v>764</v>
      </c>
      <c r="F292" s="20">
        <v>0.37759999999999999</v>
      </c>
      <c r="G292" s="19">
        <f>پارامترها!$B$5*F292/1000000</f>
        <v>367.53696000000008</v>
      </c>
      <c r="H292" s="21">
        <v>91.2</v>
      </c>
      <c r="I292" s="19">
        <f>H292*پارامترها!$B$6</f>
        <v>6840</v>
      </c>
      <c r="J292" s="22">
        <v>68</v>
      </c>
      <c r="K292" s="21">
        <f t="shared" si="12"/>
        <v>18.610373226137579</v>
      </c>
      <c r="L292" s="21">
        <f>I292/(پارامترها!$B$5/1000000)</f>
        <v>7.0272769301895508</v>
      </c>
      <c r="M292" s="21">
        <f>K292/پارامترها!$B$7</f>
        <v>62.034577420458596</v>
      </c>
      <c r="N292" s="21">
        <v>9.3699999999999992</v>
      </c>
      <c r="O292" s="21">
        <f>N292*پارامترها!$B$6*پارامترها!$B$16</f>
        <v>21.082499999999996</v>
      </c>
      <c r="P292" s="21">
        <f>O292*12/G292*100</f>
        <v>68.833893603516742</v>
      </c>
      <c r="Q292" s="21">
        <f>O292*12/(پارامترها!$B$5/1000000)*100</f>
        <v>25.991678224687924</v>
      </c>
      <c r="R292" s="3" t="str">
        <f t="shared" si="13"/>
        <v>فشار شدید</v>
      </c>
      <c r="S292" s="21">
        <f>(1-NORMSDIST((LN(O292*12*1000000/پارامترها!$B$8)-پارامترها!$B$15)/پارامترها!$B$14))*100</f>
        <v>34.772903663644726</v>
      </c>
      <c r="T292" s="21">
        <f>(1-NORMSDIST((LN(I292*1000000/5)-پارامترها!$B$15)/پارامترها!$B$14))*100</f>
        <v>19.7638236811441</v>
      </c>
      <c r="U292" s="21">
        <f>MIN(100,پارامترها!$B$9/1000000/I292*100)</f>
        <v>29.239766081871345</v>
      </c>
      <c r="V292" s="19">
        <f>MAX(0,I292-پارامترها!$B$9/1000000)</f>
        <v>4840</v>
      </c>
      <c r="W292" s="21">
        <f>V292/(G292*پارامترها!$B$7)</f>
        <v>43.89581209283913</v>
      </c>
      <c r="X292" s="21">
        <f>پارامترها!$B$12/1000000/(G292/12)*100</f>
        <v>131.49776415713808</v>
      </c>
      <c r="Y292" s="21">
        <f>ROUND(50*MIN(1,3/K292)+50*MIN(1,30/P292),1)</f>
        <v>29.9</v>
      </c>
      <c r="Z292" s="3">
        <f t="shared" si="14"/>
        <v>168</v>
      </c>
      <c r="AA292" s="19">
        <v>13</v>
      </c>
      <c r="AB292" s="19">
        <v>11</v>
      </c>
      <c r="AC292" s="3" t="s">
        <v>83</v>
      </c>
      <c r="AD292" s="3" t="s">
        <v>84</v>
      </c>
      <c r="AE292" s="3" t="s">
        <v>453</v>
      </c>
      <c r="AF292" s="23" t="s">
        <v>90</v>
      </c>
    </row>
    <row r="293" spans="1:32" x14ac:dyDescent="0.2">
      <c r="A293" s="3">
        <v>292</v>
      </c>
      <c r="B293" s="3">
        <v>18</v>
      </c>
      <c r="C293" s="3" t="s">
        <v>454</v>
      </c>
      <c r="D293" s="19">
        <v>30224</v>
      </c>
      <c r="E293" s="19">
        <f>ROUND(D293/INDEX(مناطق!$D$2:$D$23,B293),0)</f>
        <v>9401</v>
      </c>
      <c r="F293" s="20">
        <v>0.34200000000000003</v>
      </c>
      <c r="G293" s="19">
        <f>پارامترها!$B$5*F293/1000000</f>
        <v>332.88570000000004</v>
      </c>
      <c r="H293" s="21">
        <v>82.8</v>
      </c>
      <c r="I293" s="19">
        <f>H293*پارامترها!$B$6</f>
        <v>6210</v>
      </c>
      <c r="J293" s="22">
        <v>60</v>
      </c>
      <c r="K293" s="21">
        <f t="shared" si="12"/>
        <v>18.655051869155088</v>
      </c>
      <c r="L293" s="21">
        <f>I293/(پارامترها!$B$5/1000000)</f>
        <v>6.3800277392510392</v>
      </c>
      <c r="M293" s="21">
        <f>K293/پارامترها!$B$7</f>
        <v>62.183506230516961</v>
      </c>
      <c r="N293" s="21">
        <v>9.85</v>
      </c>
      <c r="O293" s="21">
        <f>N293*پارامترها!$B$6*پارامترها!$B$16</f>
        <v>22.162499999999998</v>
      </c>
      <c r="P293" s="21">
        <f>O293*12/G293*100</f>
        <v>79.892287352685912</v>
      </c>
      <c r="Q293" s="21">
        <f>O293*12/(پارامترها!$B$5/1000000)*100</f>
        <v>27.323162274618578</v>
      </c>
      <c r="R293" s="3" t="str">
        <f t="shared" si="13"/>
        <v>فشار شدید</v>
      </c>
      <c r="S293" s="21">
        <f>(1-NORMSDIST((LN(O293*12*1000000/پارامترها!$B$8)-پارامترها!$B$15)/پارامترها!$B$14))*100</f>
        <v>33.039608876839168</v>
      </c>
      <c r="T293" s="21">
        <f>(1-NORMSDIST((LN(I293*1000000/5)-پارامترها!$B$15)/پارامترها!$B$14))*100</f>
        <v>22.408045831921577</v>
      </c>
      <c r="U293" s="21">
        <f>MIN(100,پارامترها!$B$9/1000000/I293*100)</f>
        <v>32.206119162640903</v>
      </c>
      <c r="V293" s="19">
        <f>MAX(0,I293-پارامترها!$B$9/1000000)</f>
        <v>4210</v>
      </c>
      <c r="W293" s="21">
        <f>V293/(G293*پارامترها!$B$7)</f>
        <v>42.156612114408439</v>
      </c>
      <c r="X293" s="21">
        <f>پارامترها!$B$12/1000000/(G293/12)*100</f>
        <v>145.18583551384603</v>
      </c>
      <c r="Y293" s="21">
        <f>ROUND(50*MIN(1,3/K293)+50*MIN(1,30/P293),1)</f>
        <v>26.8</v>
      </c>
      <c r="Z293" s="3">
        <f t="shared" si="14"/>
        <v>294</v>
      </c>
      <c r="AA293" s="19">
        <v>84</v>
      </c>
      <c r="AB293" s="19">
        <v>55</v>
      </c>
      <c r="AC293" s="3" t="s">
        <v>83</v>
      </c>
      <c r="AD293" s="3" t="s">
        <v>84</v>
      </c>
      <c r="AE293" s="3" t="s">
        <v>454</v>
      </c>
      <c r="AF293" s="23" t="s">
        <v>85</v>
      </c>
    </row>
    <row r="294" spans="1:32" ht="16.5" x14ac:dyDescent="0.3">
      <c r="A294" s="3">
        <v>293</v>
      </c>
      <c r="B294" s="3">
        <v>19</v>
      </c>
      <c r="C294" s="3" t="s">
        <v>455</v>
      </c>
      <c r="D294" s="19">
        <v>17865</v>
      </c>
      <c r="E294" s="19">
        <f>ROUND(D294/INDEX(مناطق!$D$2:$D$23,B294),0)</f>
        <v>5437</v>
      </c>
      <c r="F294" s="20">
        <v>0.75349999999999995</v>
      </c>
      <c r="G294" s="19">
        <f>پارامترها!$B$5*F294/1000000</f>
        <v>733.41922499999998</v>
      </c>
      <c r="H294" s="21">
        <v>174</v>
      </c>
      <c r="I294" s="19">
        <f>H294*پارامترها!$B$6</f>
        <v>13050</v>
      </c>
      <c r="J294" s="22">
        <v>73</v>
      </c>
      <c r="K294" s="21">
        <f t="shared" si="12"/>
        <v>17.793370496935093</v>
      </c>
      <c r="L294" s="21">
        <f>I294/(پارامترها!$B$5/1000000)</f>
        <v>13.40730466944059</v>
      </c>
      <c r="M294" s="21">
        <f>K294/پارامترها!$B$7</f>
        <v>59.311234989783649</v>
      </c>
      <c r="N294" s="21">
        <v>17.420000000000002</v>
      </c>
      <c r="O294" s="21">
        <f>N294*پارامترها!$B$6*پارامترها!$B$16</f>
        <v>39.195000000000007</v>
      </c>
      <c r="P294" s="21">
        <f>O294*12/G294*100</f>
        <v>64.129761528953665</v>
      </c>
      <c r="Q294" s="21">
        <f>O294*12/(پارامترها!$B$5/1000000)*100</f>
        <v>48.321775312066578</v>
      </c>
      <c r="R294" s="3" t="str">
        <f t="shared" si="13"/>
        <v>فشار شدید</v>
      </c>
      <c r="S294" s="21">
        <f>(1-NORMSDIST((LN(O294*12*1000000/پارامترها!$B$8)-پارامترها!$B$15)/پارامترها!$B$14))*100</f>
        <v>16.371021006843598</v>
      </c>
      <c r="T294" s="21">
        <f>(1-NORMSDIST((LN(I294*1000000/5)-پارامترها!$B$15)/پارامترها!$B$14))*100</f>
        <v>7.1802163156094885</v>
      </c>
      <c r="U294" s="21">
        <f>MIN(100,پارامترها!$B$9/1000000/I294*100)</f>
        <v>15.325670498084291</v>
      </c>
      <c r="V294" s="19">
        <f>MAX(0,I294-پارامترها!$B$9/1000000)</f>
        <v>11050</v>
      </c>
      <c r="W294" s="21">
        <f>V294/(G294*پارامترها!$B$7)</f>
        <v>50.221390546904921</v>
      </c>
      <c r="X294" s="21">
        <f>پارامترها!$B$12/1000000/(G294/12)*100</f>
        <v>65.897220631367418</v>
      </c>
      <c r="Y294" s="21">
        <f>ROUND(50*MIN(1,3/K294)+50*MIN(1,30/P294),1)</f>
        <v>31.8</v>
      </c>
      <c r="Z294" s="3">
        <f t="shared" si="14"/>
        <v>75</v>
      </c>
      <c r="AA294" s="19">
        <v>59</v>
      </c>
      <c r="AB294" s="19">
        <v>16</v>
      </c>
      <c r="AC294" s="3" t="s">
        <v>83</v>
      </c>
      <c r="AD294" s="3" t="s">
        <v>93</v>
      </c>
      <c r="AE294" s="3" t="s">
        <v>456</v>
      </c>
      <c r="AF294" s="23" t="s">
        <v>90</v>
      </c>
    </row>
    <row r="295" spans="1:32" ht="16.5" x14ac:dyDescent="0.3">
      <c r="A295" s="3">
        <v>294</v>
      </c>
      <c r="B295" s="3">
        <v>19</v>
      </c>
      <c r="C295" s="3" t="s">
        <v>457</v>
      </c>
      <c r="D295" s="19">
        <v>23750</v>
      </c>
      <c r="E295" s="19">
        <f>ROUND(D295/INDEX(مناطق!$D$2:$D$23,B295),0)</f>
        <v>7228</v>
      </c>
      <c r="F295" s="20">
        <v>0.71350000000000002</v>
      </c>
      <c r="G295" s="19">
        <f>پارامترها!$B$5*F295/1000000</f>
        <v>694.48522500000013</v>
      </c>
      <c r="H295" s="21">
        <v>165.1</v>
      </c>
      <c r="I295" s="19">
        <f>H295*پارامترها!$B$6</f>
        <v>12382.5</v>
      </c>
      <c r="J295" s="22">
        <v>67.5</v>
      </c>
      <c r="K295" s="21">
        <f t="shared" si="12"/>
        <v>17.829752965586845</v>
      </c>
      <c r="L295" s="21">
        <f>I295/(پارامترها!$B$5/1000000)</f>
        <v>12.721528740946216</v>
      </c>
      <c r="M295" s="21">
        <f>K295/پارامترها!$B$7</f>
        <v>59.432509885289484</v>
      </c>
      <c r="N295" s="21">
        <v>19.190000000000001</v>
      </c>
      <c r="O295" s="21">
        <f>N295*پارامترها!$B$6*پارامترها!$B$16</f>
        <v>43.177499999999995</v>
      </c>
      <c r="P295" s="21">
        <f>O295*12/G295*100</f>
        <v>74.606338817359259</v>
      </c>
      <c r="Q295" s="21">
        <f>O295*12/(پارامترها!$B$5/1000000)*100</f>
        <v>53.231622746185835</v>
      </c>
      <c r="R295" s="3" t="str">
        <f t="shared" si="13"/>
        <v>فشار شدید</v>
      </c>
      <c r="S295" s="21">
        <f>(1-NORMSDIST((LN(O295*12*1000000/پارامترها!$B$8)-پارامترها!$B$15)/پارامترها!$B$14))*100</f>
        <v>14.207081233150243</v>
      </c>
      <c r="T295" s="21">
        <f>(1-NORMSDIST((LN(I295*1000000/5)-پارامترها!$B$15)/پارامترها!$B$14))*100</f>
        <v>7.8868204445876504</v>
      </c>
      <c r="U295" s="21">
        <f>MIN(100,پارامترها!$B$9/1000000/I295*100)</f>
        <v>16.151827175449224</v>
      </c>
      <c r="V295" s="19">
        <f>MAX(0,I295-پارامترها!$B$9/1000000)</f>
        <v>10382.5</v>
      </c>
      <c r="W295" s="21">
        <f>V295/(G295*پارامترها!$B$7)</f>
        <v>49.833073602585749</v>
      </c>
      <c r="X295" s="21">
        <f>پارامترها!$B$12/1000000/(G295/12)*100</f>
        <v>69.591528725627654</v>
      </c>
      <c r="Y295" s="21">
        <f>ROUND(50*MIN(1,3/K295)+50*MIN(1,30/P295),1)</f>
        <v>28.5</v>
      </c>
      <c r="Z295" s="3">
        <f t="shared" si="14"/>
        <v>238</v>
      </c>
      <c r="AA295" s="19">
        <v>86</v>
      </c>
      <c r="AB295" s="19">
        <v>77</v>
      </c>
      <c r="AC295" s="3" t="s">
        <v>83</v>
      </c>
      <c r="AD295" s="3" t="s">
        <v>93</v>
      </c>
      <c r="AE295" s="3" t="s">
        <v>379</v>
      </c>
      <c r="AF295" s="23" t="s">
        <v>85</v>
      </c>
    </row>
    <row r="296" spans="1:32" ht="16.5" x14ac:dyDescent="0.3">
      <c r="A296" s="3">
        <v>295</v>
      </c>
      <c r="B296" s="3">
        <v>19</v>
      </c>
      <c r="C296" s="3" t="s">
        <v>458</v>
      </c>
      <c r="D296" s="19">
        <v>21666</v>
      </c>
      <c r="E296" s="19">
        <f>ROUND(D296/INDEX(مناطق!$D$2:$D$23,B296),0)</f>
        <v>6593</v>
      </c>
      <c r="F296" s="20">
        <v>0.71350000000000002</v>
      </c>
      <c r="G296" s="19">
        <f>پارامترها!$B$5*F296/1000000</f>
        <v>694.48522500000013</v>
      </c>
      <c r="H296" s="21">
        <v>165.1</v>
      </c>
      <c r="I296" s="19">
        <f>H296*پارامترها!$B$6</f>
        <v>12382.5</v>
      </c>
      <c r="J296" s="22">
        <v>67.5</v>
      </c>
      <c r="K296" s="21">
        <f t="shared" si="12"/>
        <v>17.829752965586845</v>
      </c>
      <c r="L296" s="21">
        <f>I296/(پارامترها!$B$5/1000000)</f>
        <v>12.721528740946216</v>
      </c>
      <c r="M296" s="21">
        <f>K296/پارامترها!$B$7</f>
        <v>59.432509885289484</v>
      </c>
      <c r="N296" s="21">
        <v>19.190000000000001</v>
      </c>
      <c r="O296" s="21">
        <f>N296*پارامترها!$B$6*پارامترها!$B$16</f>
        <v>43.177499999999995</v>
      </c>
      <c r="P296" s="21">
        <f>O296*12/G296*100</f>
        <v>74.606338817359259</v>
      </c>
      <c r="Q296" s="21">
        <f>O296*12/(پارامترها!$B$5/1000000)*100</f>
        <v>53.231622746185835</v>
      </c>
      <c r="R296" s="3" t="str">
        <f t="shared" si="13"/>
        <v>فشار شدید</v>
      </c>
      <c r="S296" s="21">
        <f>(1-NORMSDIST((LN(O296*12*1000000/پارامترها!$B$8)-پارامترها!$B$15)/پارامترها!$B$14))*100</f>
        <v>14.207081233150243</v>
      </c>
      <c r="T296" s="21">
        <f>(1-NORMSDIST((LN(I296*1000000/5)-پارامترها!$B$15)/پارامترها!$B$14))*100</f>
        <v>7.8868204445876504</v>
      </c>
      <c r="U296" s="21">
        <f>MIN(100,پارامترها!$B$9/1000000/I296*100)</f>
        <v>16.151827175449224</v>
      </c>
      <c r="V296" s="19">
        <f>MAX(0,I296-پارامترها!$B$9/1000000)</f>
        <v>10382.5</v>
      </c>
      <c r="W296" s="21">
        <f>V296/(G296*پارامترها!$B$7)</f>
        <v>49.833073602585749</v>
      </c>
      <c r="X296" s="21">
        <f>پارامترها!$B$12/1000000/(G296/12)*100</f>
        <v>69.591528725627654</v>
      </c>
      <c r="Y296" s="21">
        <f>ROUND(50*MIN(1,3/K296)+50*MIN(1,30/P296),1)</f>
        <v>28.5</v>
      </c>
      <c r="Z296" s="3">
        <f t="shared" si="14"/>
        <v>238</v>
      </c>
      <c r="AA296" s="19">
        <v>86</v>
      </c>
      <c r="AB296" s="19">
        <v>77</v>
      </c>
      <c r="AC296" s="3" t="s">
        <v>83</v>
      </c>
      <c r="AD296" s="3" t="s">
        <v>93</v>
      </c>
      <c r="AE296" s="3" t="s">
        <v>379</v>
      </c>
      <c r="AF296" s="23" t="s">
        <v>85</v>
      </c>
    </row>
    <row r="297" spans="1:32" x14ac:dyDescent="0.2">
      <c r="A297" s="3">
        <v>296</v>
      </c>
      <c r="B297" s="3">
        <v>19</v>
      </c>
      <c r="C297" s="3" t="s">
        <v>459</v>
      </c>
      <c r="D297" s="19">
        <v>13162</v>
      </c>
      <c r="E297" s="19">
        <f>ROUND(D297/INDEX(مناطق!$D$2:$D$23,B297),0)</f>
        <v>4005</v>
      </c>
      <c r="F297" s="20">
        <v>0.71120000000000005</v>
      </c>
      <c r="G297" s="19">
        <f>پارامترها!$B$5*F297/1000000</f>
        <v>692.24652000000015</v>
      </c>
      <c r="H297" s="21">
        <v>164.5</v>
      </c>
      <c r="I297" s="19">
        <f>H297*پارامترها!$B$6</f>
        <v>12337.5</v>
      </c>
      <c r="J297" s="22">
        <v>98</v>
      </c>
      <c r="K297" s="21">
        <f t="shared" si="12"/>
        <v>17.822408121314929</v>
      </c>
      <c r="L297" s="21">
        <f>I297/(پارامترها!$B$5/1000000)</f>
        <v>12.675296655879178</v>
      </c>
      <c r="M297" s="21">
        <f>K297/پارامترها!$B$7</f>
        <v>59.408027071049766</v>
      </c>
      <c r="N297" s="21">
        <v>16.25</v>
      </c>
      <c r="O297" s="21">
        <f>N297*پارامترها!$B$6*پارامترها!$B$16</f>
        <v>36.5625</v>
      </c>
      <c r="P297" s="21">
        <f>O297*12/G297*100</f>
        <v>63.380600309843359</v>
      </c>
      <c r="Q297" s="21">
        <f>O297*12/(پارامترها!$B$5/1000000)*100</f>
        <v>45.076282940360599</v>
      </c>
      <c r="R297" s="3" t="str">
        <f t="shared" si="13"/>
        <v>فشار شدید</v>
      </c>
      <c r="S297" s="21">
        <f>(1-NORMSDIST((LN(O297*12*1000000/پارامترها!$B$8)-پارامترها!$B$15)/پارامترها!$B$14))*100</f>
        <v>18.051298678630257</v>
      </c>
      <c r="T297" s="21">
        <f>(1-NORMSDIST((LN(I297*1000000/5)-پارامترها!$B$15)/پارامترها!$B$14))*100</f>
        <v>7.9377058159532776</v>
      </c>
      <c r="U297" s="21">
        <f>MIN(100,پارامترها!$B$9/1000000/I297*100)</f>
        <v>16.210739614994935</v>
      </c>
      <c r="V297" s="19">
        <f>MAX(0,I297-پارامترها!$B$9/1000000)</f>
        <v>10337.5</v>
      </c>
      <c r="W297" s="21">
        <f>V297/(G297*پارامترها!$B$7)</f>
        <v>49.777546492156191</v>
      </c>
      <c r="X297" s="21">
        <f>پارامترها!$B$12/1000000/(G297/12)*100</f>
        <v>69.816585694228536</v>
      </c>
      <c r="Y297" s="21">
        <f>ROUND(50*MIN(1,3/K297)+50*MIN(1,30/P297),1)</f>
        <v>32.1</v>
      </c>
      <c r="Z297" s="3">
        <f t="shared" si="14"/>
        <v>58</v>
      </c>
      <c r="AA297" s="19">
        <v>25</v>
      </c>
      <c r="AB297" s="19">
        <v>9</v>
      </c>
      <c r="AC297" s="3" t="s">
        <v>83</v>
      </c>
      <c r="AD297" s="3" t="s">
        <v>84</v>
      </c>
      <c r="AE297" s="3" t="s">
        <v>460</v>
      </c>
      <c r="AF297" s="23" t="s">
        <v>90</v>
      </c>
    </row>
    <row r="298" spans="1:32" ht="16.5" x14ac:dyDescent="0.3">
      <c r="A298" s="3">
        <v>297</v>
      </c>
      <c r="B298" s="3">
        <v>19</v>
      </c>
      <c r="C298" s="3" t="s">
        <v>461</v>
      </c>
      <c r="D298" s="19">
        <v>27883</v>
      </c>
      <c r="E298" s="19">
        <f>ROUND(D298/INDEX(مناطق!$D$2:$D$23,B298),0)</f>
        <v>8485</v>
      </c>
      <c r="F298" s="20">
        <v>0.6905</v>
      </c>
      <c r="G298" s="19">
        <f>پارامترها!$B$5*F298/1000000</f>
        <v>672.09817500000008</v>
      </c>
      <c r="H298" s="21">
        <v>159.9</v>
      </c>
      <c r="I298" s="19">
        <f>H298*پارامترها!$B$6</f>
        <v>11992.5</v>
      </c>
      <c r="J298" s="22">
        <v>81</v>
      </c>
      <c r="K298" s="21">
        <f t="shared" si="12"/>
        <v>17.843375337241465</v>
      </c>
      <c r="L298" s="21">
        <f>I298/(پارامترها!$B$5/1000000)</f>
        <v>12.320850670365232</v>
      </c>
      <c r="M298" s="21">
        <f>K298/پارامترها!$B$7</f>
        <v>59.477917790804888</v>
      </c>
      <c r="N298" s="21">
        <v>16.82</v>
      </c>
      <c r="O298" s="21">
        <f>N298*پارامترها!$B$6*پارامترها!$B$16</f>
        <v>37.844999999999999</v>
      </c>
      <c r="P298" s="21">
        <f>O298*12/G298*100</f>
        <v>67.570485517238595</v>
      </c>
      <c r="Q298" s="21">
        <f>O298*12/(پارامترها!$B$5/1000000)*100</f>
        <v>46.657420249653256</v>
      </c>
      <c r="R298" s="3" t="str">
        <f t="shared" si="13"/>
        <v>فشار شدید</v>
      </c>
      <c r="S298" s="21">
        <f>(1-NORMSDIST((LN(O298*12*1000000/پارامترها!$B$8)-پارامترها!$B$15)/پارامترها!$B$14))*100</f>
        <v>17.20500496215638</v>
      </c>
      <c r="T298" s="21">
        <f>(1-NORMSDIST((LN(I298*1000000/5)-پارامترها!$B$15)/پارامترها!$B$14))*100</f>
        <v>8.3426474070530823</v>
      </c>
      <c r="U298" s="21">
        <f>MIN(100,پارامترها!$B$9/1000000/I298*100)</f>
        <v>16.677089847821556</v>
      </c>
      <c r="V298" s="19">
        <f>MAX(0,I298-پارامترها!$B$9/1000000)</f>
        <v>9992.5</v>
      </c>
      <c r="W298" s="21">
        <f>V298/(G298*پارامترها!$B$7)</f>
        <v>49.558732001218914</v>
      </c>
      <c r="X298" s="21">
        <f>پارامترها!$B$12/1000000/(G298/12)*100</f>
        <v>71.909566612216281</v>
      </c>
      <c r="Y298" s="21">
        <f>ROUND(50*MIN(1,3/K298)+50*MIN(1,30/P298),1)</f>
        <v>30.6</v>
      </c>
      <c r="Z298" s="3">
        <f t="shared" si="14"/>
        <v>123</v>
      </c>
      <c r="AA298" s="19">
        <v>86</v>
      </c>
      <c r="AB298" s="19">
        <v>79</v>
      </c>
      <c r="AC298" s="3" t="s">
        <v>83</v>
      </c>
      <c r="AD298" s="3" t="s">
        <v>93</v>
      </c>
      <c r="AE298" s="3" t="s">
        <v>462</v>
      </c>
      <c r="AF298" s="23" t="s">
        <v>85</v>
      </c>
    </row>
    <row r="299" spans="1:32" ht="16.5" x14ac:dyDescent="0.3">
      <c r="A299" s="3">
        <v>298</v>
      </c>
      <c r="B299" s="3">
        <v>19</v>
      </c>
      <c r="C299" s="3" t="s">
        <v>463</v>
      </c>
      <c r="D299" s="19">
        <v>24840</v>
      </c>
      <c r="E299" s="19">
        <f>ROUND(D299/INDEX(مناطق!$D$2:$D$23,B299),0)</f>
        <v>7559</v>
      </c>
      <c r="F299" s="20">
        <v>0.6905</v>
      </c>
      <c r="G299" s="19">
        <f>پارامترها!$B$5*F299/1000000</f>
        <v>672.09817500000008</v>
      </c>
      <c r="H299" s="21">
        <v>159.9</v>
      </c>
      <c r="I299" s="19">
        <f>H299*پارامترها!$B$6</f>
        <v>11992.5</v>
      </c>
      <c r="J299" s="22">
        <v>81</v>
      </c>
      <c r="K299" s="21">
        <f t="shared" si="12"/>
        <v>17.843375337241465</v>
      </c>
      <c r="L299" s="21">
        <f>I299/(پارامترها!$B$5/1000000)</f>
        <v>12.320850670365232</v>
      </c>
      <c r="M299" s="21">
        <f>K299/پارامترها!$B$7</f>
        <v>59.477917790804888</v>
      </c>
      <c r="N299" s="21">
        <v>16.82</v>
      </c>
      <c r="O299" s="21">
        <f>N299*پارامترها!$B$6*پارامترها!$B$16</f>
        <v>37.844999999999999</v>
      </c>
      <c r="P299" s="21">
        <f>O299*12/G299*100</f>
        <v>67.570485517238595</v>
      </c>
      <c r="Q299" s="21">
        <f>O299*12/(پارامترها!$B$5/1000000)*100</f>
        <v>46.657420249653256</v>
      </c>
      <c r="R299" s="3" t="str">
        <f t="shared" si="13"/>
        <v>فشار شدید</v>
      </c>
      <c r="S299" s="21">
        <f>(1-NORMSDIST((LN(O299*12*1000000/پارامترها!$B$8)-پارامترها!$B$15)/پارامترها!$B$14))*100</f>
        <v>17.20500496215638</v>
      </c>
      <c r="T299" s="21">
        <f>(1-NORMSDIST((LN(I299*1000000/5)-پارامترها!$B$15)/پارامترها!$B$14))*100</f>
        <v>8.3426474070530823</v>
      </c>
      <c r="U299" s="21">
        <f>MIN(100,پارامترها!$B$9/1000000/I299*100)</f>
        <v>16.677089847821556</v>
      </c>
      <c r="V299" s="19">
        <f>MAX(0,I299-پارامترها!$B$9/1000000)</f>
        <v>9992.5</v>
      </c>
      <c r="W299" s="21">
        <f>V299/(G299*پارامترها!$B$7)</f>
        <v>49.558732001218914</v>
      </c>
      <c r="X299" s="21">
        <f>پارامترها!$B$12/1000000/(G299/12)*100</f>
        <v>71.909566612216281</v>
      </c>
      <c r="Y299" s="21">
        <f>ROUND(50*MIN(1,3/K299)+50*MIN(1,30/P299),1)</f>
        <v>30.6</v>
      </c>
      <c r="Z299" s="3">
        <f t="shared" si="14"/>
        <v>123</v>
      </c>
      <c r="AA299" s="19">
        <v>86</v>
      </c>
      <c r="AB299" s="19">
        <v>79</v>
      </c>
      <c r="AC299" s="3" t="s">
        <v>83</v>
      </c>
      <c r="AD299" s="3" t="s">
        <v>93</v>
      </c>
      <c r="AE299" s="3" t="s">
        <v>462</v>
      </c>
      <c r="AF299" s="23" t="s">
        <v>85</v>
      </c>
    </row>
    <row r="300" spans="1:32" ht="16.5" x14ac:dyDescent="0.3">
      <c r="A300" s="3">
        <v>299</v>
      </c>
      <c r="B300" s="3">
        <v>19</v>
      </c>
      <c r="C300" s="23" t="s">
        <v>464</v>
      </c>
      <c r="D300" s="19">
        <v>29110</v>
      </c>
      <c r="E300" s="19">
        <f>ROUND(D300/INDEX(مناطق!$D$2:$D$23,B300),0)</f>
        <v>8859</v>
      </c>
      <c r="F300" s="20">
        <v>0.62109999999999999</v>
      </c>
      <c r="G300" s="19">
        <f>پارامترها!$B$5*F300/1000000</f>
        <v>604.54768500000011</v>
      </c>
      <c r="H300" s="21">
        <v>144.4</v>
      </c>
      <c r="I300" s="19">
        <f>H300*پارامترها!$B$6</f>
        <v>10830</v>
      </c>
      <c r="J300" s="22">
        <v>72</v>
      </c>
      <c r="K300" s="21">
        <f t="shared" si="12"/>
        <v>17.914219620243848</v>
      </c>
      <c r="L300" s="21">
        <f>I300/(پارامترها!$B$5/1000000)</f>
        <v>11.126521806133455</v>
      </c>
      <c r="M300" s="21">
        <f>K300/پارامترها!$B$7</f>
        <v>59.714065400812828</v>
      </c>
      <c r="N300" s="21">
        <v>14.29</v>
      </c>
      <c r="O300" s="21">
        <f>N300*پارامترها!$B$6*پارامترها!$B$16</f>
        <v>32.152499999999996</v>
      </c>
      <c r="P300" s="21">
        <f>O300*12/G300*100</f>
        <v>63.821268292508613</v>
      </c>
      <c r="Q300" s="21">
        <f>O300*12/(پارامترها!$B$5/1000000)*100</f>
        <v>39.639389736477106</v>
      </c>
      <c r="R300" s="3" t="str">
        <f t="shared" si="13"/>
        <v>فشار شدید</v>
      </c>
      <c r="S300" s="21">
        <f>(1-NORMSDIST((LN(O300*12*1000000/پارامترها!$B$8)-پارامترها!$B$15)/پارامترها!$B$14))*100</f>
        <v>21.430809165624677</v>
      </c>
      <c r="T300" s="21">
        <f>(1-NORMSDIST((LN(I300*1000000/5)-پارامترها!$B$15)/پارامترها!$B$14))*100</f>
        <v>9.9269203926979248</v>
      </c>
      <c r="U300" s="21">
        <f>MIN(100,پارامترها!$B$9/1000000/I300*100)</f>
        <v>18.467220683287167</v>
      </c>
      <c r="V300" s="19">
        <f>MAX(0,I300-پارامترها!$B$9/1000000)</f>
        <v>8830</v>
      </c>
      <c r="W300" s="21">
        <f>V300/(G300*پارامترها!$B$7)</f>
        <v>48.686537164282299</v>
      </c>
      <c r="X300" s="21">
        <f>پارامترها!$B$12/1000000/(G300/12)*100</f>
        <v>79.944543142385029</v>
      </c>
      <c r="Y300" s="21">
        <f>ROUND(50*MIN(1,3/K300)+50*MIN(1,30/P300),1)</f>
        <v>31.9</v>
      </c>
      <c r="Z300" s="3">
        <f t="shared" si="14"/>
        <v>72</v>
      </c>
      <c r="AA300" s="19">
        <v>75</v>
      </c>
      <c r="AB300" s="19">
        <v>21</v>
      </c>
      <c r="AC300" s="3" t="s">
        <v>83</v>
      </c>
      <c r="AD300" s="3" t="s">
        <v>93</v>
      </c>
      <c r="AE300" s="3" t="s">
        <v>465</v>
      </c>
      <c r="AF300" s="23" t="s">
        <v>85</v>
      </c>
    </row>
    <row r="301" spans="1:32" ht="16.5" x14ac:dyDescent="0.3">
      <c r="A301" s="3">
        <v>300</v>
      </c>
      <c r="B301" s="3">
        <v>19</v>
      </c>
      <c r="C301" s="3" t="s">
        <v>466</v>
      </c>
      <c r="D301" s="19">
        <v>11005</v>
      </c>
      <c r="E301" s="19">
        <f>ROUND(D301/INDEX(مناطق!$D$2:$D$23,B301),0)</f>
        <v>3349</v>
      </c>
      <c r="F301" s="20">
        <v>0.59660000000000002</v>
      </c>
      <c r="G301" s="19">
        <f>پارامترها!$B$5*F301/1000000</f>
        <v>580.7006100000001</v>
      </c>
      <c r="H301" s="21">
        <v>138.9</v>
      </c>
      <c r="I301" s="19">
        <f>H301*پارامترها!$B$6</f>
        <v>10417.5</v>
      </c>
      <c r="J301" s="22"/>
      <c r="K301" s="21">
        <f t="shared" si="12"/>
        <v>17.939536863927177</v>
      </c>
      <c r="L301" s="21">
        <f>I301/(پارامترها!$B$5/1000000)</f>
        <v>10.702727693018954</v>
      </c>
      <c r="M301" s="21">
        <f>K301/پارامترها!$B$7</f>
        <v>59.798456213090596</v>
      </c>
      <c r="N301" s="21">
        <v>13.67</v>
      </c>
      <c r="O301" s="21">
        <f>N301*پارامترها!$B$6*پارامترها!$B$16</f>
        <v>30.7575</v>
      </c>
      <c r="P301" s="21">
        <f>O301*12/G301*100</f>
        <v>63.559430392194692</v>
      </c>
      <c r="Q301" s="21">
        <f>O301*12/(پارامترها!$B$5/1000000)*100</f>
        <v>37.919556171983352</v>
      </c>
      <c r="R301" s="3" t="str">
        <f t="shared" si="13"/>
        <v>فشار شدید</v>
      </c>
      <c r="S301" s="21">
        <f>(1-NORMSDIST((LN(O301*12*1000000/پارامترها!$B$8)-پارامترها!$B$15)/پارامترها!$B$14))*100</f>
        <v>22.677439486070718</v>
      </c>
      <c r="T301" s="21">
        <f>(1-NORMSDIST((LN(I301*1000000/5)-پارامترها!$B$15)/پارامترها!$B$14))*100</f>
        <v>10.584845671236121</v>
      </c>
      <c r="U301" s="21">
        <f>MIN(100,پارامترها!$B$9/1000000/I301*100)</f>
        <v>19.19846412287017</v>
      </c>
      <c r="V301" s="19">
        <f>MAX(0,I301-پارامترها!$B$9/1000000)</f>
        <v>8417.5</v>
      </c>
      <c r="W301" s="21">
        <f>V301/(G301*پارامترها!$B$7)</f>
        <v>48.318071050990163</v>
      </c>
      <c r="X301" s="21">
        <f>پارامترها!$B$12/1000000/(G301/12)*100</f>
        <v>83.227549020676079</v>
      </c>
      <c r="Y301" s="21">
        <f>ROUND(50*MIN(1,3/K301)+50*MIN(1,30/P301),1)</f>
        <v>32</v>
      </c>
      <c r="Z301" s="3">
        <f t="shared" si="14"/>
        <v>63</v>
      </c>
      <c r="AA301" s="19">
        <v>0</v>
      </c>
      <c r="AB301" s="19">
        <v>0</v>
      </c>
      <c r="AC301" s="3" t="s">
        <v>103</v>
      </c>
      <c r="AD301" s="3" t="s">
        <v>104</v>
      </c>
      <c r="AE301" s="23" t="s">
        <v>105</v>
      </c>
      <c r="AF301" s="23" t="s">
        <v>106</v>
      </c>
    </row>
    <row r="302" spans="1:32" ht="16.5" x14ac:dyDescent="0.3">
      <c r="A302" s="3">
        <v>301</v>
      </c>
      <c r="B302" s="3">
        <v>19</v>
      </c>
      <c r="C302" s="3" t="s">
        <v>467</v>
      </c>
      <c r="D302" s="19">
        <v>3887</v>
      </c>
      <c r="E302" s="19">
        <f>ROUND(D302/INDEX(مناطق!$D$2:$D$23,B302),0)</f>
        <v>1183</v>
      </c>
      <c r="F302" s="20">
        <v>0.59660000000000002</v>
      </c>
      <c r="G302" s="19">
        <f>پارامترها!$B$5*F302/1000000</f>
        <v>580.7006100000001</v>
      </c>
      <c r="H302" s="21">
        <v>138.9</v>
      </c>
      <c r="I302" s="19">
        <f>H302*پارامترها!$B$6</f>
        <v>10417.5</v>
      </c>
      <c r="J302" s="22"/>
      <c r="K302" s="21">
        <f t="shared" si="12"/>
        <v>17.939536863927177</v>
      </c>
      <c r="L302" s="21">
        <f>I302/(پارامترها!$B$5/1000000)</f>
        <v>10.702727693018954</v>
      </c>
      <c r="M302" s="21">
        <f>K302/پارامترها!$B$7</f>
        <v>59.798456213090596</v>
      </c>
      <c r="N302" s="21">
        <v>13.67</v>
      </c>
      <c r="O302" s="21">
        <f>N302*پارامترها!$B$6*پارامترها!$B$16</f>
        <v>30.7575</v>
      </c>
      <c r="P302" s="21">
        <f>O302*12/G302*100</f>
        <v>63.559430392194692</v>
      </c>
      <c r="Q302" s="21">
        <f>O302*12/(پارامترها!$B$5/1000000)*100</f>
        <v>37.919556171983352</v>
      </c>
      <c r="R302" s="3" t="str">
        <f t="shared" si="13"/>
        <v>فشار شدید</v>
      </c>
      <c r="S302" s="21">
        <f>(1-NORMSDIST((LN(O302*12*1000000/پارامترها!$B$8)-پارامترها!$B$15)/پارامترها!$B$14))*100</f>
        <v>22.677439486070718</v>
      </c>
      <c r="T302" s="21">
        <f>(1-NORMSDIST((LN(I302*1000000/5)-پارامترها!$B$15)/پارامترها!$B$14))*100</f>
        <v>10.584845671236121</v>
      </c>
      <c r="U302" s="21">
        <f>MIN(100,پارامترها!$B$9/1000000/I302*100)</f>
        <v>19.19846412287017</v>
      </c>
      <c r="V302" s="19">
        <f>MAX(0,I302-پارامترها!$B$9/1000000)</f>
        <v>8417.5</v>
      </c>
      <c r="W302" s="21">
        <f>V302/(G302*پارامترها!$B$7)</f>
        <v>48.318071050990163</v>
      </c>
      <c r="X302" s="21">
        <f>پارامترها!$B$12/1000000/(G302/12)*100</f>
        <v>83.227549020676079</v>
      </c>
      <c r="Y302" s="21">
        <f>ROUND(50*MIN(1,3/K302)+50*MIN(1,30/P302),1)</f>
        <v>32</v>
      </c>
      <c r="Z302" s="3">
        <f t="shared" si="14"/>
        <v>63</v>
      </c>
      <c r="AA302" s="19">
        <v>0</v>
      </c>
      <c r="AB302" s="19">
        <v>0</v>
      </c>
      <c r="AC302" s="3" t="s">
        <v>103</v>
      </c>
      <c r="AD302" s="3" t="s">
        <v>104</v>
      </c>
      <c r="AE302" s="23" t="s">
        <v>105</v>
      </c>
      <c r="AF302" s="23" t="s">
        <v>106</v>
      </c>
    </row>
    <row r="303" spans="1:32" ht="16.5" x14ac:dyDescent="0.3">
      <c r="A303" s="3">
        <v>302</v>
      </c>
      <c r="B303" s="3">
        <v>19</v>
      </c>
      <c r="C303" s="3" t="s">
        <v>468</v>
      </c>
      <c r="D303" s="19">
        <v>206</v>
      </c>
      <c r="E303" s="19">
        <f>ROUND(D303/INDEX(مناطق!$D$2:$D$23,B303),0)</f>
        <v>63</v>
      </c>
      <c r="F303" s="20">
        <v>0.59660000000000002</v>
      </c>
      <c r="G303" s="19">
        <f>پارامترها!$B$5*F303/1000000</f>
        <v>580.7006100000001</v>
      </c>
      <c r="H303" s="21">
        <v>138.9</v>
      </c>
      <c r="I303" s="19">
        <f>H303*پارامترها!$B$6</f>
        <v>10417.5</v>
      </c>
      <c r="J303" s="22"/>
      <c r="K303" s="21">
        <f t="shared" si="12"/>
        <v>17.939536863927177</v>
      </c>
      <c r="L303" s="21">
        <f>I303/(پارامترها!$B$5/1000000)</f>
        <v>10.702727693018954</v>
      </c>
      <c r="M303" s="21">
        <f>K303/پارامترها!$B$7</f>
        <v>59.798456213090596</v>
      </c>
      <c r="N303" s="21">
        <v>13.67</v>
      </c>
      <c r="O303" s="21">
        <f>N303*پارامترها!$B$6*پارامترها!$B$16</f>
        <v>30.7575</v>
      </c>
      <c r="P303" s="21">
        <f>O303*12/G303*100</f>
        <v>63.559430392194692</v>
      </c>
      <c r="Q303" s="21">
        <f>O303*12/(پارامترها!$B$5/1000000)*100</f>
        <v>37.919556171983352</v>
      </c>
      <c r="R303" s="3" t="str">
        <f t="shared" si="13"/>
        <v>فشار شدید</v>
      </c>
      <c r="S303" s="21">
        <f>(1-NORMSDIST((LN(O303*12*1000000/پارامترها!$B$8)-پارامترها!$B$15)/پارامترها!$B$14))*100</f>
        <v>22.677439486070718</v>
      </c>
      <c r="T303" s="21">
        <f>(1-NORMSDIST((LN(I303*1000000/5)-پارامترها!$B$15)/پارامترها!$B$14))*100</f>
        <v>10.584845671236121</v>
      </c>
      <c r="U303" s="21">
        <f>MIN(100,پارامترها!$B$9/1000000/I303*100)</f>
        <v>19.19846412287017</v>
      </c>
      <c r="V303" s="19">
        <f>MAX(0,I303-پارامترها!$B$9/1000000)</f>
        <v>8417.5</v>
      </c>
      <c r="W303" s="21">
        <f>V303/(G303*پارامترها!$B$7)</f>
        <v>48.318071050990163</v>
      </c>
      <c r="X303" s="21">
        <f>پارامترها!$B$12/1000000/(G303/12)*100</f>
        <v>83.227549020676079</v>
      </c>
      <c r="Y303" s="21">
        <f>ROUND(50*MIN(1,3/K303)+50*MIN(1,30/P303),1)</f>
        <v>32</v>
      </c>
      <c r="Z303" s="3">
        <f t="shared" si="14"/>
        <v>63</v>
      </c>
      <c r="AA303" s="19">
        <v>0</v>
      </c>
      <c r="AB303" s="19">
        <v>0</v>
      </c>
      <c r="AC303" s="3" t="s">
        <v>103</v>
      </c>
      <c r="AD303" s="3" t="s">
        <v>104</v>
      </c>
      <c r="AE303" s="23" t="s">
        <v>105</v>
      </c>
      <c r="AF303" s="23" t="s">
        <v>106</v>
      </c>
    </row>
    <row r="304" spans="1:32" ht="16.5" x14ac:dyDescent="0.3">
      <c r="A304" s="3">
        <v>303</v>
      </c>
      <c r="B304" s="3">
        <v>19</v>
      </c>
      <c r="C304" s="3" t="s">
        <v>469</v>
      </c>
      <c r="D304" s="19">
        <v>29117</v>
      </c>
      <c r="E304" s="19">
        <f>ROUND(D304/INDEX(مناطق!$D$2:$D$23,B304),0)</f>
        <v>8861</v>
      </c>
      <c r="F304" s="20">
        <v>0.4803</v>
      </c>
      <c r="G304" s="19">
        <f>پارامترها!$B$5*F304/1000000</f>
        <v>467.50000500000004</v>
      </c>
      <c r="H304" s="21">
        <v>112.6</v>
      </c>
      <c r="I304" s="19">
        <f>H304*پارامترها!$B$6</f>
        <v>8445</v>
      </c>
      <c r="J304" s="22">
        <v>67</v>
      </c>
      <c r="K304" s="21">
        <f t="shared" si="12"/>
        <v>18.064170929794962</v>
      </c>
      <c r="L304" s="21">
        <f>I304/(پارامترها!$B$5/1000000)</f>
        <v>8.6762212975805202</v>
      </c>
      <c r="M304" s="21">
        <f>K304/پارامترها!$B$7</f>
        <v>60.213903099316539</v>
      </c>
      <c r="N304" s="21">
        <v>13.49</v>
      </c>
      <c r="O304" s="21">
        <f>N304*پارامترها!$B$6*پارامترها!$B$16</f>
        <v>30.352499999999999</v>
      </c>
      <c r="P304" s="21">
        <f>O304*12/G304*100</f>
        <v>77.910159594543742</v>
      </c>
      <c r="Q304" s="21">
        <f>O304*12/(پارامترها!$B$5/1000000)*100</f>
        <v>37.420249653259354</v>
      </c>
      <c r="R304" s="3" t="str">
        <f t="shared" si="13"/>
        <v>فشار شدید</v>
      </c>
      <c r="S304" s="21">
        <f>(1-NORMSDIST((LN(O304*12*1000000/پارامترها!$B$8)-پارامترها!$B$15)/پارامترها!$B$14))*100</f>
        <v>23.057759498636432</v>
      </c>
      <c r="T304" s="21">
        <f>(1-NORMSDIST((LN(I304*1000000/5)-پارامترها!$B$15)/پارامترها!$B$14))*100</f>
        <v>14.687868679286719</v>
      </c>
      <c r="U304" s="21">
        <f>MIN(100,پارامترها!$B$9/1000000/I304*100)</f>
        <v>23.682652457075193</v>
      </c>
      <c r="V304" s="19">
        <f>MAX(0,I304-پارامترها!$B$9/1000000)</f>
        <v>6445</v>
      </c>
      <c r="W304" s="21">
        <f>V304/(G304*پارامترها!$B$7)</f>
        <v>45.953653697465377</v>
      </c>
      <c r="X304" s="21">
        <f>پارامترها!$B$12/1000000/(G304/12)*100</f>
        <v>103.38029511916582</v>
      </c>
      <c r="Y304" s="21">
        <f>ROUND(50*MIN(1,3/K304)+50*MIN(1,30/P304),1)</f>
        <v>27.6</v>
      </c>
      <c r="Z304" s="3">
        <f t="shared" si="14"/>
        <v>271</v>
      </c>
      <c r="AA304" s="19">
        <v>84</v>
      </c>
      <c r="AB304" s="19">
        <v>47</v>
      </c>
      <c r="AC304" s="3" t="s">
        <v>83</v>
      </c>
      <c r="AD304" s="3" t="s">
        <v>93</v>
      </c>
      <c r="AE304" s="3" t="s">
        <v>470</v>
      </c>
      <c r="AF304" s="23" t="s">
        <v>85</v>
      </c>
    </row>
    <row r="305" spans="1:32" x14ac:dyDescent="0.2">
      <c r="A305" s="3">
        <v>304</v>
      </c>
      <c r="B305" s="3">
        <v>19</v>
      </c>
      <c r="C305" s="3" t="s">
        <v>471</v>
      </c>
      <c r="D305" s="19">
        <v>11964</v>
      </c>
      <c r="E305" s="19">
        <f>ROUND(D305/INDEX(مناطق!$D$2:$D$23,B305),0)</f>
        <v>3641</v>
      </c>
      <c r="F305" s="20">
        <v>0.44819999999999999</v>
      </c>
      <c r="G305" s="19">
        <f>پارامترها!$B$5*F305/1000000</f>
        <v>436.25547000000006</v>
      </c>
      <c r="H305" s="21">
        <v>105.3</v>
      </c>
      <c r="I305" s="19">
        <f>H305*پارامترها!$B$6</f>
        <v>7897.5</v>
      </c>
      <c r="J305" s="22">
        <v>83</v>
      </c>
      <c r="K305" s="21">
        <f t="shared" si="12"/>
        <v>18.102924875646828</v>
      </c>
      <c r="L305" s="21">
        <f>I305/(پارامترها!$B$5/1000000)</f>
        <v>8.1137309292649089</v>
      </c>
      <c r="M305" s="21">
        <f>K305/پارامترها!$B$7</f>
        <v>60.343082918822759</v>
      </c>
      <c r="N305" s="21">
        <v>10.01</v>
      </c>
      <c r="O305" s="21">
        <f>N305*پارامترها!$B$6*پارامترها!$B$16</f>
        <v>22.522500000000001</v>
      </c>
      <c r="P305" s="21">
        <f>O305*12/G305*100</f>
        <v>61.952231796658033</v>
      </c>
      <c r="Q305" s="21">
        <f>O305*12/(پارامترها!$B$5/1000000)*100</f>
        <v>27.766990291262129</v>
      </c>
      <c r="R305" s="3" t="str">
        <f t="shared" si="13"/>
        <v>فشار شدید</v>
      </c>
      <c r="S305" s="21">
        <f>(1-NORMSDIST((LN(O305*12*1000000/پارامترها!$B$8)-پارامترها!$B$15)/پارامترها!$B$14))*100</f>
        <v>32.488020375665059</v>
      </c>
      <c r="T305" s="21">
        <f>(1-NORMSDIST((LN(I305*1000000/5)-پارامترها!$B$15)/پارامترها!$B$14))*100</f>
        <v>16.197545132783965</v>
      </c>
      <c r="U305" s="21">
        <f>MIN(100,پارامترها!$B$9/1000000/I305*100)</f>
        <v>25.324469768914216</v>
      </c>
      <c r="V305" s="19">
        <f>MAX(0,I305-پارامترها!$B$9/1000000)</f>
        <v>5897.5</v>
      </c>
      <c r="W305" s="21">
        <f>V305/(G305*پارامترها!$B$7)</f>
        <v>45.06151712741466</v>
      </c>
      <c r="X305" s="21">
        <f>پارامترها!$B$12/1000000/(G305/12)*100</f>
        <v>110.78437248044477</v>
      </c>
      <c r="Y305" s="21">
        <f>ROUND(50*MIN(1,3/K305)+50*MIN(1,30/P305),1)</f>
        <v>32.5</v>
      </c>
      <c r="Z305" s="3">
        <f t="shared" si="14"/>
        <v>42</v>
      </c>
      <c r="AA305" s="19">
        <v>77</v>
      </c>
      <c r="AB305" s="19">
        <v>12</v>
      </c>
      <c r="AC305" s="3" t="s">
        <v>83</v>
      </c>
      <c r="AD305" s="3" t="s">
        <v>84</v>
      </c>
      <c r="AE305" s="3" t="s">
        <v>471</v>
      </c>
      <c r="AF305" s="23" t="s">
        <v>90</v>
      </c>
    </row>
    <row r="306" spans="1:32" ht="16.5" x14ac:dyDescent="0.3">
      <c r="A306" s="3">
        <v>305</v>
      </c>
      <c r="B306" s="3">
        <v>19</v>
      </c>
      <c r="C306" s="3" t="s">
        <v>472</v>
      </c>
      <c r="D306" s="19">
        <v>4137</v>
      </c>
      <c r="E306" s="19">
        <f>ROUND(D306/INDEX(مناطق!$D$2:$D$23,B306),0)</f>
        <v>1259</v>
      </c>
      <c r="F306" s="20">
        <v>0.44819999999999999</v>
      </c>
      <c r="G306" s="19">
        <f>پارامترها!$B$5*F306/1000000</f>
        <v>436.25547000000006</v>
      </c>
      <c r="H306" s="21">
        <v>105.3</v>
      </c>
      <c r="I306" s="19">
        <f>H306*پارامترها!$B$6</f>
        <v>7897.5</v>
      </c>
      <c r="J306" s="22">
        <v>83</v>
      </c>
      <c r="K306" s="21">
        <f t="shared" si="12"/>
        <v>18.102924875646828</v>
      </c>
      <c r="L306" s="21">
        <f>I306/(پارامترها!$B$5/1000000)</f>
        <v>8.1137309292649089</v>
      </c>
      <c r="M306" s="21">
        <f>K306/پارامترها!$B$7</f>
        <v>60.343082918822759</v>
      </c>
      <c r="N306" s="21">
        <v>10.01</v>
      </c>
      <c r="O306" s="21">
        <f>N306*پارامترها!$B$6*پارامترها!$B$16</f>
        <v>22.522500000000001</v>
      </c>
      <c r="P306" s="21">
        <f>O306*12/G306*100</f>
        <v>61.952231796658033</v>
      </c>
      <c r="Q306" s="21">
        <f>O306*12/(پارامترها!$B$5/1000000)*100</f>
        <v>27.766990291262129</v>
      </c>
      <c r="R306" s="3" t="str">
        <f t="shared" si="13"/>
        <v>فشار شدید</v>
      </c>
      <c r="S306" s="21">
        <f>(1-NORMSDIST((LN(O306*12*1000000/پارامترها!$B$8)-پارامترها!$B$15)/پارامترها!$B$14))*100</f>
        <v>32.488020375665059</v>
      </c>
      <c r="T306" s="21">
        <f>(1-NORMSDIST((LN(I306*1000000/5)-پارامترها!$B$15)/پارامترها!$B$14))*100</f>
        <v>16.197545132783965</v>
      </c>
      <c r="U306" s="21">
        <f>MIN(100,پارامترها!$B$9/1000000/I306*100)</f>
        <v>25.324469768914216</v>
      </c>
      <c r="V306" s="19">
        <f>MAX(0,I306-پارامترها!$B$9/1000000)</f>
        <v>5897.5</v>
      </c>
      <c r="W306" s="21">
        <f>V306/(G306*پارامترها!$B$7)</f>
        <v>45.06151712741466</v>
      </c>
      <c r="X306" s="21">
        <f>پارامترها!$B$12/1000000/(G306/12)*100</f>
        <v>110.78437248044477</v>
      </c>
      <c r="Y306" s="21">
        <f>ROUND(50*MIN(1,3/K306)+50*MIN(1,30/P306),1)</f>
        <v>32.5</v>
      </c>
      <c r="Z306" s="3">
        <f t="shared" si="14"/>
        <v>42</v>
      </c>
      <c r="AA306" s="19">
        <v>77</v>
      </c>
      <c r="AB306" s="19">
        <v>12</v>
      </c>
      <c r="AC306" s="3" t="s">
        <v>83</v>
      </c>
      <c r="AD306" s="3" t="s">
        <v>146</v>
      </c>
      <c r="AE306" s="3" t="s">
        <v>471</v>
      </c>
      <c r="AF306" s="23" t="s">
        <v>90</v>
      </c>
    </row>
    <row r="307" spans="1:32" x14ac:dyDescent="0.2">
      <c r="A307" s="3">
        <v>306</v>
      </c>
      <c r="B307" s="3">
        <v>19</v>
      </c>
      <c r="C307" s="3" t="s">
        <v>473</v>
      </c>
      <c r="D307" s="19">
        <v>36941</v>
      </c>
      <c r="E307" s="19">
        <f>ROUND(D307/INDEX(مناطق!$D$2:$D$23,B307),0)</f>
        <v>11242</v>
      </c>
      <c r="F307" s="20">
        <v>0.42320000000000002</v>
      </c>
      <c r="G307" s="19">
        <f>پارامترها!$B$5*F307/1000000</f>
        <v>411.92172000000005</v>
      </c>
      <c r="H307" s="21">
        <v>99.6</v>
      </c>
      <c r="I307" s="19">
        <f>H307*پارامترها!$B$6</f>
        <v>7470</v>
      </c>
      <c r="J307" s="22">
        <v>95</v>
      </c>
      <c r="K307" s="21">
        <f t="shared" si="12"/>
        <v>18.134513518733606</v>
      </c>
      <c r="L307" s="21">
        <f>I307/(پارامترها!$B$5/1000000)</f>
        <v>7.6745261211280615</v>
      </c>
      <c r="M307" s="21">
        <f>K307/پارامترها!$B$7</f>
        <v>60.44837839577869</v>
      </c>
      <c r="N307" s="21">
        <v>9.6300000000000008</v>
      </c>
      <c r="O307" s="21">
        <f>N307*پارامترها!$B$6*پارامترها!$B$16</f>
        <v>21.667500000000004</v>
      </c>
      <c r="P307" s="21">
        <f>O307*12/G307*100</f>
        <v>63.121216332073971</v>
      </c>
      <c r="Q307" s="21">
        <f>O307*12/(پارامترها!$B$5/1000000)*100</f>
        <v>26.712898751733704</v>
      </c>
      <c r="R307" s="3" t="str">
        <f t="shared" si="13"/>
        <v>فشار شدید</v>
      </c>
      <c r="S307" s="21">
        <f>(1-NORMSDIST((LN(O307*12*1000000/پارامترها!$B$8)-پارامترها!$B$15)/پارامترها!$B$14))*100</f>
        <v>33.819075802730801</v>
      </c>
      <c r="T307" s="21">
        <f>(1-NORMSDIST((LN(I307*1000000/5)-پارامترها!$B$15)/پارامترها!$B$14))*100</f>
        <v>17.525160837814546</v>
      </c>
      <c r="U307" s="21">
        <f>MIN(100,پارامترها!$B$9/1000000/I307*100)</f>
        <v>26.773761713520749</v>
      </c>
      <c r="V307" s="19">
        <f>MAX(0,I307-پارامترها!$B$9/1000000)</f>
        <v>5470</v>
      </c>
      <c r="W307" s="21">
        <f>V307/(G307*پارامترها!$B$7)</f>
        <v>44.264073604405546</v>
      </c>
      <c r="X307" s="21">
        <f>پارامترها!$B$12/1000000/(G307/12)*100</f>
        <v>117.32881792470545</v>
      </c>
      <c r="Y307" s="21">
        <f>ROUND(50*MIN(1,3/K307)+50*MIN(1,30/P307),1)</f>
        <v>32</v>
      </c>
      <c r="Z307" s="3">
        <f t="shared" si="14"/>
        <v>63</v>
      </c>
      <c r="AA307" s="19">
        <v>33</v>
      </c>
      <c r="AB307" s="19">
        <v>10</v>
      </c>
      <c r="AC307" s="3" t="s">
        <v>83</v>
      </c>
      <c r="AD307" s="3" t="s">
        <v>84</v>
      </c>
      <c r="AE307" s="3" t="s">
        <v>474</v>
      </c>
      <c r="AF307" s="23" t="s">
        <v>90</v>
      </c>
    </row>
    <row r="308" spans="1:32" ht="16.5" x14ac:dyDescent="0.3">
      <c r="A308" s="3">
        <v>307</v>
      </c>
      <c r="B308" s="3">
        <v>20</v>
      </c>
      <c r="C308" s="3" t="s">
        <v>475</v>
      </c>
      <c r="D308" s="19">
        <v>56901</v>
      </c>
      <c r="E308" s="19">
        <f>ROUND(D308/INDEX(مناطق!$D$2:$D$23,B308),0)</f>
        <v>18032</v>
      </c>
      <c r="F308" s="20">
        <v>0.45200000000000001</v>
      </c>
      <c r="G308" s="19">
        <f>پارامترها!$B$5*F308/1000000</f>
        <v>439.95420000000007</v>
      </c>
      <c r="H308" s="21">
        <v>110.4</v>
      </c>
      <c r="I308" s="19">
        <f>H308*پارامترها!$B$6</f>
        <v>8280</v>
      </c>
      <c r="J308" s="22"/>
      <c r="K308" s="21">
        <f t="shared" si="12"/>
        <v>18.820140823749377</v>
      </c>
      <c r="L308" s="21">
        <f>I308/(پارامترها!$B$5/1000000)</f>
        <v>8.5067036523347195</v>
      </c>
      <c r="M308" s="21">
        <f>K308/پارامترها!$B$7</f>
        <v>62.733802745831255</v>
      </c>
      <c r="N308" s="21">
        <v>10.87</v>
      </c>
      <c r="O308" s="21">
        <f>N308*پارامترها!$B$6*پارامترها!$B$16</f>
        <v>24.457499999999996</v>
      </c>
      <c r="P308" s="21">
        <f>O308*12/G308*100</f>
        <v>66.709216550268167</v>
      </c>
      <c r="Q308" s="21">
        <f>O308*12/(پارامترها!$B$5/1000000)*100</f>
        <v>30.152565880721209</v>
      </c>
      <c r="R308" s="3" t="str">
        <f t="shared" si="13"/>
        <v>فشار شدید</v>
      </c>
      <c r="S308" s="21">
        <f>(1-NORMSDIST((LN(O308*12*1000000/پارامترها!$B$8)-پارامترها!$B$15)/پارامترها!$B$14))*100</f>
        <v>29.728275994652552</v>
      </c>
      <c r="T308" s="21">
        <f>(1-NORMSDIST((LN(I308*1000000/5)-پارامترها!$B$15)/پارامترها!$B$14))*100</f>
        <v>15.12214216973784</v>
      </c>
      <c r="U308" s="21">
        <f>MIN(100,پارامترها!$B$9/1000000/I308*100)</f>
        <v>24.154589371980677</v>
      </c>
      <c r="V308" s="19">
        <f>MAX(0,I308-پارامترها!$B$9/1000000)</f>
        <v>6280</v>
      </c>
      <c r="W308" s="21">
        <f>V308/(G308*پارامترها!$B$7)</f>
        <v>47.580710295147384</v>
      </c>
      <c r="X308" s="21">
        <f>پارامترها!$B$12/1000000/(G308/12)*100</f>
        <v>109.85299943746756</v>
      </c>
      <c r="Y308" s="21">
        <f>ROUND(50*MIN(1,3/K308)+50*MIN(1,30/P308),1)</f>
        <v>30.5</v>
      </c>
      <c r="Z308" s="3">
        <f t="shared" si="14"/>
        <v>128</v>
      </c>
      <c r="AA308" s="19">
        <v>0</v>
      </c>
      <c r="AB308" s="19">
        <v>0</v>
      </c>
      <c r="AC308" s="3" t="s">
        <v>103</v>
      </c>
      <c r="AD308" s="3" t="s">
        <v>104</v>
      </c>
      <c r="AE308" s="23" t="s">
        <v>105</v>
      </c>
      <c r="AF308" s="23" t="s">
        <v>106</v>
      </c>
    </row>
    <row r="309" spans="1:32" ht="16.5" x14ac:dyDescent="0.3">
      <c r="A309" s="3">
        <v>308</v>
      </c>
      <c r="B309" s="3">
        <v>20</v>
      </c>
      <c r="C309" s="3" t="s">
        <v>476</v>
      </c>
      <c r="D309" s="19">
        <v>45026</v>
      </c>
      <c r="E309" s="19">
        <f>ROUND(D309/INDEX(مناطق!$D$2:$D$23,B309),0)</f>
        <v>14269</v>
      </c>
      <c r="F309" s="20">
        <v>0.45200000000000001</v>
      </c>
      <c r="G309" s="19">
        <f>پارامترها!$B$5*F309/1000000</f>
        <v>439.95420000000007</v>
      </c>
      <c r="H309" s="21">
        <v>110.4</v>
      </c>
      <c r="I309" s="19">
        <f>H309*پارامترها!$B$6</f>
        <v>8280</v>
      </c>
      <c r="J309" s="22"/>
      <c r="K309" s="21">
        <f t="shared" si="12"/>
        <v>18.820140823749377</v>
      </c>
      <c r="L309" s="21">
        <f>I309/(پارامترها!$B$5/1000000)</f>
        <v>8.5067036523347195</v>
      </c>
      <c r="M309" s="21">
        <f>K309/پارامترها!$B$7</f>
        <v>62.733802745831255</v>
      </c>
      <c r="N309" s="21">
        <v>10.87</v>
      </c>
      <c r="O309" s="21">
        <f>N309*پارامترها!$B$6*پارامترها!$B$16</f>
        <v>24.457499999999996</v>
      </c>
      <c r="P309" s="21">
        <f>O309*12/G309*100</f>
        <v>66.709216550268167</v>
      </c>
      <c r="Q309" s="21">
        <f>O309*12/(پارامترها!$B$5/1000000)*100</f>
        <v>30.152565880721209</v>
      </c>
      <c r="R309" s="3" t="str">
        <f t="shared" si="13"/>
        <v>فشار شدید</v>
      </c>
      <c r="S309" s="21">
        <f>(1-NORMSDIST((LN(O309*12*1000000/پارامترها!$B$8)-پارامترها!$B$15)/پارامترها!$B$14))*100</f>
        <v>29.728275994652552</v>
      </c>
      <c r="T309" s="21">
        <f>(1-NORMSDIST((LN(I309*1000000/5)-پارامترها!$B$15)/پارامترها!$B$14))*100</f>
        <v>15.12214216973784</v>
      </c>
      <c r="U309" s="21">
        <f>MIN(100,پارامترها!$B$9/1000000/I309*100)</f>
        <v>24.154589371980677</v>
      </c>
      <c r="V309" s="19">
        <f>MAX(0,I309-پارامترها!$B$9/1000000)</f>
        <v>6280</v>
      </c>
      <c r="W309" s="21">
        <f>V309/(G309*پارامترها!$B$7)</f>
        <v>47.580710295147384</v>
      </c>
      <c r="X309" s="21">
        <f>پارامترها!$B$12/1000000/(G309/12)*100</f>
        <v>109.85299943746756</v>
      </c>
      <c r="Y309" s="21">
        <f>ROUND(50*MIN(1,3/K309)+50*MIN(1,30/P309),1)</f>
        <v>30.5</v>
      </c>
      <c r="Z309" s="3">
        <f t="shared" si="14"/>
        <v>128</v>
      </c>
      <c r="AA309" s="19">
        <v>0</v>
      </c>
      <c r="AB309" s="19">
        <v>0</v>
      </c>
      <c r="AC309" s="3" t="s">
        <v>103</v>
      </c>
      <c r="AD309" s="3" t="s">
        <v>104</v>
      </c>
      <c r="AE309" s="23" t="s">
        <v>105</v>
      </c>
      <c r="AF309" s="23" t="s">
        <v>106</v>
      </c>
    </row>
    <row r="310" spans="1:32" ht="16.5" x14ac:dyDescent="0.3">
      <c r="A310" s="3">
        <v>309</v>
      </c>
      <c r="B310" s="3">
        <v>20</v>
      </c>
      <c r="C310" s="3" t="s">
        <v>477</v>
      </c>
      <c r="D310" s="19">
        <v>35423</v>
      </c>
      <c r="E310" s="19">
        <f>ROUND(D310/INDEX(مناطق!$D$2:$D$23,B310),0)</f>
        <v>11226</v>
      </c>
      <c r="F310" s="20">
        <v>0.45200000000000001</v>
      </c>
      <c r="G310" s="19">
        <f>پارامترها!$B$5*F310/1000000</f>
        <v>439.95420000000007</v>
      </c>
      <c r="H310" s="21">
        <v>110.4</v>
      </c>
      <c r="I310" s="19">
        <f>H310*پارامترها!$B$6</f>
        <v>8280</v>
      </c>
      <c r="J310" s="22"/>
      <c r="K310" s="21">
        <f t="shared" si="12"/>
        <v>18.820140823749377</v>
      </c>
      <c r="L310" s="21">
        <f>I310/(پارامترها!$B$5/1000000)</f>
        <v>8.5067036523347195</v>
      </c>
      <c r="M310" s="21">
        <f>K310/پارامترها!$B$7</f>
        <v>62.733802745831255</v>
      </c>
      <c r="N310" s="21">
        <v>10.87</v>
      </c>
      <c r="O310" s="21">
        <f>N310*پارامترها!$B$6*پارامترها!$B$16</f>
        <v>24.457499999999996</v>
      </c>
      <c r="P310" s="21">
        <f>O310*12/G310*100</f>
        <v>66.709216550268167</v>
      </c>
      <c r="Q310" s="21">
        <f>O310*12/(پارامترها!$B$5/1000000)*100</f>
        <v>30.152565880721209</v>
      </c>
      <c r="R310" s="3" t="str">
        <f t="shared" si="13"/>
        <v>فشار شدید</v>
      </c>
      <c r="S310" s="21">
        <f>(1-NORMSDIST((LN(O310*12*1000000/پارامترها!$B$8)-پارامترها!$B$15)/پارامترها!$B$14))*100</f>
        <v>29.728275994652552</v>
      </c>
      <c r="T310" s="21">
        <f>(1-NORMSDIST((LN(I310*1000000/5)-پارامترها!$B$15)/پارامترها!$B$14))*100</f>
        <v>15.12214216973784</v>
      </c>
      <c r="U310" s="21">
        <f>MIN(100,پارامترها!$B$9/1000000/I310*100)</f>
        <v>24.154589371980677</v>
      </c>
      <c r="V310" s="19">
        <f>MAX(0,I310-پارامترها!$B$9/1000000)</f>
        <v>6280</v>
      </c>
      <c r="W310" s="21">
        <f>V310/(G310*پارامترها!$B$7)</f>
        <v>47.580710295147384</v>
      </c>
      <c r="X310" s="21">
        <f>پارامترها!$B$12/1000000/(G310/12)*100</f>
        <v>109.85299943746756</v>
      </c>
      <c r="Y310" s="21">
        <f>ROUND(50*MIN(1,3/K310)+50*MIN(1,30/P310),1)</f>
        <v>30.5</v>
      </c>
      <c r="Z310" s="3">
        <f t="shared" si="14"/>
        <v>128</v>
      </c>
      <c r="AA310" s="19">
        <v>0</v>
      </c>
      <c r="AB310" s="19">
        <v>0</v>
      </c>
      <c r="AC310" s="3" t="s">
        <v>103</v>
      </c>
      <c r="AD310" s="3" t="s">
        <v>104</v>
      </c>
      <c r="AE310" s="23" t="s">
        <v>105</v>
      </c>
      <c r="AF310" s="23" t="s">
        <v>106</v>
      </c>
    </row>
    <row r="311" spans="1:32" ht="16.5" x14ac:dyDescent="0.3">
      <c r="A311" s="3">
        <v>310</v>
      </c>
      <c r="B311" s="3">
        <v>20</v>
      </c>
      <c r="C311" s="3" t="s">
        <v>478</v>
      </c>
      <c r="D311" s="19">
        <v>31801</v>
      </c>
      <c r="E311" s="19">
        <f>ROUND(D311/INDEX(مناطق!$D$2:$D$23,B311),0)</f>
        <v>10078</v>
      </c>
      <c r="F311" s="20">
        <v>0.45200000000000001</v>
      </c>
      <c r="G311" s="19">
        <f>پارامترها!$B$5*F311/1000000</f>
        <v>439.95420000000007</v>
      </c>
      <c r="H311" s="21">
        <v>110.4</v>
      </c>
      <c r="I311" s="19">
        <f>H311*پارامترها!$B$6</f>
        <v>8280</v>
      </c>
      <c r="J311" s="22"/>
      <c r="K311" s="21">
        <f t="shared" si="12"/>
        <v>18.820140823749377</v>
      </c>
      <c r="L311" s="21">
        <f>I311/(پارامترها!$B$5/1000000)</f>
        <v>8.5067036523347195</v>
      </c>
      <c r="M311" s="21">
        <f>K311/پارامترها!$B$7</f>
        <v>62.733802745831255</v>
      </c>
      <c r="N311" s="21">
        <v>10.87</v>
      </c>
      <c r="O311" s="21">
        <f>N311*پارامترها!$B$6*پارامترها!$B$16</f>
        <v>24.457499999999996</v>
      </c>
      <c r="P311" s="21">
        <f>O311*12/G311*100</f>
        <v>66.709216550268167</v>
      </c>
      <c r="Q311" s="21">
        <f>O311*12/(پارامترها!$B$5/1000000)*100</f>
        <v>30.152565880721209</v>
      </c>
      <c r="R311" s="3" t="str">
        <f t="shared" si="13"/>
        <v>فشار شدید</v>
      </c>
      <c r="S311" s="21">
        <f>(1-NORMSDIST((LN(O311*12*1000000/پارامترها!$B$8)-پارامترها!$B$15)/پارامترها!$B$14))*100</f>
        <v>29.728275994652552</v>
      </c>
      <c r="T311" s="21">
        <f>(1-NORMSDIST((LN(I311*1000000/5)-پارامترها!$B$15)/پارامترها!$B$14))*100</f>
        <v>15.12214216973784</v>
      </c>
      <c r="U311" s="21">
        <f>MIN(100,پارامترها!$B$9/1000000/I311*100)</f>
        <v>24.154589371980677</v>
      </c>
      <c r="V311" s="19">
        <f>MAX(0,I311-پارامترها!$B$9/1000000)</f>
        <v>6280</v>
      </c>
      <c r="W311" s="21">
        <f>V311/(G311*پارامترها!$B$7)</f>
        <v>47.580710295147384</v>
      </c>
      <c r="X311" s="21">
        <f>پارامترها!$B$12/1000000/(G311/12)*100</f>
        <v>109.85299943746756</v>
      </c>
      <c r="Y311" s="21">
        <f>ROUND(50*MIN(1,3/K311)+50*MIN(1,30/P311),1)</f>
        <v>30.5</v>
      </c>
      <c r="Z311" s="3">
        <f t="shared" si="14"/>
        <v>128</v>
      </c>
      <c r="AA311" s="19">
        <v>0</v>
      </c>
      <c r="AB311" s="19">
        <v>0</v>
      </c>
      <c r="AC311" s="3" t="s">
        <v>103</v>
      </c>
      <c r="AD311" s="3" t="s">
        <v>104</v>
      </c>
      <c r="AE311" s="23" t="s">
        <v>105</v>
      </c>
      <c r="AF311" s="23" t="s">
        <v>106</v>
      </c>
    </row>
    <row r="312" spans="1:32" ht="16.5" x14ac:dyDescent="0.3">
      <c r="A312" s="3">
        <v>311</v>
      </c>
      <c r="B312" s="3">
        <v>20</v>
      </c>
      <c r="C312" s="3" t="s">
        <v>479</v>
      </c>
      <c r="D312" s="19">
        <v>28394</v>
      </c>
      <c r="E312" s="19">
        <f>ROUND(D312/INDEX(مناطق!$D$2:$D$23,B312),0)</f>
        <v>8998</v>
      </c>
      <c r="F312" s="20">
        <v>0.45200000000000001</v>
      </c>
      <c r="G312" s="19">
        <f>پارامترها!$B$5*F312/1000000</f>
        <v>439.95420000000007</v>
      </c>
      <c r="H312" s="21">
        <v>110.4</v>
      </c>
      <c r="I312" s="19">
        <f>H312*پارامترها!$B$6</f>
        <v>8280</v>
      </c>
      <c r="J312" s="22"/>
      <c r="K312" s="21">
        <f t="shared" si="12"/>
        <v>18.820140823749377</v>
      </c>
      <c r="L312" s="21">
        <f>I312/(پارامترها!$B$5/1000000)</f>
        <v>8.5067036523347195</v>
      </c>
      <c r="M312" s="21">
        <f>K312/پارامترها!$B$7</f>
        <v>62.733802745831255</v>
      </c>
      <c r="N312" s="21">
        <v>10.87</v>
      </c>
      <c r="O312" s="21">
        <f>N312*پارامترها!$B$6*پارامترها!$B$16</f>
        <v>24.457499999999996</v>
      </c>
      <c r="P312" s="21">
        <f>O312*12/G312*100</f>
        <v>66.709216550268167</v>
      </c>
      <c r="Q312" s="21">
        <f>O312*12/(پارامترها!$B$5/1000000)*100</f>
        <v>30.152565880721209</v>
      </c>
      <c r="R312" s="3" t="str">
        <f t="shared" si="13"/>
        <v>فشار شدید</v>
      </c>
      <c r="S312" s="21">
        <f>(1-NORMSDIST((LN(O312*12*1000000/پارامترها!$B$8)-پارامترها!$B$15)/پارامترها!$B$14))*100</f>
        <v>29.728275994652552</v>
      </c>
      <c r="T312" s="21">
        <f>(1-NORMSDIST((LN(I312*1000000/5)-پارامترها!$B$15)/پارامترها!$B$14))*100</f>
        <v>15.12214216973784</v>
      </c>
      <c r="U312" s="21">
        <f>MIN(100,پارامترها!$B$9/1000000/I312*100)</f>
        <v>24.154589371980677</v>
      </c>
      <c r="V312" s="19">
        <f>MAX(0,I312-پارامترها!$B$9/1000000)</f>
        <v>6280</v>
      </c>
      <c r="W312" s="21">
        <f>V312/(G312*پارامترها!$B$7)</f>
        <v>47.580710295147384</v>
      </c>
      <c r="X312" s="21">
        <f>پارامترها!$B$12/1000000/(G312/12)*100</f>
        <v>109.85299943746756</v>
      </c>
      <c r="Y312" s="21">
        <f>ROUND(50*MIN(1,3/K312)+50*MIN(1,30/P312),1)</f>
        <v>30.5</v>
      </c>
      <c r="Z312" s="3">
        <f t="shared" si="14"/>
        <v>128</v>
      </c>
      <c r="AA312" s="19">
        <v>0</v>
      </c>
      <c r="AB312" s="19">
        <v>0</v>
      </c>
      <c r="AC312" s="3" t="s">
        <v>103</v>
      </c>
      <c r="AD312" s="3" t="s">
        <v>104</v>
      </c>
      <c r="AE312" s="23" t="s">
        <v>105</v>
      </c>
      <c r="AF312" s="23" t="s">
        <v>106</v>
      </c>
    </row>
    <row r="313" spans="1:32" ht="16.5" x14ac:dyDescent="0.3">
      <c r="A313" s="3">
        <v>312</v>
      </c>
      <c r="B313" s="3">
        <v>20</v>
      </c>
      <c r="C313" s="3" t="s">
        <v>480</v>
      </c>
      <c r="D313" s="19">
        <v>23866</v>
      </c>
      <c r="E313" s="19">
        <f>ROUND(D313/INDEX(مناطق!$D$2:$D$23,B313),0)</f>
        <v>7563</v>
      </c>
      <c r="F313" s="20">
        <v>0.45200000000000001</v>
      </c>
      <c r="G313" s="19">
        <f>پارامترها!$B$5*F313/1000000</f>
        <v>439.95420000000007</v>
      </c>
      <c r="H313" s="21">
        <v>110.4</v>
      </c>
      <c r="I313" s="19">
        <f>H313*پارامترها!$B$6</f>
        <v>8280</v>
      </c>
      <c r="J313" s="22"/>
      <c r="K313" s="21">
        <f t="shared" si="12"/>
        <v>18.820140823749377</v>
      </c>
      <c r="L313" s="21">
        <f>I313/(پارامترها!$B$5/1000000)</f>
        <v>8.5067036523347195</v>
      </c>
      <c r="M313" s="21">
        <f>K313/پارامترها!$B$7</f>
        <v>62.733802745831255</v>
      </c>
      <c r="N313" s="21">
        <v>10.87</v>
      </c>
      <c r="O313" s="21">
        <f>N313*پارامترها!$B$6*پارامترها!$B$16</f>
        <v>24.457499999999996</v>
      </c>
      <c r="P313" s="21">
        <f>O313*12/G313*100</f>
        <v>66.709216550268167</v>
      </c>
      <c r="Q313" s="21">
        <f>O313*12/(پارامترها!$B$5/1000000)*100</f>
        <v>30.152565880721209</v>
      </c>
      <c r="R313" s="3" t="str">
        <f t="shared" si="13"/>
        <v>فشار شدید</v>
      </c>
      <c r="S313" s="21">
        <f>(1-NORMSDIST((LN(O313*12*1000000/پارامترها!$B$8)-پارامترها!$B$15)/پارامترها!$B$14))*100</f>
        <v>29.728275994652552</v>
      </c>
      <c r="T313" s="21">
        <f>(1-NORMSDIST((LN(I313*1000000/5)-پارامترها!$B$15)/پارامترها!$B$14))*100</f>
        <v>15.12214216973784</v>
      </c>
      <c r="U313" s="21">
        <f>MIN(100,پارامترها!$B$9/1000000/I313*100)</f>
        <v>24.154589371980677</v>
      </c>
      <c r="V313" s="19">
        <f>MAX(0,I313-پارامترها!$B$9/1000000)</f>
        <v>6280</v>
      </c>
      <c r="W313" s="21">
        <f>V313/(G313*پارامترها!$B$7)</f>
        <v>47.580710295147384</v>
      </c>
      <c r="X313" s="21">
        <f>پارامترها!$B$12/1000000/(G313/12)*100</f>
        <v>109.85299943746756</v>
      </c>
      <c r="Y313" s="21">
        <f>ROUND(50*MIN(1,3/K313)+50*MIN(1,30/P313),1)</f>
        <v>30.5</v>
      </c>
      <c r="Z313" s="3">
        <f t="shared" si="14"/>
        <v>128</v>
      </c>
      <c r="AA313" s="19">
        <v>0</v>
      </c>
      <c r="AB313" s="19">
        <v>0</v>
      </c>
      <c r="AC313" s="3" t="s">
        <v>103</v>
      </c>
      <c r="AD313" s="3" t="s">
        <v>104</v>
      </c>
      <c r="AE313" s="23" t="s">
        <v>105</v>
      </c>
      <c r="AF313" s="23" t="s">
        <v>106</v>
      </c>
    </row>
    <row r="314" spans="1:32" ht="16.5" x14ac:dyDescent="0.3">
      <c r="A314" s="3">
        <v>313</v>
      </c>
      <c r="B314" s="3">
        <v>20</v>
      </c>
      <c r="C314" s="3" t="s">
        <v>481</v>
      </c>
      <c r="D314" s="19">
        <v>23849</v>
      </c>
      <c r="E314" s="19">
        <f>ROUND(D314/INDEX(مناطق!$D$2:$D$23,B314),0)</f>
        <v>7558</v>
      </c>
      <c r="F314" s="20">
        <v>0.45200000000000001</v>
      </c>
      <c r="G314" s="19">
        <f>پارامترها!$B$5*F314/1000000</f>
        <v>439.95420000000007</v>
      </c>
      <c r="H314" s="21">
        <v>110.4</v>
      </c>
      <c r="I314" s="19">
        <f>H314*پارامترها!$B$6</f>
        <v>8280</v>
      </c>
      <c r="J314" s="22"/>
      <c r="K314" s="21">
        <f t="shared" si="12"/>
        <v>18.820140823749377</v>
      </c>
      <c r="L314" s="21">
        <f>I314/(پارامترها!$B$5/1000000)</f>
        <v>8.5067036523347195</v>
      </c>
      <c r="M314" s="21">
        <f>K314/پارامترها!$B$7</f>
        <v>62.733802745831255</v>
      </c>
      <c r="N314" s="21">
        <v>10.87</v>
      </c>
      <c r="O314" s="21">
        <f>N314*پارامترها!$B$6*پارامترها!$B$16</f>
        <v>24.457499999999996</v>
      </c>
      <c r="P314" s="21">
        <f>O314*12/G314*100</f>
        <v>66.709216550268167</v>
      </c>
      <c r="Q314" s="21">
        <f>O314*12/(پارامترها!$B$5/1000000)*100</f>
        <v>30.152565880721209</v>
      </c>
      <c r="R314" s="3" t="str">
        <f t="shared" si="13"/>
        <v>فشار شدید</v>
      </c>
      <c r="S314" s="21">
        <f>(1-NORMSDIST((LN(O314*12*1000000/پارامترها!$B$8)-پارامترها!$B$15)/پارامترها!$B$14))*100</f>
        <v>29.728275994652552</v>
      </c>
      <c r="T314" s="21">
        <f>(1-NORMSDIST((LN(I314*1000000/5)-پارامترها!$B$15)/پارامترها!$B$14))*100</f>
        <v>15.12214216973784</v>
      </c>
      <c r="U314" s="21">
        <f>MIN(100,پارامترها!$B$9/1000000/I314*100)</f>
        <v>24.154589371980677</v>
      </c>
      <c r="V314" s="19">
        <f>MAX(0,I314-پارامترها!$B$9/1000000)</f>
        <v>6280</v>
      </c>
      <c r="W314" s="21">
        <f>V314/(G314*پارامترها!$B$7)</f>
        <v>47.580710295147384</v>
      </c>
      <c r="X314" s="21">
        <f>پارامترها!$B$12/1000000/(G314/12)*100</f>
        <v>109.85299943746756</v>
      </c>
      <c r="Y314" s="21">
        <f>ROUND(50*MIN(1,3/K314)+50*MIN(1,30/P314),1)</f>
        <v>30.5</v>
      </c>
      <c r="Z314" s="3">
        <f t="shared" si="14"/>
        <v>128</v>
      </c>
      <c r="AA314" s="19">
        <v>0</v>
      </c>
      <c r="AB314" s="19">
        <v>0</v>
      </c>
      <c r="AC314" s="3" t="s">
        <v>103</v>
      </c>
      <c r="AD314" s="3" t="s">
        <v>104</v>
      </c>
      <c r="AE314" s="23" t="s">
        <v>105</v>
      </c>
      <c r="AF314" s="23" t="s">
        <v>106</v>
      </c>
    </row>
    <row r="315" spans="1:32" ht="16.5" x14ac:dyDescent="0.3">
      <c r="A315" s="3">
        <v>314</v>
      </c>
      <c r="B315" s="3">
        <v>20</v>
      </c>
      <c r="C315" s="3" t="s">
        <v>482</v>
      </c>
      <c r="D315" s="19">
        <v>20246</v>
      </c>
      <c r="E315" s="19">
        <f>ROUND(D315/INDEX(مناطق!$D$2:$D$23,B315),0)</f>
        <v>6416</v>
      </c>
      <c r="F315" s="20">
        <v>0.45200000000000001</v>
      </c>
      <c r="G315" s="19">
        <f>پارامترها!$B$5*F315/1000000</f>
        <v>439.95420000000007</v>
      </c>
      <c r="H315" s="21">
        <v>110.4</v>
      </c>
      <c r="I315" s="19">
        <f>H315*پارامترها!$B$6</f>
        <v>8280</v>
      </c>
      <c r="J315" s="22"/>
      <c r="K315" s="21">
        <f t="shared" si="12"/>
        <v>18.820140823749377</v>
      </c>
      <c r="L315" s="21">
        <f>I315/(پارامترها!$B$5/1000000)</f>
        <v>8.5067036523347195</v>
      </c>
      <c r="M315" s="21">
        <f>K315/پارامترها!$B$7</f>
        <v>62.733802745831255</v>
      </c>
      <c r="N315" s="21">
        <v>10.87</v>
      </c>
      <c r="O315" s="21">
        <f>N315*پارامترها!$B$6*پارامترها!$B$16</f>
        <v>24.457499999999996</v>
      </c>
      <c r="P315" s="21">
        <f>O315*12/G315*100</f>
        <v>66.709216550268167</v>
      </c>
      <c r="Q315" s="21">
        <f>O315*12/(پارامترها!$B$5/1000000)*100</f>
        <v>30.152565880721209</v>
      </c>
      <c r="R315" s="3" t="str">
        <f t="shared" si="13"/>
        <v>فشار شدید</v>
      </c>
      <c r="S315" s="21">
        <f>(1-NORMSDIST((LN(O315*12*1000000/پارامترها!$B$8)-پارامترها!$B$15)/پارامترها!$B$14))*100</f>
        <v>29.728275994652552</v>
      </c>
      <c r="T315" s="21">
        <f>(1-NORMSDIST((LN(I315*1000000/5)-پارامترها!$B$15)/پارامترها!$B$14))*100</f>
        <v>15.12214216973784</v>
      </c>
      <c r="U315" s="21">
        <f>MIN(100,پارامترها!$B$9/1000000/I315*100)</f>
        <v>24.154589371980677</v>
      </c>
      <c r="V315" s="19">
        <f>MAX(0,I315-پارامترها!$B$9/1000000)</f>
        <v>6280</v>
      </c>
      <c r="W315" s="21">
        <f>V315/(G315*پارامترها!$B$7)</f>
        <v>47.580710295147384</v>
      </c>
      <c r="X315" s="21">
        <f>پارامترها!$B$12/1000000/(G315/12)*100</f>
        <v>109.85299943746756</v>
      </c>
      <c r="Y315" s="21">
        <f>ROUND(50*MIN(1,3/K315)+50*MIN(1,30/P315),1)</f>
        <v>30.5</v>
      </c>
      <c r="Z315" s="3">
        <f t="shared" si="14"/>
        <v>128</v>
      </c>
      <c r="AA315" s="19">
        <v>0</v>
      </c>
      <c r="AB315" s="19">
        <v>0</v>
      </c>
      <c r="AC315" s="3" t="s">
        <v>103</v>
      </c>
      <c r="AD315" s="3" t="s">
        <v>104</v>
      </c>
      <c r="AE315" s="23" t="s">
        <v>105</v>
      </c>
      <c r="AF315" s="23" t="s">
        <v>106</v>
      </c>
    </row>
    <row r="316" spans="1:32" ht="16.5" x14ac:dyDescent="0.3">
      <c r="A316" s="3">
        <v>315</v>
      </c>
      <c r="B316" s="3">
        <v>20</v>
      </c>
      <c r="C316" s="3" t="s">
        <v>483</v>
      </c>
      <c r="D316" s="19">
        <v>18187</v>
      </c>
      <c r="E316" s="19">
        <f>ROUND(D316/INDEX(مناطق!$D$2:$D$23,B316),0)</f>
        <v>5763</v>
      </c>
      <c r="F316" s="20">
        <v>0.45200000000000001</v>
      </c>
      <c r="G316" s="19">
        <f>پارامترها!$B$5*F316/1000000</f>
        <v>439.95420000000007</v>
      </c>
      <c r="H316" s="21">
        <v>110.4</v>
      </c>
      <c r="I316" s="19">
        <f>H316*پارامترها!$B$6</f>
        <v>8280</v>
      </c>
      <c r="J316" s="22"/>
      <c r="K316" s="21">
        <f t="shared" si="12"/>
        <v>18.820140823749377</v>
      </c>
      <c r="L316" s="21">
        <f>I316/(پارامترها!$B$5/1000000)</f>
        <v>8.5067036523347195</v>
      </c>
      <c r="M316" s="21">
        <f>K316/پارامترها!$B$7</f>
        <v>62.733802745831255</v>
      </c>
      <c r="N316" s="21">
        <v>10.87</v>
      </c>
      <c r="O316" s="21">
        <f>N316*پارامترها!$B$6*پارامترها!$B$16</f>
        <v>24.457499999999996</v>
      </c>
      <c r="P316" s="21">
        <f>O316*12/G316*100</f>
        <v>66.709216550268167</v>
      </c>
      <c r="Q316" s="21">
        <f>O316*12/(پارامترها!$B$5/1000000)*100</f>
        <v>30.152565880721209</v>
      </c>
      <c r="R316" s="3" t="str">
        <f t="shared" si="13"/>
        <v>فشار شدید</v>
      </c>
      <c r="S316" s="21">
        <f>(1-NORMSDIST((LN(O316*12*1000000/پارامترها!$B$8)-پارامترها!$B$15)/پارامترها!$B$14))*100</f>
        <v>29.728275994652552</v>
      </c>
      <c r="T316" s="21">
        <f>(1-NORMSDIST((LN(I316*1000000/5)-پارامترها!$B$15)/پارامترها!$B$14))*100</f>
        <v>15.12214216973784</v>
      </c>
      <c r="U316" s="21">
        <f>MIN(100,پارامترها!$B$9/1000000/I316*100)</f>
        <v>24.154589371980677</v>
      </c>
      <c r="V316" s="19">
        <f>MAX(0,I316-پارامترها!$B$9/1000000)</f>
        <v>6280</v>
      </c>
      <c r="W316" s="21">
        <f>V316/(G316*پارامترها!$B$7)</f>
        <v>47.580710295147384</v>
      </c>
      <c r="X316" s="21">
        <f>پارامترها!$B$12/1000000/(G316/12)*100</f>
        <v>109.85299943746756</v>
      </c>
      <c r="Y316" s="21">
        <f>ROUND(50*MIN(1,3/K316)+50*MIN(1,30/P316),1)</f>
        <v>30.5</v>
      </c>
      <c r="Z316" s="3">
        <f t="shared" si="14"/>
        <v>128</v>
      </c>
      <c r="AA316" s="19">
        <v>0</v>
      </c>
      <c r="AB316" s="19">
        <v>0</v>
      </c>
      <c r="AC316" s="3" t="s">
        <v>103</v>
      </c>
      <c r="AD316" s="3" t="s">
        <v>104</v>
      </c>
      <c r="AE316" s="23" t="s">
        <v>105</v>
      </c>
      <c r="AF316" s="23" t="s">
        <v>106</v>
      </c>
    </row>
    <row r="317" spans="1:32" ht="16.5" x14ac:dyDescent="0.3">
      <c r="A317" s="3">
        <v>316</v>
      </c>
      <c r="B317" s="3">
        <v>20</v>
      </c>
      <c r="C317" s="3" t="s">
        <v>484</v>
      </c>
      <c r="D317" s="19">
        <v>14452</v>
      </c>
      <c r="E317" s="19">
        <f>ROUND(D317/INDEX(مناطق!$D$2:$D$23,B317),0)</f>
        <v>4580</v>
      </c>
      <c r="F317" s="20">
        <v>0.45200000000000001</v>
      </c>
      <c r="G317" s="19">
        <f>پارامترها!$B$5*F317/1000000</f>
        <v>439.95420000000007</v>
      </c>
      <c r="H317" s="21">
        <v>110.4</v>
      </c>
      <c r="I317" s="19">
        <f>H317*پارامترها!$B$6</f>
        <v>8280</v>
      </c>
      <c r="J317" s="22">
        <v>58</v>
      </c>
      <c r="K317" s="21">
        <f t="shared" si="12"/>
        <v>18.820140823749377</v>
      </c>
      <c r="L317" s="21">
        <f>I317/(پارامترها!$B$5/1000000)</f>
        <v>8.5067036523347195</v>
      </c>
      <c r="M317" s="21">
        <f>K317/پارامترها!$B$7</f>
        <v>62.733802745831255</v>
      </c>
      <c r="N317" s="21">
        <v>11.57</v>
      </c>
      <c r="O317" s="21">
        <f>N317*پارامترها!$B$6*پارامترها!$B$16</f>
        <v>26.032499999999999</v>
      </c>
      <c r="P317" s="21">
        <f>O317*12/G317*100</f>
        <v>71.005118260037051</v>
      </c>
      <c r="Q317" s="21">
        <f>O317*12/(پارامترها!$B$5/1000000)*100</f>
        <v>32.094313453536749</v>
      </c>
      <c r="R317" s="3" t="str">
        <f t="shared" si="13"/>
        <v>فشار شدید</v>
      </c>
      <c r="S317" s="21">
        <f>(1-NORMSDIST((LN(O317*12*1000000/پارامترها!$B$8)-پارامترها!$B$15)/پارامترها!$B$14))*100</f>
        <v>27.712767052851174</v>
      </c>
      <c r="T317" s="21">
        <f>(1-NORMSDIST((LN(I317*1000000/5)-پارامترها!$B$15)/پارامترها!$B$14))*100</f>
        <v>15.12214216973784</v>
      </c>
      <c r="U317" s="21">
        <f>MIN(100,پارامترها!$B$9/1000000/I317*100)</f>
        <v>24.154589371980677</v>
      </c>
      <c r="V317" s="19">
        <f>MAX(0,I317-پارامترها!$B$9/1000000)</f>
        <v>6280</v>
      </c>
      <c r="W317" s="21">
        <f>V317/(G317*پارامترها!$B$7)</f>
        <v>47.580710295147384</v>
      </c>
      <c r="X317" s="21">
        <f>پارامترها!$B$12/1000000/(G317/12)*100</f>
        <v>109.85299943746756</v>
      </c>
      <c r="Y317" s="21">
        <f>ROUND(50*MIN(1,3/K317)+50*MIN(1,30/P317),1)</f>
        <v>29.1</v>
      </c>
      <c r="Z317" s="3">
        <f t="shared" si="14"/>
        <v>221</v>
      </c>
      <c r="AA317" s="19">
        <v>82</v>
      </c>
      <c r="AB317" s="19">
        <v>19</v>
      </c>
      <c r="AC317" s="3" t="s">
        <v>83</v>
      </c>
      <c r="AD317" s="3" t="s">
        <v>93</v>
      </c>
      <c r="AE317" s="3" t="s">
        <v>401</v>
      </c>
      <c r="AF317" s="23" t="s">
        <v>90</v>
      </c>
    </row>
    <row r="318" spans="1:32" ht="16.5" x14ac:dyDescent="0.3">
      <c r="A318" s="3">
        <v>317</v>
      </c>
      <c r="B318" s="3">
        <v>20</v>
      </c>
      <c r="C318" s="3" t="s">
        <v>485</v>
      </c>
      <c r="D318" s="19">
        <v>12817</v>
      </c>
      <c r="E318" s="19">
        <f>ROUND(D318/INDEX(مناطق!$D$2:$D$23,B318),0)</f>
        <v>4062</v>
      </c>
      <c r="F318" s="20">
        <v>0.45200000000000001</v>
      </c>
      <c r="G318" s="19">
        <f>پارامترها!$B$5*F318/1000000</f>
        <v>439.95420000000007</v>
      </c>
      <c r="H318" s="21">
        <v>110.4</v>
      </c>
      <c r="I318" s="19">
        <f>H318*پارامترها!$B$6</f>
        <v>8280</v>
      </c>
      <c r="J318" s="22"/>
      <c r="K318" s="21">
        <f t="shared" si="12"/>
        <v>18.820140823749377</v>
      </c>
      <c r="L318" s="21">
        <f>I318/(پارامترها!$B$5/1000000)</f>
        <v>8.5067036523347195</v>
      </c>
      <c r="M318" s="21">
        <f>K318/پارامترها!$B$7</f>
        <v>62.733802745831255</v>
      </c>
      <c r="N318" s="21">
        <v>10.87</v>
      </c>
      <c r="O318" s="21">
        <f>N318*پارامترها!$B$6*پارامترها!$B$16</f>
        <v>24.457499999999996</v>
      </c>
      <c r="P318" s="21">
        <f>O318*12/G318*100</f>
        <v>66.709216550268167</v>
      </c>
      <c r="Q318" s="21">
        <f>O318*12/(پارامترها!$B$5/1000000)*100</f>
        <v>30.152565880721209</v>
      </c>
      <c r="R318" s="3" t="str">
        <f t="shared" si="13"/>
        <v>فشار شدید</v>
      </c>
      <c r="S318" s="21">
        <f>(1-NORMSDIST((LN(O318*12*1000000/پارامترها!$B$8)-پارامترها!$B$15)/پارامترها!$B$14))*100</f>
        <v>29.728275994652552</v>
      </c>
      <c r="T318" s="21">
        <f>(1-NORMSDIST((LN(I318*1000000/5)-پارامترها!$B$15)/پارامترها!$B$14))*100</f>
        <v>15.12214216973784</v>
      </c>
      <c r="U318" s="21">
        <f>MIN(100,پارامترها!$B$9/1000000/I318*100)</f>
        <v>24.154589371980677</v>
      </c>
      <c r="V318" s="19">
        <f>MAX(0,I318-پارامترها!$B$9/1000000)</f>
        <v>6280</v>
      </c>
      <c r="W318" s="21">
        <f>V318/(G318*پارامترها!$B$7)</f>
        <v>47.580710295147384</v>
      </c>
      <c r="X318" s="21">
        <f>پارامترها!$B$12/1000000/(G318/12)*100</f>
        <v>109.85299943746756</v>
      </c>
      <c r="Y318" s="21">
        <f>ROUND(50*MIN(1,3/K318)+50*MIN(1,30/P318),1)</f>
        <v>30.5</v>
      </c>
      <c r="Z318" s="3">
        <f t="shared" si="14"/>
        <v>128</v>
      </c>
      <c r="AA318" s="19">
        <v>0</v>
      </c>
      <c r="AB318" s="19">
        <v>0</v>
      </c>
      <c r="AC318" s="3" t="s">
        <v>103</v>
      </c>
      <c r="AD318" s="3" t="s">
        <v>104</v>
      </c>
      <c r="AE318" s="23" t="s">
        <v>105</v>
      </c>
      <c r="AF318" s="23" t="s">
        <v>106</v>
      </c>
    </row>
    <row r="319" spans="1:32" ht="16.5" x14ac:dyDescent="0.3">
      <c r="A319" s="3">
        <v>318</v>
      </c>
      <c r="B319" s="3">
        <v>20</v>
      </c>
      <c r="C319" s="3" t="s">
        <v>486</v>
      </c>
      <c r="D319" s="19">
        <v>12509</v>
      </c>
      <c r="E319" s="19">
        <f>ROUND(D319/INDEX(مناطق!$D$2:$D$23,B319),0)</f>
        <v>3964</v>
      </c>
      <c r="F319" s="20">
        <v>0.45200000000000001</v>
      </c>
      <c r="G319" s="19">
        <f>پارامترها!$B$5*F319/1000000</f>
        <v>439.95420000000007</v>
      </c>
      <c r="H319" s="21">
        <v>110.4</v>
      </c>
      <c r="I319" s="19">
        <f>H319*پارامترها!$B$6</f>
        <v>8280</v>
      </c>
      <c r="J319" s="22"/>
      <c r="K319" s="21">
        <f t="shared" si="12"/>
        <v>18.820140823749377</v>
      </c>
      <c r="L319" s="21">
        <f>I319/(پارامترها!$B$5/1000000)</f>
        <v>8.5067036523347195</v>
      </c>
      <c r="M319" s="21">
        <f>K319/پارامترها!$B$7</f>
        <v>62.733802745831255</v>
      </c>
      <c r="N319" s="21">
        <v>10.87</v>
      </c>
      <c r="O319" s="21">
        <f>N319*پارامترها!$B$6*پارامترها!$B$16</f>
        <v>24.457499999999996</v>
      </c>
      <c r="P319" s="21">
        <f>O319*12/G319*100</f>
        <v>66.709216550268167</v>
      </c>
      <c r="Q319" s="21">
        <f>O319*12/(پارامترها!$B$5/1000000)*100</f>
        <v>30.152565880721209</v>
      </c>
      <c r="R319" s="3" t="str">
        <f t="shared" si="13"/>
        <v>فشار شدید</v>
      </c>
      <c r="S319" s="21">
        <f>(1-NORMSDIST((LN(O319*12*1000000/پارامترها!$B$8)-پارامترها!$B$15)/پارامترها!$B$14))*100</f>
        <v>29.728275994652552</v>
      </c>
      <c r="T319" s="21">
        <f>(1-NORMSDIST((LN(I319*1000000/5)-پارامترها!$B$15)/پارامترها!$B$14))*100</f>
        <v>15.12214216973784</v>
      </c>
      <c r="U319" s="21">
        <f>MIN(100,پارامترها!$B$9/1000000/I319*100)</f>
        <v>24.154589371980677</v>
      </c>
      <c r="V319" s="19">
        <f>MAX(0,I319-پارامترها!$B$9/1000000)</f>
        <v>6280</v>
      </c>
      <c r="W319" s="21">
        <f>V319/(G319*پارامترها!$B$7)</f>
        <v>47.580710295147384</v>
      </c>
      <c r="X319" s="21">
        <f>پارامترها!$B$12/1000000/(G319/12)*100</f>
        <v>109.85299943746756</v>
      </c>
      <c r="Y319" s="21">
        <f>ROUND(50*MIN(1,3/K319)+50*MIN(1,30/P319),1)</f>
        <v>30.5</v>
      </c>
      <c r="Z319" s="3">
        <f t="shared" si="14"/>
        <v>128</v>
      </c>
      <c r="AA319" s="19">
        <v>0</v>
      </c>
      <c r="AB319" s="19">
        <v>0</v>
      </c>
      <c r="AC319" s="3" t="s">
        <v>103</v>
      </c>
      <c r="AD319" s="3" t="s">
        <v>104</v>
      </c>
      <c r="AE319" s="23" t="s">
        <v>105</v>
      </c>
      <c r="AF319" s="23" t="s">
        <v>106</v>
      </c>
    </row>
    <row r="320" spans="1:32" ht="16.5" x14ac:dyDescent="0.3">
      <c r="A320" s="3">
        <v>319</v>
      </c>
      <c r="B320" s="3">
        <v>20</v>
      </c>
      <c r="C320" s="3" t="s">
        <v>487</v>
      </c>
      <c r="D320" s="19">
        <v>10381</v>
      </c>
      <c r="E320" s="19">
        <f>ROUND(D320/INDEX(مناطق!$D$2:$D$23,B320),0)</f>
        <v>3290</v>
      </c>
      <c r="F320" s="20">
        <v>0.45200000000000001</v>
      </c>
      <c r="G320" s="19">
        <f>پارامترها!$B$5*F320/1000000</f>
        <v>439.95420000000007</v>
      </c>
      <c r="H320" s="21">
        <v>110.4</v>
      </c>
      <c r="I320" s="19">
        <f>H320*پارامترها!$B$6</f>
        <v>8280</v>
      </c>
      <c r="J320" s="22"/>
      <c r="K320" s="21">
        <f t="shared" si="12"/>
        <v>18.820140823749377</v>
      </c>
      <c r="L320" s="21">
        <f>I320/(پارامترها!$B$5/1000000)</f>
        <v>8.5067036523347195</v>
      </c>
      <c r="M320" s="21">
        <f>K320/پارامترها!$B$7</f>
        <v>62.733802745831255</v>
      </c>
      <c r="N320" s="21">
        <v>10.87</v>
      </c>
      <c r="O320" s="21">
        <f>N320*پارامترها!$B$6*پارامترها!$B$16</f>
        <v>24.457499999999996</v>
      </c>
      <c r="P320" s="21">
        <f>O320*12/G320*100</f>
        <v>66.709216550268167</v>
      </c>
      <c r="Q320" s="21">
        <f>O320*12/(پارامترها!$B$5/1000000)*100</f>
        <v>30.152565880721209</v>
      </c>
      <c r="R320" s="3" t="str">
        <f t="shared" si="13"/>
        <v>فشار شدید</v>
      </c>
      <c r="S320" s="21">
        <f>(1-NORMSDIST((LN(O320*12*1000000/پارامترها!$B$8)-پارامترها!$B$15)/پارامترها!$B$14))*100</f>
        <v>29.728275994652552</v>
      </c>
      <c r="T320" s="21">
        <f>(1-NORMSDIST((LN(I320*1000000/5)-پارامترها!$B$15)/پارامترها!$B$14))*100</f>
        <v>15.12214216973784</v>
      </c>
      <c r="U320" s="21">
        <f>MIN(100,پارامترها!$B$9/1000000/I320*100)</f>
        <v>24.154589371980677</v>
      </c>
      <c r="V320" s="19">
        <f>MAX(0,I320-پارامترها!$B$9/1000000)</f>
        <v>6280</v>
      </c>
      <c r="W320" s="21">
        <f>V320/(G320*پارامترها!$B$7)</f>
        <v>47.580710295147384</v>
      </c>
      <c r="X320" s="21">
        <f>پارامترها!$B$12/1000000/(G320/12)*100</f>
        <v>109.85299943746756</v>
      </c>
      <c r="Y320" s="21">
        <f>ROUND(50*MIN(1,3/K320)+50*MIN(1,30/P320),1)</f>
        <v>30.5</v>
      </c>
      <c r="Z320" s="3">
        <f t="shared" si="14"/>
        <v>128</v>
      </c>
      <c r="AA320" s="19">
        <v>0</v>
      </c>
      <c r="AB320" s="19">
        <v>0</v>
      </c>
      <c r="AC320" s="3" t="s">
        <v>103</v>
      </c>
      <c r="AD320" s="3" t="s">
        <v>104</v>
      </c>
      <c r="AE320" s="23" t="s">
        <v>105</v>
      </c>
      <c r="AF320" s="23" t="s">
        <v>106</v>
      </c>
    </row>
    <row r="321" spans="1:32" ht="16.5" x14ac:dyDescent="0.3">
      <c r="A321" s="3">
        <v>320</v>
      </c>
      <c r="B321" s="3">
        <v>20</v>
      </c>
      <c r="C321" s="3" t="s">
        <v>488</v>
      </c>
      <c r="D321" s="19">
        <v>9437</v>
      </c>
      <c r="E321" s="19">
        <f>ROUND(D321/INDEX(مناطق!$D$2:$D$23,B321),0)</f>
        <v>2991</v>
      </c>
      <c r="F321" s="20">
        <v>0.45200000000000001</v>
      </c>
      <c r="G321" s="19">
        <f>پارامترها!$B$5*F321/1000000</f>
        <v>439.95420000000007</v>
      </c>
      <c r="H321" s="21">
        <v>110.4</v>
      </c>
      <c r="I321" s="19">
        <f>H321*پارامترها!$B$6</f>
        <v>8280</v>
      </c>
      <c r="J321" s="22"/>
      <c r="K321" s="21">
        <f t="shared" si="12"/>
        <v>18.820140823749377</v>
      </c>
      <c r="L321" s="21">
        <f>I321/(پارامترها!$B$5/1000000)</f>
        <v>8.5067036523347195</v>
      </c>
      <c r="M321" s="21">
        <f>K321/پارامترها!$B$7</f>
        <v>62.733802745831255</v>
      </c>
      <c r="N321" s="21">
        <v>10.87</v>
      </c>
      <c r="O321" s="21">
        <f>N321*پارامترها!$B$6*پارامترها!$B$16</f>
        <v>24.457499999999996</v>
      </c>
      <c r="P321" s="21">
        <f>O321*12/G321*100</f>
        <v>66.709216550268167</v>
      </c>
      <c r="Q321" s="21">
        <f>O321*12/(پارامترها!$B$5/1000000)*100</f>
        <v>30.152565880721209</v>
      </c>
      <c r="R321" s="3" t="str">
        <f t="shared" si="13"/>
        <v>فشار شدید</v>
      </c>
      <c r="S321" s="21">
        <f>(1-NORMSDIST((LN(O321*12*1000000/پارامترها!$B$8)-پارامترها!$B$15)/پارامترها!$B$14))*100</f>
        <v>29.728275994652552</v>
      </c>
      <c r="T321" s="21">
        <f>(1-NORMSDIST((LN(I321*1000000/5)-پارامترها!$B$15)/پارامترها!$B$14))*100</f>
        <v>15.12214216973784</v>
      </c>
      <c r="U321" s="21">
        <f>MIN(100,پارامترها!$B$9/1000000/I321*100)</f>
        <v>24.154589371980677</v>
      </c>
      <c r="V321" s="19">
        <f>MAX(0,I321-پارامترها!$B$9/1000000)</f>
        <v>6280</v>
      </c>
      <c r="W321" s="21">
        <f>V321/(G321*پارامترها!$B$7)</f>
        <v>47.580710295147384</v>
      </c>
      <c r="X321" s="21">
        <f>پارامترها!$B$12/1000000/(G321/12)*100</f>
        <v>109.85299943746756</v>
      </c>
      <c r="Y321" s="21">
        <f>ROUND(50*MIN(1,3/K321)+50*MIN(1,30/P321),1)</f>
        <v>30.5</v>
      </c>
      <c r="Z321" s="3">
        <f t="shared" si="14"/>
        <v>128</v>
      </c>
      <c r="AA321" s="19">
        <v>0</v>
      </c>
      <c r="AB321" s="19">
        <v>0</v>
      </c>
      <c r="AC321" s="3" t="s">
        <v>103</v>
      </c>
      <c r="AD321" s="3" t="s">
        <v>104</v>
      </c>
      <c r="AE321" s="23" t="s">
        <v>105</v>
      </c>
      <c r="AF321" s="23" t="s">
        <v>106</v>
      </c>
    </row>
    <row r="322" spans="1:32" ht="16.5" x14ac:dyDescent="0.3">
      <c r="A322" s="3">
        <v>321</v>
      </c>
      <c r="B322" s="3">
        <v>20</v>
      </c>
      <c r="C322" s="3" t="s">
        <v>489</v>
      </c>
      <c r="D322" s="19">
        <v>8498</v>
      </c>
      <c r="E322" s="19">
        <f>ROUND(D322/INDEX(مناطق!$D$2:$D$23,B322),0)</f>
        <v>2693</v>
      </c>
      <c r="F322" s="20">
        <v>0.45200000000000001</v>
      </c>
      <c r="G322" s="19">
        <f>پارامترها!$B$5*F322/1000000</f>
        <v>439.95420000000007</v>
      </c>
      <c r="H322" s="21">
        <v>110.4</v>
      </c>
      <c r="I322" s="19">
        <f>H322*پارامترها!$B$6</f>
        <v>8280</v>
      </c>
      <c r="J322" s="22"/>
      <c r="K322" s="21">
        <f t="shared" ref="K322:K350" si="15">I322/G322</f>
        <v>18.820140823749377</v>
      </c>
      <c r="L322" s="21">
        <f>I322/(پارامترها!$B$5/1000000)</f>
        <v>8.5067036523347195</v>
      </c>
      <c r="M322" s="21">
        <f>K322/پارامترها!$B$7</f>
        <v>62.733802745831255</v>
      </c>
      <c r="N322" s="21">
        <v>10.87</v>
      </c>
      <c r="O322" s="21">
        <f>N322*پارامترها!$B$6*پارامترها!$B$16</f>
        <v>24.457499999999996</v>
      </c>
      <c r="P322" s="21">
        <f>O322*12/G322*100</f>
        <v>66.709216550268167</v>
      </c>
      <c r="Q322" s="21">
        <f>O322*12/(پارامترها!$B$5/1000000)*100</f>
        <v>30.152565880721209</v>
      </c>
      <c r="R322" s="3" t="str">
        <f t="shared" ref="R322:R350" si="16">IF(P322&lt;=30,"قابل استطاعت",IF(P322&lt;=50,"زیر فشار","فشار شدید"))</f>
        <v>فشار شدید</v>
      </c>
      <c r="S322" s="21">
        <f>(1-NORMSDIST((LN(O322*12*1000000/پارامترها!$B$8)-پارامترها!$B$15)/پارامترها!$B$14))*100</f>
        <v>29.728275994652552</v>
      </c>
      <c r="T322" s="21">
        <f>(1-NORMSDIST((LN(I322*1000000/5)-پارامترها!$B$15)/پارامترها!$B$14))*100</f>
        <v>15.12214216973784</v>
      </c>
      <c r="U322" s="21">
        <f>MIN(100,پارامترها!$B$9/1000000/I322*100)</f>
        <v>24.154589371980677</v>
      </c>
      <c r="V322" s="19">
        <f>MAX(0,I322-پارامترها!$B$9/1000000)</f>
        <v>6280</v>
      </c>
      <c r="W322" s="21">
        <f>V322/(G322*پارامترها!$B$7)</f>
        <v>47.580710295147384</v>
      </c>
      <c r="X322" s="21">
        <f>پارامترها!$B$12/1000000/(G322/12)*100</f>
        <v>109.85299943746756</v>
      </c>
      <c r="Y322" s="21">
        <f>ROUND(50*MIN(1,3/K322)+50*MIN(1,30/P322),1)</f>
        <v>30.5</v>
      </c>
      <c r="Z322" s="3">
        <f t="shared" ref="Z322:Z385" si="17">RANK(Y322,$Y$2:$Y$350,0)</f>
        <v>128</v>
      </c>
      <c r="AA322" s="19">
        <v>0</v>
      </c>
      <c r="AB322" s="19">
        <v>0</v>
      </c>
      <c r="AC322" s="3" t="s">
        <v>103</v>
      </c>
      <c r="AD322" s="3" t="s">
        <v>104</v>
      </c>
      <c r="AE322" s="23" t="s">
        <v>105</v>
      </c>
      <c r="AF322" s="23" t="s">
        <v>106</v>
      </c>
    </row>
    <row r="323" spans="1:32" ht="16.5" x14ac:dyDescent="0.3">
      <c r="A323" s="3">
        <v>322</v>
      </c>
      <c r="B323" s="3">
        <v>20</v>
      </c>
      <c r="C323" s="3" t="s">
        <v>490</v>
      </c>
      <c r="D323" s="19">
        <v>7306</v>
      </c>
      <c r="E323" s="19">
        <f>ROUND(D323/INDEX(مناطق!$D$2:$D$23,B323),0)</f>
        <v>2315</v>
      </c>
      <c r="F323" s="20">
        <v>0.45200000000000001</v>
      </c>
      <c r="G323" s="19">
        <f>پارامترها!$B$5*F323/1000000</f>
        <v>439.95420000000007</v>
      </c>
      <c r="H323" s="21">
        <v>110.4</v>
      </c>
      <c r="I323" s="19">
        <f>H323*پارامترها!$B$6</f>
        <v>8280</v>
      </c>
      <c r="J323" s="22"/>
      <c r="K323" s="21">
        <f t="shared" si="15"/>
        <v>18.820140823749377</v>
      </c>
      <c r="L323" s="21">
        <f>I323/(پارامترها!$B$5/1000000)</f>
        <v>8.5067036523347195</v>
      </c>
      <c r="M323" s="21">
        <f>K323/پارامترها!$B$7</f>
        <v>62.733802745831255</v>
      </c>
      <c r="N323" s="21">
        <v>10.87</v>
      </c>
      <c r="O323" s="21">
        <f>N323*پارامترها!$B$6*پارامترها!$B$16</f>
        <v>24.457499999999996</v>
      </c>
      <c r="P323" s="21">
        <f>O323*12/G323*100</f>
        <v>66.709216550268167</v>
      </c>
      <c r="Q323" s="21">
        <f>O323*12/(پارامترها!$B$5/1000000)*100</f>
        <v>30.152565880721209</v>
      </c>
      <c r="R323" s="3" t="str">
        <f t="shared" si="16"/>
        <v>فشار شدید</v>
      </c>
      <c r="S323" s="21">
        <f>(1-NORMSDIST((LN(O323*12*1000000/پارامترها!$B$8)-پارامترها!$B$15)/پارامترها!$B$14))*100</f>
        <v>29.728275994652552</v>
      </c>
      <c r="T323" s="21">
        <f>(1-NORMSDIST((LN(I323*1000000/5)-پارامترها!$B$15)/پارامترها!$B$14))*100</f>
        <v>15.12214216973784</v>
      </c>
      <c r="U323" s="21">
        <f>MIN(100,پارامترها!$B$9/1000000/I323*100)</f>
        <v>24.154589371980677</v>
      </c>
      <c r="V323" s="19">
        <f>MAX(0,I323-پارامترها!$B$9/1000000)</f>
        <v>6280</v>
      </c>
      <c r="W323" s="21">
        <f>V323/(G323*پارامترها!$B$7)</f>
        <v>47.580710295147384</v>
      </c>
      <c r="X323" s="21">
        <f>پارامترها!$B$12/1000000/(G323/12)*100</f>
        <v>109.85299943746756</v>
      </c>
      <c r="Y323" s="21">
        <f>ROUND(50*MIN(1,3/K323)+50*MIN(1,30/P323),1)</f>
        <v>30.5</v>
      </c>
      <c r="Z323" s="3">
        <f t="shared" si="17"/>
        <v>128</v>
      </c>
      <c r="AA323" s="19">
        <v>0</v>
      </c>
      <c r="AB323" s="19">
        <v>0</v>
      </c>
      <c r="AC323" s="3" t="s">
        <v>103</v>
      </c>
      <c r="AD323" s="3" t="s">
        <v>104</v>
      </c>
      <c r="AE323" s="23" t="s">
        <v>105</v>
      </c>
      <c r="AF323" s="23" t="s">
        <v>106</v>
      </c>
    </row>
    <row r="324" spans="1:32" ht="16.5" x14ac:dyDescent="0.3">
      <c r="A324" s="3">
        <v>323</v>
      </c>
      <c r="B324" s="3">
        <v>20</v>
      </c>
      <c r="C324" s="3" t="s">
        <v>491</v>
      </c>
      <c r="D324" s="19">
        <v>5707</v>
      </c>
      <c r="E324" s="19">
        <f>ROUND(D324/INDEX(مناطق!$D$2:$D$23,B324),0)</f>
        <v>1809</v>
      </c>
      <c r="F324" s="20">
        <v>0.45200000000000001</v>
      </c>
      <c r="G324" s="19">
        <f>پارامترها!$B$5*F324/1000000</f>
        <v>439.95420000000007</v>
      </c>
      <c r="H324" s="21">
        <v>110.4</v>
      </c>
      <c r="I324" s="19">
        <f>H324*پارامترها!$B$6</f>
        <v>8280</v>
      </c>
      <c r="J324" s="22"/>
      <c r="K324" s="21">
        <f t="shared" si="15"/>
        <v>18.820140823749377</v>
      </c>
      <c r="L324" s="21">
        <f>I324/(پارامترها!$B$5/1000000)</f>
        <v>8.5067036523347195</v>
      </c>
      <c r="M324" s="21">
        <f>K324/پارامترها!$B$7</f>
        <v>62.733802745831255</v>
      </c>
      <c r="N324" s="21">
        <v>10.87</v>
      </c>
      <c r="O324" s="21">
        <f>N324*پارامترها!$B$6*پارامترها!$B$16</f>
        <v>24.457499999999996</v>
      </c>
      <c r="P324" s="21">
        <f>O324*12/G324*100</f>
        <v>66.709216550268167</v>
      </c>
      <c r="Q324" s="21">
        <f>O324*12/(پارامترها!$B$5/1000000)*100</f>
        <v>30.152565880721209</v>
      </c>
      <c r="R324" s="3" t="str">
        <f t="shared" si="16"/>
        <v>فشار شدید</v>
      </c>
      <c r="S324" s="21">
        <f>(1-NORMSDIST((LN(O324*12*1000000/پارامترها!$B$8)-پارامترها!$B$15)/پارامترها!$B$14))*100</f>
        <v>29.728275994652552</v>
      </c>
      <c r="T324" s="21">
        <f>(1-NORMSDIST((LN(I324*1000000/5)-پارامترها!$B$15)/پارامترها!$B$14))*100</f>
        <v>15.12214216973784</v>
      </c>
      <c r="U324" s="21">
        <f>MIN(100,پارامترها!$B$9/1000000/I324*100)</f>
        <v>24.154589371980677</v>
      </c>
      <c r="V324" s="19">
        <f>MAX(0,I324-پارامترها!$B$9/1000000)</f>
        <v>6280</v>
      </c>
      <c r="W324" s="21">
        <f>V324/(G324*پارامترها!$B$7)</f>
        <v>47.580710295147384</v>
      </c>
      <c r="X324" s="21">
        <f>پارامترها!$B$12/1000000/(G324/12)*100</f>
        <v>109.85299943746756</v>
      </c>
      <c r="Y324" s="21">
        <f>ROUND(50*MIN(1,3/K324)+50*MIN(1,30/P324),1)</f>
        <v>30.5</v>
      </c>
      <c r="Z324" s="3">
        <f t="shared" si="17"/>
        <v>128</v>
      </c>
      <c r="AA324" s="19">
        <v>0</v>
      </c>
      <c r="AB324" s="19">
        <v>0</v>
      </c>
      <c r="AC324" s="3" t="s">
        <v>103</v>
      </c>
      <c r="AD324" s="3" t="s">
        <v>104</v>
      </c>
      <c r="AE324" s="23" t="s">
        <v>105</v>
      </c>
      <c r="AF324" s="23" t="s">
        <v>106</v>
      </c>
    </row>
    <row r="325" spans="1:32" ht="16.5" x14ac:dyDescent="0.3">
      <c r="A325" s="3">
        <v>324</v>
      </c>
      <c r="B325" s="3">
        <v>20</v>
      </c>
      <c r="C325" s="3" t="s">
        <v>492</v>
      </c>
      <c r="D325" s="19">
        <v>2629</v>
      </c>
      <c r="E325" s="19">
        <f>ROUND(D325/INDEX(مناطق!$D$2:$D$23,B325),0)</f>
        <v>833</v>
      </c>
      <c r="F325" s="20">
        <v>0.45200000000000001</v>
      </c>
      <c r="G325" s="19">
        <f>پارامترها!$B$5*F325/1000000</f>
        <v>439.95420000000007</v>
      </c>
      <c r="H325" s="21">
        <v>110.4</v>
      </c>
      <c r="I325" s="19">
        <f>H325*پارامترها!$B$6</f>
        <v>8280</v>
      </c>
      <c r="J325" s="22"/>
      <c r="K325" s="21">
        <f t="shared" si="15"/>
        <v>18.820140823749377</v>
      </c>
      <c r="L325" s="21">
        <f>I325/(پارامترها!$B$5/1000000)</f>
        <v>8.5067036523347195</v>
      </c>
      <c r="M325" s="21">
        <f>K325/پارامترها!$B$7</f>
        <v>62.733802745831255</v>
      </c>
      <c r="N325" s="21">
        <v>10.87</v>
      </c>
      <c r="O325" s="21">
        <f>N325*پارامترها!$B$6*پارامترها!$B$16</f>
        <v>24.457499999999996</v>
      </c>
      <c r="P325" s="21">
        <f>O325*12/G325*100</f>
        <v>66.709216550268167</v>
      </c>
      <c r="Q325" s="21">
        <f>O325*12/(پارامترها!$B$5/1000000)*100</f>
        <v>30.152565880721209</v>
      </c>
      <c r="R325" s="3" t="str">
        <f t="shared" si="16"/>
        <v>فشار شدید</v>
      </c>
      <c r="S325" s="21">
        <f>(1-NORMSDIST((LN(O325*12*1000000/پارامترها!$B$8)-پارامترها!$B$15)/پارامترها!$B$14))*100</f>
        <v>29.728275994652552</v>
      </c>
      <c r="T325" s="21">
        <f>(1-NORMSDIST((LN(I325*1000000/5)-پارامترها!$B$15)/پارامترها!$B$14))*100</f>
        <v>15.12214216973784</v>
      </c>
      <c r="U325" s="21">
        <f>MIN(100,پارامترها!$B$9/1000000/I325*100)</f>
        <v>24.154589371980677</v>
      </c>
      <c r="V325" s="19">
        <f>MAX(0,I325-پارامترها!$B$9/1000000)</f>
        <v>6280</v>
      </c>
      <c r="W325" s="21">
        <f>V325/(G325*پارامترها!$B$7)</f>
        <v>47.580710295147384</v>
      </c>
      <c r="X325" s="21">
        <f>پارامترها!$B$12/1000000/(G325/12)*100</f>
        <v>109.85299943746756</v>
      </c>
      <c r="Y325" s="21">
        <f>ROUND(50*MIN(1,3/K325)+50*MIN(1,30/P325),1)</f>
        <v>30.5</v>
      </c>
      <c r="Z325" s="3">
        <f t="shared" si="17"/>
        <v>128</v>
      </c>
      <c r="AA325" s="19">
        <v>0</v>
      </c>
      <c r="AB325" s="19">
        <v>0</v>
      </c>
      <c r="AC325" s="3" t="s">
        <v>103</v>
      </c>
      <c r="AD325" s="3" t="s">
        <v>104</v>
      </c>
      <c r="AE325" s="23" t="s">
        <v>105</v>
      </c>
      <c r="AF325" s="23" t="s">
        <v>106</v>
      </c>
    </row>
    <row r="326" spans="1:32" ht="16.5" x14ac:dyDescent="0.3">
      <c r="A326" s="3">
        <v>325</v>
      </c>
      <c r="B326" s="3">
        <v>21</v>
      </c>
      <c r="C326" s="3" t="s">
        <v>168</v>
      </c>
      <c r="D326" s="19">
        <v>43924</v>
      </c>
      <c r="E326" s="19">
        <f>ROUND(D326/INDEX(مناطق!$D$2:$D$23,B326),0)</f>
        <v>14247</v>
      </c>
      <c r="F326" s="20">
        <v>0.93369999999999997</v>
      </c>
      <c r="G326" s="19">
        <f>پارامترها!$B$5*F326/1000000</f>
        <v>908.81689500000016</v>
      </c>
      <c r="H326" s="21">
        <v>227.7</v>
      </c>
      <c r="I326" s="19">
        <f>H326*پارامترها!$B$6</f>
        <v>17077.5</v>
      </c>
      <c r="J326" s="22">
        <v>94</v>
      </c>
      <c r="K326" s="21">
        <f t="shared" si="15"/>
        <v>18.790913872700393</v>
      </c>
      <c r="L326" s="21">
        <f>I326/(پارامترها!$B$5/1000000)</f>
        <v>17.545076282940357</v>
      </c>
      <c r="M326" s="21">
        <f>K326/پارامترها!$B$7</f>
        <v>62.636379575667981</v>
      </c>
      <c r="N326" s="21">
        <v>20.8</v>
      </c>
      <c r="O326" s="21">
        <f>N326*پارامترها!$B$6*پارامترها!$B$16</f>
        <v>46.8</v>
      </c>
      <c r="P326" s="21">
        <f>O326*12/G326*100</f>
        <v>61.794625858050303</v>
      </c>
      <c r="Q326" s="21">
        <f>O326*12/(پارامترها!$B$5/1000000)*100</f>
        <v>57.69764216366157</v>
      </c>
      <c r="R326" s="3" t="str">
        <f t="shared" si="16"/>
        <v>فشار شدید</v>
      </c>
      <c r="S326" s="21">
        <f>(1-NORMSDIST((LN(O326*12*1000000/پارامترها!$B$8)-پارامترها!$B$15)/پارامترها!$B$14))*100</f>
        <v>12.560059239880816</v>
      </c>
      <c r="T326" s="21">
        <f>(1-NORMSDIST((LN(I326*1000000/5)-پارامترها!$B$15)/پارامترها!$B$14))*100</f>
        <v>4.2944989851050552</v>
      </c>
      <c r="U326" s="21">
        <f>MIN(100,پارامترها!$B$9/1000000/I326*100)</f>
        <v>11.711316059142145</v>
      </c>
      <c r="V326" s="19">
        <f>MAX(0,I326-پارامترها!$B$9/1000000)</f>
        <v>15077.5</v>
      </c>
      <c r="W326" s="21">
        <f>V326/(G326*پارامترها!$B$7)</f>
        <v>55.300835195557546</v>
      </c>
      <c r="X326" s="21">
        <f>پارامترها!$B$12/1000000/(G326/12)*100</f>
        <v>53.179346412911364</v>
      </c>
      <c r="Y326" s="21">
        <f>ROUND(50*MIN(1,3/K326)+50*MIN(1,30/P326),1)</f>
        <v>32.299999999999997</v>
      </c>
      <c r="Z326" s="3">
        <f t="shared" si="17"/>
        <v>49</v>
      </c>
      <c r="AA326" s="19">
        <v>89</v>
      </c>
      <c r="AB326" s="19">
        <v>27</v>
      </c>
      <c r="AC326" s="3" t="s">
        <v>83</v>
      </c>
      <c r="AD326" s="3" t="s">
        <v>93</v>
      </c>
      <c r="AE326" s="3" t="s">
        <v>493</v>
      </c>
      <c r="AF326" s="23" t="s">
        <v>85</v>
      </c>
    </row>
    <row r="327" spans="1:32" ht="16.5" x14ac:dyDescent="0.3">
      <c r="A327" s="3">
        <v>326</v>
      </c>
      <c r="B327" s="3">
        <v>21</v>
      </c>
      <c r="C327" s="3" t="s">
        <v>494</v>
      </c>
      <c r="D327" s="19">
        <v>9402</v>
      </c>
      <c r="E327" s="19">
        <f>ROUND(D327/INDEX(مناطق!$D$2:$D$23,B327),0)</f>
        <v>3050</v>
      </c>
      <c r="F327" s="20">
        <v>0.86809999999999998</v>
      </c>
      <c r="G327" s="19">
        <f>پارامترها!$B$5*F327/1000000</f>
        <v>844.96513500000015</v>
      </c>
      <c r="H327" s="21">
        <v>212.2</v>
      </c>
      <c r="I327" s="19">
        <f>H327*پارامترها!$B$6</f>
        <v>15915</v>
      </c>
      <c r="J327" s="22">
        <v>117</v>
      </c>
      <c r="K327" s="21">
        <f t="shared" si="15"/>
        <v>18.835096669402812</v>
      </c>
      <c r="L327" s="21">
        <f>I327/(پارامترها!$B$5/1000000)</f>
        <v>16.350747418708583</v>
      </c>
      <c r="M327" s="21">
        <f>K327/پارامترها!$B$7</f>
        <v>62.783655564676046</v>
      </c>
      <c r="N327" s="21">
        <v>18.72</v>
      </c>
      <c r="O327" s="21">
        <f>N327*پارامترها!$B$6*پارامترها!$B$16</f>
        <v>42.12</v>
      </c>
      <c r="P327" s="21">
        <f>O327*12/G327*100</f>
        <v>59.817852721224988</v>
      </c>
      <c r="Q327" s="21">
        <f>O327*12/(پارامترها!$B$5/1000000)*100</f>
        <v>51.927877947295407</v>
      </c>
      <c r="R327" s="3" t="str">
        <f t="shared" si="16"/>
        <v>فشار شدید</v>
      </c>
      <c r="S327" s="21">
        <f>(1-NORMSDIST((LN(O327*12*1000000/پارامترها!$B$8)-پارامترها!$B$15)/پارامترها!$B$14))*100</f>
        <v>14.74220037529742</v>
      </c>
      <c r="T327" s="21">
        <f>(1-NORMSDIST((LN(I327*1000000/5)-پارامترها!$B$15)/پارامترها!$B$14))*100</f>
        <v>4.9404604961509335</v>
      </c>
      <c r="U327" s="21">
        <f>MIN(100,پارامترها!$B$9/1000000/I327*100)</f>
        <v>12.566760917373546</v>
      </c>
      <c r="V327" s="19">
        <f>MAX(0,I327-پارامترها!$B$9/1000000)</f>
        <v>13915</v>
      </c>
      <c r="W327" s="21">
        <f>V327/(G327*پارامترها!$B$7)</f>
        <v>54.893783674675909</v>
      </c>
      <c r="X327" s="21">
        <f>پارامترها!$B$12/1000000/(G327/12)*100</f>
        <v>57.197967683141741</v>
      </c>
      <c r="Y327" s="21">
        <f>ROUND(50*MIN(1,3/K327)+50*MIN(1,30/P327),1)</f>
        <v>33</v>
      </c>
      <c r="Z327" s="3">
        <f t="shared" si="17"/>
        <v>32</v>
      </c>
      <c r="AA327" s="19">
        <v>23</v>
      </c>
      <c r="AB327" s="19">
        <v>31</v>
      </c>
      <c r="AC327" s="3" t="s">
        <v>83</v>
      </c>
      <c r="AD327" s="3" t="s">
        <v>93</v>
      </c>
      <c r="AE327" s="3" t="s">
        <v>494</v>
      </c>
      <c r="AF327" s="23" t="s">
        <v>90</v>
      </c>
    </row>
    <row r="328" spans="1:32" x14ac:dyDescent="0.2">
      <c r="A328" s="3">
        <v>327</v>
      </c>
      <c r="B328" s="3">
        <v>21</v>
      </c>
      <c r="C328" s="3" t="s">
        <v>495</v>
      </c>
      <c r="D328" s="19">
        <v>4269</v>
      </c>
      <c r="E328" s="19">
        <f>ROUND(D328/INDEX(مناطق!$D$2:$D$23,B328),0)</f>
        <v>1385</v>
      </c>
      <c r="F328" s="20">
        <v>0.79530000000000001</v>
      </c>
      <c r="G328" s="19">
        <f>پارامترها!$B$5*F328/1000000</f>
        <v>774.10525500000017</v>
      </c>
      <c r="H328" s="21">
        <v>195</v>
      </c>
      <c r="I328" s="19">
        <f>H328*پارامترها!$B$6</f>
        <v>14625</v>
      </c>
      <c r="J328" s="22">
        <v>75</v>
      </c>
      <c r="K328" s="21">
        <f t="shared" si="15"/>
        <v>18.892779638861896</v>
      </c>
      <c r="L328" s="21">
        <f>I328/(پارامترها!$B$5/1000000)</f>
        <v>15.025427646786868</v>
      </c>
      <c r="M328" s="21">
        <f>K328/پارامترها!$B$7</f>
        <v>62.975932129539657</v>
      </c>
      <c r="N328" s="21">
        <v>17.190000000000001</v>
      </c>
      <c r="O328" s="21">
        <f>N328*پارامترها!$B$6*پارامترها!$B$16</f>
        <v>38.677500000000002</v>
      </c>
      <c r="P328" s="21">
        <f>O328*12/G328*100</f>
        <v>59.956962829298952</v>
      </c>
      <c r="Q328" s="21">
        <f>O328*12/(پارامترها!$B$5/1000000)*100</f>
        <v>47.683772538141461</v>
      </c>
      <c r="R328" s="3" t="str">
        <f t="shared" si="16"/>
        <v>فشار شدید</v>
      </c>
      <c r="S328" s="21">
        <f>(1-NORMSDIST((LN(O328*12*1000000/پارامترها!$B$8)-پارامترها!$B$15)/پارامترها!$B$14))*100</f>
        <v>16.684129137617255</v>
      </c>
      <c r="T328" s="21">
        <f>(1-NORMSDIST((LN(I328*1000000/5)-پارامترها!$B$15)/پارامترها!$B$14))*100</f>
        <v>5.8147145763406405</v>
      </c>
      <c r="U328" s="21">
        <f>MIN(100,پارامترها!$B$9/1000000/I328*100)</f>
        <v>13.675213675213676</v>
      </c>
      <c r="V328" s="19">
        <f>MAX(0,I328-پارامترها!$B$9/1000000)</f>
        <v>12625</v>
      </c>
      <c r="W328" s="21">
        <f>V328/(G328*پارامترها!$B$7)</f>
        <v>54.363838846867566</v>
      </c>
      <c r="X328" s="21">
        <f>پارامترها!$B$12/1000000/(G328/12)*100</f>
        <v>62.433742921834956</v>
      </c>
      <c r="Y328" s="21">
        <f>ROUND(50*MIN(1,3/K328)+50*MIN(1,30/P328),1)</f>
        <v>33</v>
      </c>
      <c r="Z328" s="3">
        <f t="shared" si="17"/>
        <v>32</v>
      </c>
      <c r="AA328" s="19">
        <v>50</v>
      </c>
      <c r="AB328" s="19">
        <v>6</v>
      </c>
      <c r="AC328" s="3" t="s">
        <v>83</v>
      </c>
      <c r="AD328" s="3" t="s">
        <v>84</v>
      </c>
      <c r="AE328" s="3" t="s">
        <v>495</v>
      </c>
      <c r="AF328" s="23" t="s">
        <v>90</v>
      </c>
    </row>
    <row r="329" spans="1:32" ht="16.5" x14ac:dyDescent="0.3">
      <c r="A329" s="3">
        <v>328</v>
      </c>
      <c r="B329" s="3">
        <v>21</v>
      </c>
      <c r="C329" s="3" t="s">
        <v>496</v>
      </c>
      <c r="D329" s="19">
        <v>19615</v>
      </c>
      <c r="E329" s="19">
        <f>ROUND(D329/INDEX(مناطق!$D$2:$D$23,B329),0)</f>
        <v>6362</v>
      </c>
      <c r="F329" s="20">
        <v>0.77290000000000003</v>
      </c>
      <c r="G329" s="19">
        <f>پارامترها!$B$5*F329/1000000</f>
        <v>752.30221500000016</v>
      </c>
      <c r="H329" s="21">
        <v>189.7</v>
      </c>
      <c r="I329" s="19">
        <f>H329*پارامترها!$B$6</f>
        <v>14227.5</v>
      </c>
      <c r="J329" s="22">
        <v>91.75</v>
      </c>
      <c r="K329" s="21">
        <f t="shared" si="15"/>
        <v>18.911947507691437</v>
      </c>
      <c r="L329" s="21">
        <f>I329/(پارامترها!$B$5/1000000)</f>
        <v>14.617044228694713</v>
      </c>
      <c r="M329" s="21">
        <f>K329/پارامترها!$B$7</f>
        <v>63.039825025638123</v>
      </c>
      <c r="N329" s="21">
        <v>18.28</v>
      </c>
      <c r="O329" s="21">
        <f>N329*پارامترها!$B$6*پارامترها!$B$16</f>
        <v>41.129999999999995</v>
      </c>
      <c r="P329" s="21">
        <f>O329*12/G329*100</f>
        <v>65.606612629739487</v>
      </c>
      <c r="Q329" s="21">
        <f>O329*12/(پارامترها!$B$5/1000000)*100</f>
        <v>50.70735090152565</v>
      </c>
      <c r="R329" s="3" t="str">
        <f t="shared" si="16"/>
        <v>فشار شدید</v>
      </c>
      <c r="S329" s="21">
        <f>(1-NORMSDIST((LN(O329*12*1000000/پارامترها!$B$8)-پارامترها!$B$15)/پارامترها!$B$14))*100</f>
        <v>15.268016518271022</v>
      </c>
      <c r="T329" s="21">
        <f>(1-NORMSDIST((LN(I329*1000000/5)-پارامترها!$B$15)/پارامترها!$B$14))*100</f>
        <v>6.1246142690948631</v>
      </c>
      <c r="U329" s="21">
        <f>MIN(100,پارامترها!$B$9/1000000/I329*100)</f>
        <v>14.057283429977158</v>
      </c>
      <c r="V329" s="19">
        <f>MAX(0,I329-پارامترها!$B$9/1000000)</f>
        <v>12227.5</v>
      </c>
      <c r="W329" s="21">
        <f>V329/(G329*پارامترها!$B$7)</f>
        <v>54.178138148022498</v>
      </c>
      <c r="X329" s="21">
        <f>پارامترها!$B$12/1000000/(G329/12)*100</f>
        <v>64.243182488983479</v>
      </c>
      <c r="Y329" s="21">
        <f>ROUND(50*MIN(1,3/K329)+50*MIN(1,30/P329),1)</f>
        <v>30.8</v>
      </c>
      <c r="Z329" s="3">
        <f t="shared" si="17"/>
        <v>113</v>
      </c>
      <c r="AA329" s="19">
        <v>84</v>
      </c>
      <c r="AB329" s="19">
        <v>20</v>
      </c>
      <c r="AC329" s="3" t="s">
        <v>83</v>
      </c>
      <c r="AD329" s="3" t="s">
        <v>93</v>
      </c>
      <c r="AE329" s="3" t="s">
        <v>497</v>
      </c>
      <c r="AF329" s="23" t="s">
        <v>85</v>
      </c>
    </row>
    <row r="330" spans="1:32" ht="16.5" x14ac:dyDescent="0.3">
      <c r="A330" s="3">
        <v>329</v>
      </c>
      <c r="B330" s="3">
        <v>21</v>
      </c>
      <c r="C330" s="3" t="s">
        <v>498</v>
      </c>
      <c r="D330" s="19">
        <v>60163</v>
      </c>
      <c r="E330" s="19">
        <f>ROUND(D330/INDEX(مناطق!$D$2:$D$23,B330),0)</f>
        <v>19514</v>
      </c>
      <c r="F330" s="20">
        <v>0.74670000000000003</v>
      </c>
      <c r="G330" s="19">
        <f>پارامترها!$B$5*F330/1000000</f>
        <v>726.80044500000008</v>
      </c>
      <c r="H330" s="21">
        <v>183.4</v>
      </c>
      <c r="I330" s="19">
        <f>H330*پارامترها!$B$6</f>
        <v>13755</v>
      </c>
      <c r="J330" s="22"/>
      <c r="K330" s="21">
        <f t="shared" si="15"/>
        <v>18.92541493972255</v>
      </c>
      <c r="L330" s="21">
        <f>I330/(پارامترها!$B$5/1000000)</f>
        <v>14.131607335490829</v>
      </c>
      <c r="M330" s="21">
        <f>K330/پارامترها!$B$7</f>
        <v>63.084716465741835</v>
      </c>
      <c r="N330" s="21">
        <v>18.05</v>
      </c>
      <c r="O330" s="21">
        <f>N330*پارامترها!$B$6*پارامترها!$B$16</f>
        <v>40.612499999999997</v>
      </c>
      <c r="P330" s="21">
        <f>O330*12/G330*100</f>
        <v>67.054169181197992</v>
      </c>
      <c r="Q330" s="21">
        <f>O330*12/(پارامترها!$B$5/1000000)*100</f>
        <v>50.069348127600541</v>
      </c>
      <c r="R330" s="3" t="str">
        <f t="shared" si="16"/>
        <v>فشار شدید</v>
      </c>
      <c r="S330" s="21">
        <f>(1-NORMSDIST((LN(O330*12*1000000/پارامترها!$B$8)-پارامترها!$B$15)/پارامترها!$B$14))*100</f>
        <v>15.552947954284392</v>
      </c>
      <c r="T330" s="21">
        <f>(1-NORMSDIST((LN(I330*1000000/5)-پارامترها!$B$15)/پارامترها!$B$14))*100</f>
        <v>6.5218821504495983</v>
      </c>
      <c r="U330" s="21">
        <f>MIN(100,پارامترها!$B$9/1000000/I330*100)</f>
        <v>14.540167211922936</v>
      </c>
      <c r="V330" s="19">
        <f>MAX(0,I330-پارامترها!$B$9/1000000)</f>
        <v>11755</v>
      </c>
      <c r="W330" s="21">
        <f>V330/(G330*پارامترها!$B$7)</f>
        <v>53.912093206455495</v>
      </c>
      <c r="X330" s="21">
        <f>پارامترها!$B$12/1000000/(G330/12)*100</f>
        <v>66.497329242982914</v>
      </c>
      <c r="Y330" s="21">
        <f>ROUND(50*MIN(1,3/K330)+50*MIN(1,30/P330),1)</f>
        <v>30.3</v>
      </c>
      <c r="Z330" s="3">
        <f t="shared" si="17"/>
        <v>151</v>
      </c>
      <c r="AA330" s="19">
        <v>0</v>
      </c>
      <c r="AB330" s="19">
        <v>0</v>
      </c>
      <c r="AC330" s="3" t="s">
        <v>103</v>
      </c>
      <c r="AD330" s="3" t="s">
        <v>104</v>
      </c>
      <c r="AE330" s="23" t="s">
        <v>105</v>
      </c>
      <c r="AF330" s="23" t="s">
        <v>106</v>
      </c>
    </row>
    <row r="331" spans="1:32" ht="16.5" x14ac:dyDescent="0.3">
      <c r="A331" s="3">
        <v>330</v>
      </c>
      <c r="B331" s="3">
        <v>21</v>
      </c>
      <c r="C331" s="3" t="s">
        <v>240</v>
      </c>
      <c r="D331" s="19">
        <v>7662</v>
      </c>
      <c r="E331" s="19">
        <f>ROUND(D331/INDEX(مناطق!$D$2:$D$23,B331),0)</f>
        <v>2485</v>
      </c>
      <c r="F331" s="20">
        <v>0.74670000000000003</v>
      </c>
      <c r="G331" s="19">
        <f>پارامترها!$B$5*F331/1000000</f>
        <v>726.80044500000008</v>
      </c>
      <c r="H331" s="21">
        <v>183.4</v>
      </c>
      <c r="I331" s="19">
        <f>H331*پارامترها!$B$6</f>
        <v>13755</v>
      </c>
      <c r="J331" s="22"/>
      <c r="K331" s="21">
        <f t="shared" si="15"/>
        <v>18.92541493972255</v>
      </c>
      <c r="L331" s="21">
        <f>I331/(پارامترها!$B$5/1000000)</f>
        <v>14.131607335490829</v>
      </c>
      <c r="M331" s="21">
        <f>K331/پارامترها!$B$7</f>
        <v>63.084716465741835</v>
      </c>
      <c r="N331" s="21">
        <v>18.05</v>
      </c>
      <c r="O331" s="21">
        <f>N331*پارامترها!$B$6*پارامترها!$B$16</f>
        <v>40.612499999999997</v>
      </c>
      <c r="P331" s="21">
        <f>O331*12/G331*100</f>
        <v>67.054169181197992</v>
      </c>
      <c r="Q331" s="21">
        <f>O331*12/(پارامترها!$B$5/1000000)*100</f>
        <v>50.069348127600541</v>
      </c>
      <c r="R331" s="3" t="str">
        <f t="shared" si="16"/>
        <v>فشار شدید</v>
      </c>
      <c r="S331" s="21">
        <f>(1-NORMSDIST((LN(O331*12*1000000/پارامترها!$B$8)-پارامترها!$B$15)/پارامترها!$B$14))*100</f>
        <v>15.552947954284392</v>
      </c>
      <c r="T331" s="21">
        <f>(1-NORMSDIST((LN(I331*1000000/5)-پارامترها!$B$15)/پارامترها!$B$14))*100</f>
        <v>6.5218821504495983</v>
      </c>
      <c r="U331" s="21">
        <f>MIN(100,پارامترها!$B$9/1000000/I331*100)</f>
        <v>14.540167211922936</v>
      </c>
      <c r="V331" s="19">
        <f>MAX(0,I331-پارامترها!$B$9/1000000)</f>
        <v>11755</v>
      </c>
      <c r="W331" s="21">
        <f>V331/(G331*پارامترها!$B$7)</f>
        <v>53.912093206455495</v>
      </c>
      <c r="X331" s="21">
        <f>پارامترها!$B$12/1000000/(G331/12)*100</f>
        <v>66.497329242982914</v>
      </c>
      <c r="Y331" s="21">
        <f>ROUND(50*MIN(1,3/K331)+50*MIN(1,30/P331),1)</f>
        <v>30.3</v>
      </c>
      <c r="Z331" s="3">
        <f t="shared" si="17"/>
        <v>151</v>
      </c>
      <c r="AA331" s="19">
        <v>0</v>
      </c>
      <c r="AB331" s="19">
        <v>0</v>
      </c>
      <c r="AC331" s="3" t="s">
        <v>103</v>
      </c>
      <c r="AD331" s="3" t="s">
        <v>104</v>
      </c>
      <c r="AE331" s="23" t="s">
        <v>105</v>
      </c>
      <c r="AF331" s="23" t="s">
        <v>106</v>
      </c>
    </row>
    <row r="332" spans="1:32" ht="16.5" x14ac:dyDescent="0.3">
      <c r="A332" s="3">
        <v>331</v>
      </c>
      <c r="B332" s="3">
        <v>21</v>
      </c>
      <c r="C332" s="3" t="s">
        <v>499</v>
      </c>
      <c r="D332" s="19">
        <v>2453</v>
      </c>
      <c r="E332" s="19">
        <f>ROUND(D332/INDEX(مناطق!$D$2:$D$23,B332),0)</f>
        <v>796</v>
      </c>
      <c r="F332" s="20">
        <v>0.74670000000000003</v>
      </c>
      <c r="G332" s="19">
        <f>پارامترها!$B$5*F332/1000000</f>
        <v>726.80044500000008</v>
      </c>
      <c r="H332" s="21">
        <v>183.4</v>
      </c>
      <c r="I332" s="19">
        <f>H332*پارامترها!$B$6</f>
        <v>13755</v>
      </c>
      <c r="J332" s="22"/>
      <c r="K332" s="21">
        <f t="shared" si="15"/>
        <v>18.92541493972255</v>
      </c>
      <c r="L332" s="21">
        <f>I332/(پارامترها!$B$5/1000000)</f>
        <v>14.131607335490829</v>
      </c>
      <c r="M332" s="21">
        <f>K332/پارامترها!$B$7</f>
        <v>63.084716465741835</v>
      </c>
      <c r="N332" s="21">
        <v>18.05</v>
      </c>
      <c r="O332" s="21">
        <f>N332*پارامترها!$B$6*پارامترها!$B$16</f>
        <v>40.612499999999997</v>
      </c>
      <c r="P332" s="21">
        <f>O332*12/G332*100</f>
        <v>67.054169181197992</v>
      </c>
      <c r="Q332" s="21">
        <f>O332*12/(پارامترها!$B$5/1000000)*100</f>
        <v>50.069348127600541</v>
      </c>
      <c r="R332" s="3" t="str">
        <f t="shared" si="16"/>
        <v>فشار شدید</v>
      </c>
      <c r="S332" s="21">
        <f>(1-NORMSDIST((LN(O332*12*1000000/پارامترها!$B$8)-پارامترها!$B$15)/پارامترها!$B$14))*100</f>
        <v>15.552947954284392</v>
      </c>
      <c r="T332" s="21">
        <f>(1-NORMSDIST((LN(I332*1000000/5)-پارامترها!$B$15)/پارامترها!$B$14))*100</f>
        <v>6.5218821504495983</v>
      </c>
      <c r="U332" s="21">
        <f>MIN(100,پارامترها!$B$9/1000000/I332*100)</f>
        <v>14.540167211922936</v>
      </c>
      <c r="V332" s="19">
        <f>MAX(0,I332-پارامترها!$B$9/1000000)</f>
        <v>11755</v>
      </c>
      <c r="W332" s="21">
        <f>V332/(G332*پارامترها!$B$7)</f>
        <v>53.912093206455495</v>
      </c>
      <c r="X332" s="21">
        <f>پارامترها!$B$12/1000000/(G332/12)*100</f>
        <v>66.497329242982914</v>
      </c>
      <c r="Y332" s="21">
        <f>ROUND(50*MIN(1,3/K332)+50*MIN(1,30/P332),1)</f>
        <v>30.3</v>
      </c>
      <c r="Z332" s="3">
        <f t="shared" si="17"/>
        <v>151</v>
      </c>
      <c r="AA332" s="19">
        <v>0</v>
      </c>
      <c r="AB332" s="19">
        <v>0</v>
      </c>
      <c r="AC332" s="3" t="s">
        <v>103</v>
      </c>
      <c r="AD332" s="3" t="s">
        <v>104</v>
      </c>
      <c r="AE332" s="23" t="s">
        <v>105</v>
      </c>
      <c r="AF332" s="23" t="s">
        <v>106</v>
      </c>
    </row>
    <row r="333" spans="1:32" ht="16.5" x14ac:dyDescent="0.3">
      <c r="A333" s="3">
        <v>332</v>
      </c>
      <c r="B333" s="3">
        <v>21</v>
      </c>
      <c r="C333" s="3" t="s">
        <v>500</v>
      </c>
      <c r="D333" s="19">
        <v>4398</v>
      </c>
      <c r="E333" s="19">
        <f>ROUND(D333/INDEX(مناطق!$D$2:$D$23,B333),0)</f>
        <v>1426</v>
      </c>
      <c r="F333" s="20">
        <v>0.72460000000000002</v>
      </c>
      <c r="G333" s="19">
        <f>پارامترها!$B$5*F333/1000000</f>
        <v>705.28941000000009</v>
      </c>
      <c r="H333" s="21">
        <v>178.2</v>
      </c>
      <c r="I333" s="19">
        <f>H333*پارامترها!$B$6</f>
        <v>13365</v>
      </c>
      <c r="J333" s="22">
        <v>119</v>
      </c>
      <c r="K333" s="21">
        <f t="shared" si="15"/>
        <v>18.949667768299538</v>
      </c>
      <c r="L333" s="21">
        <f>I333/(پارامترها!$B$5/1000000)</f>
        <v>13.730929264909845</v>
      </c>
      <c r="M333" s="21">
        <f>K333/پارامترها!$B$7</f>
        <v>63.165559227665128</v>
      </c>
      <c r="N333" s="21">
        <v>22.16</v>
      </c>
      <c r="O333" s="21">
        <f>N333*پارامترها!$B$6*پارامترها!$B$16</f>
        <v>49.86</v>
      </c>
      <c r="P333" s="21">
        <f>O333*12/G333*100</f>
        <v>84.833260150609647</v>
      </c>
      <c r="Q333" s="21">
        <f>O333*12/(پارامترها!$B$5/1000000)*100</f>
        <v>61.470180305131748</v>
      </c>
      <c r="R333" s="3" t="str">
        <f t="shared" si="16"/>
        <v>فشار شدید</v>
      </c>
      <c r="S333" s="21">
        <f>(1-NORMSDIST((LN(O333*12*1000000/پارامترها!$B$8)-پارامترها!$B$15)/پارامترها!$B$14))*100</f>
        <v>11.362377151351577</v>
      </c>
      <c r="T333" s="21">
        <f>(1-NORMSDIST((LN(I333*1000000/5)-پارامترها!$B$15)/پارامترها!$B$14))*100</f>
        <v>6.8757238279435917</v>
      </c>
      <c r="U333" s="21">
        <f>MIN(100,پارامترها!$B$9/1000000/I333*100)</f>
        <v>14.964459408903855</v>
      </c>
      <c r="V333" s="19">
        <f>MAX(0,I333-پارامترها!$B$9/1000000)</f>
        <v>11365</v>
      </c>
      <c r="W333" s="21">
        <f>V333/(G333*پارامترها!$B$7)</f>
        <v>53.713174756634061</v>
      </c>
      <c r="X333" s="21">
        <f>پارامترها!$B$12/1000000/(G333/12)*100</f>
        <v>68.52547025356796</v>
      </c>
      <c r="Y333" s="21">
        <f>ROUND(50*MIN(1,3/K333)+50*MIN(1,30/P333),1)</f>
        <v>25.6</v>
      </c>
      <c r="Z333" s="3">
        <f t="shared" si="17"/>
        <v>322</v>
      </c>
      <c r="AA333" s="19">
        <v>79</v>
      </c>
      <c r="AB333" s="19">
        <v>80</v>
      </c>
      <c r="AC333" s="3" t="s">
        <v>83</v>
      </c>
      <c r="AD333" s="3" t="s">
        <v>93</v>
      </c>
      <c r="AE333" s="3" t="s">
        <v>501</v>
      </c>
      <c r="AF333" s="23" t="s">
        <v>85</v>
      </c>
    </row>
    <row r="334" spans="1:32" ht="16.5" x14ac:dyDescent="0.3">
      <c r="A334" s="3">
        <v>333</v>
      </c>
      <c r="B334" s="3">
        <v>21</v>
      </c>
      <c r="C334" s="3" t="s">
        <v>502</v>
      </c>
      <c r="D334" s="19">
        <v>11759</v>
      </c>
      <c r="E334" s="19">
        <f>ROUND(D334/INDEX(مناطق!$D$2:$D$23,B334),0)</f>
        <v>3814</v>
      </c>
      <c r="F334" s="20">
        <v>0.62160000000000004</v>
      </c>
      <c r="G334" s="19">
        <f>پارامترها!$B$5*F334/1000000</f>
        <v>605.03436000000011</v>
      </c>
      <c r="H334" s="21">
        <v>153.69999999999999</v>
      </c>
      <c r="I334" s="19">
        <f>H334*پارامترها!$B$6</f>
        <v>11527.5</v>
      </c>
      <c r="J334" s="22">
        <v>80</v>
      </c>
      <c r="K334" s="21">
        <f t="shared" si="15"/>
        <v>19.052636944453862</v>
      </c>
      <c r="L334" s="21">
        <f>I334/(پارامترها!$B$5/1000000)</f>
        <v>11.843119124672521</v>
      </c>
      <c r="M334" s="21">
        <f>K334/پارامترها!$B$7</f>
        <v>63.50878981484621</v>
      </c>
      <c r="N334" s="21">
        <v>18.89</v>
      </c>
      <c r="O334" s="21">
        <f>N334*پارامترها!$B$6*پارامترها!$B$16</f>
        <v>42.502499999999998</v>
      </c>
      <c r="P334" s="21">
        <f>O334*12/G334*100</f>
        <v>84.297691787289551</v>
      </c>
      <c r="Q334" s="21">
        <f>O334*12/(پارامترها!$B$5/1000000)*100</f>
        <v>52.399445214979188</v>
      </c>
      <c r="R334" s="3" t="str">
        <f t="shared" si="16"/>
        <v>فشار شدید</v>
      </c>
      <c r="S334" s="21">
        <f>(1-NORMSDIST((LN(O334*12*1000000/پارامترها!$B$8)-پارامترها!$B$15)/پارامترها!$B$14))*100</f>
        <v>14.545567786700598</v>
      </c>
      <c r="T334" s="21">
        <f>(1-NORMSDIST((LN(I334*1000000/5)-پارامترها!$B$15)/پارامترها!$B$14))*100</f>
        <v>8.9329242341389392</v>
      </c>
      <c r="U334" s="21">
        <f>MIN(100,پارامترها!$B$9/1000000/I334*100)</f>
        <v>17.34981565820863</v>
      </c>
      <c r="V334" s="19">
        <f>MAX(0,I334-پارامترها!$B$9/1000000)</f>
        <v>9527.5</v>
      </c>
      <c r="W334" s="21">
        <f>V334/(G334*پارامترها!$B$7)</f>
        <v>52.49013185521121</v>
      </c>
      <c r="X334" s="21">
        <f>پارامترها!$B$12/1000000/(G334/12)*100</f>
        <v>79.880237686189417</v>
      </c>
      <c r="Y334" s="21">
        <f>ROUND(50*MIN(1,3/K334)+50*MIN(1,30/P334),1)</f>
        <v>25.7</v>
      </c>
      <c r="Z334" s="3">
        <f t="shared" si="17"/>
        <v>313</v>
      </c>
      <c r="AA334" s="19">
        <v>86</v>
      </c>
      <c r="AB334" s="19">
        <v>86</v>
      </c>
      <c r="AC334" s="3" t="s">
        <v>83</v>
      </c>
      <c r="AD334" s="3" t="s">
        <v>146</v>
      </c>
      <c r="AE334" s="3" t="s">
        <v>503</v>
      </c>
      <c r="AF334" s="23" t="s">
        <v>90</v>
      </c>
    </row>
    <row r="335" spans="1:32" x14ac:dyDescent="0.2">
      <c r="A335" s="3">
        <v>334</v>
      </c>
      <c r="B335" s="3">
        <v>21</v>
      </c>
      <c r="C335" s="3" t="s">
        <v>504</v>
      </c>
      <c r="D335" s="19">
        <v>12924</v>
      </c>
      <c r="E335" s="19">
        <f>ROUND(D335/INDEX(مناطق!$D$2:$D$23,B335),0)</f>
        <v>4192</v>
      </c>
      <c r="F335" s="20">
        <v>0.51680000000000004</v>
      </c>
      <c r="G335" s="19">
        <f>پارامترها!$B$5*F335/1000000</f>
        <v>503.02728000000013</v>
      </c>
      <c r="H335" s="21">
        <v>128.6</v>
      </c>
      <c r="I335" s="19">
        <f>H335*پارامترها!$B$6</f>
        <v>9645</v>
      </c>
      <c r="J335" s="22">
        <v>77.5</v>
      </c>
      <c r="K335" s="21">
        <f t="shared" si="15"/>
        <v>19.173910408994114</v>
      </c>
      <c r="L335" s="21">
        <f>I335/(پارامترها!$B$5/1000000)</f>
        <v>9.9090768993681593</v>
      </c>
      <c r="M335" s="21">
        <f>K335/پارامترها!$B$7</f>
        <v>63.913034696647053</v>
      </c>
      <c r="N335" s="21">
        <v>14.55</v>
      </c>
      <c r="O335" s="21">
        <f>N335*پارامترها!$B$6*پارامترها!$B$16</f>
        <v>32.737499999999997</v>
      </c>
      <c r="P335" s="21">
        <f>O335*12/G335*100</f>
        <v>78.097156082668093</v>
      </c>
      <c r="Q335" s="21">
        <f>O335*12/(پارامترها!$B$5/1000000)*100</f>
        <v>40.360610263522879</v>
      </c>
      <c r="R335" s="3" t="str">
        <f t="shared" si="16"/>
        <v>فشار شدید</v>
      </c>
      <c r="S335" s="21">
        <f>(1-NORMSDIST((LN(O335*12*1000000/پارامترها!$B$8)-پارامترها!$B$15)/پارامترها!$B$14))*100</f>
        <v>20.935670174155074</v>
      </c>
      <c r="T335" s="21">
        <f>(1-NORMSDIST((LN(I335*1000000/5)-پارامترها!$B$15)/پارامترها!$B$14))*100</f>
        <v>11.982311072231532</v>
      </c>
      <c r="U335" s="21">
        <f>MIN(100,پارامترها!$B$9/1000000/I335*100)</f>
        <v>20.736132711249354</v>
      </c>
      <c r="V335" s="19">
        <f>MAX(0,I335-پارامترها!$B$9/1000000)</f>
        <v>7645</v>
      </c>
      <c r="W335" s="21">
        <f>V335/(G335*پارامترها!$B$7)</f>
        <v>50.659943002163473</v>
      </c>
      <c r="X335" s="21">
        <f>پارامترها!$B$12/1000000/(G335/12)*100</f>
        <v>96.078861737103978</v>
      </c>
      <c r="Y335" s="21">
        <f>ROUND(50*MIN(1,3/K335)+50*MIN(1,30/P335),1)</f>
        <v>27</v>
      </c>
      <c r="Z335" s="3">
        <f t="shared" si="17"/>
        <v>290</v>
      </c>
      <c r="AA335" s="19">
        <v>86</v>
      </c>
      <c r="AB335" s="19">
        <v>34</v>
      </c>
      <c r="AC335" s="3" t="s">
        <v>83</v>
      </c>
      <c r="AD335" s="3" t="s">
        <v>84</v>
      </c>
      <c r="AE335" s="3" t="s">
        <v>504</v>
      </c>
      <c r="AF335" s="23" t="s">
        <v>85</v>
      </c>
    </row>
    <row r="336" spans="1:32" x14ac:dyDescent="0.2">
      <c r="A336" s="3">
        <v>335</v>
      </c>
      <c r="B336" s="3">
        <v>21</v>
      </c>
      <c r="C336" s="3" t="s">
        <v>505</v>
      </c>
      <c r="D336" s="19">
        <v>1309</v>
      </c>
      <c r="E336" s="19">
        <f>ROUND(D336/INDEX(مناطق!$D$2:$D$23,B336),0)</f>
        <v>425</v>
      </c>
      <c r="F336" s="20">
        <v>0.50249999999999995</v>
      </c>
      <c r="G336" s="19">
        <f>پارامترها!$B$5*F336/1000000</f>
        <v>489.10837500000002</v>
      </c>
      <c r="H336" s="21">
        <v>125.1</v>
      </c>
      <c r="I336" s="19">
        <f>H336*پارامترها!$B$6</f>
        <v>9382.5</v>
      </c>
      <c r="J336" s="22">
        <v>66.5</v>
      </c>
      <c r="K336" s="21">
        <f t="shared" si="15"/>
        <v>19.182865147218138</v>
      </c>
      <c r="L336" s="21">
        <f>I336/(پارامترها!$B$5/1000000)</f>
        <v>9.6393897364771135</v>
      </c>
      <c r="M336" s="21">
        <f>K336/پارامترها!$B$7</f>
        <v>63.942883824060459</v>
      </c>
      <c r="N336" s="21">
        <v>12.78</v>
      </c>
      <c r="O336" s="21">
        <f>N336*پارامترها!$B$6*پارامترها!$B$16</f>
        <v>28.754999999999999</v>
      </c>
      <c r="P336" s="21">
        <f>O336*12/G336*100</f>
        <v>70.548781750056918</v>
      </c>
      <c r="Q336" s="21">
        <f>O336*12/(پارامترها!$B$5/1000000)*100</f>
        <v>35.450762829403601</v>
      </c>
      <c r="R336" s="3" t="str">
        <f t="shared" si="16"/>
        <v>فشار شدید</v>
      </c>
      <c r="S336" s="21">
        <f>(1-NORMSDIST((LN(O336*12*1000000/پارامترها!$B$8)-پارامترها!$B$15)/پارامترها!$B$14))*100</f>
        <v>24.645432355889476</v>
      </c>
      <c r="T336" s="21">
        <f>(1-NORMSDIST((LN(I336*1000000/5)-پارامترها!$B$15)/پارامترها!$B$14))*100</f>
        <v>12.513108705156462</v>
      </c>
      <c r="U336" s="21">
        <f>MIN(100,پارامترها!$B$9/1000000/I336*100)</f>
        <v>21.316280309086064</v>
      </c>
      <c r="V336" s="19">
        <f>MAX(0,I336-پارامترها!$B$9/1000000)</f>
        <v>7382.5</v>
      </c>
      <c r="W336" s="21">
        <f>V336/(G336*پارامترها!$B$7)</f>
        <v>50.312639470410481</v>
      </c>
      <c r="X336" s="21">
        <f>پارامترها!$B$12/1000000/(G336/12)*100</f>
        <v>98.813046260169841</v>
      </c>
      <c r="Y336" s="21">
        <f>ROUND(50*MIN(1,3/K336)+50*MIN(1,30/P336),1)</f>
        <v>29.1</v>
      </c>
      <c r="Z336" s="3">
        <f t="shared" si="17"/>
        <v>221</v>
      </c>
      <c r="AA336" s="19">
        <v>2</v>
      </c>
      <c r="AB336" s="19">
        <v>1</v>
      </c>
      <c r="AC336" s="3" t="s">
        <v>83</v>
      </c>
      <c r="AD336" s="3" t="s">
        <v>84</v>
      </c>
      <c r="AE336" s="3" t="s">
        <v>505</v>
      </c>
      <c r="AF336" s="23" t="s">
        <v>152</v>
      </c>
    </row>
    <row r="337" spans="1:32" x14ac:dyDescent="0.2">
      <c r="A337" s="3">
        <v>336</v>
      </c>
      <c r="B337" s="3">
        <v>21</v>
      </c>
      <c r="C337" s="3" t="s">
        <v>506</v>
      </c>
      <c r="D337" s="19">
        <v>1556</v>
      </c>
      <c r="E337" s="19">
        <f>ROUND(D337/INDEX(مناطق!$D$2:$D$23,B337),0)</f>
        <v>505</v>
      </c>
      <c r="F337" s="20">
        <v>0.49380000000000002</v>
      </c>
      <c r="G337" s="19">
        <f>پارامترها!$B$5*F337/1000000</f>
        <v>480.64023000000009</v>
      </c>
      <c r="H337" s="21">
        <v>123</v>
      </c>
      <c r="I337" s="19">
        <f>H337*پارامترها!$B$6</f>
        <v>9225</v>
      </c>
      <c r="J337" s="22">
        <v>73</v>
      </c>
      <c r="K337" s="21">
        <f t="shared" si="15"/>
        <v>19.193149936700053</v>
      </c>
      <c r="L337" s="21">
        <f>I337/(پارامترها!$B$5/1000000)</f>
        <v>9.477577438742486</v>
      </c>
      <c r="M337" s="21">
        <f>K337/پارامترها!$B$7</f>
        <v>63.977166455666847</v>
      </c>
      <c r="N337" s="21">
        <v>19.170000000000002</v>
      </c>
      <c r="O337" s="21">
        <f>N337*پارامترها!$B$6*پارامترها!$B$16</f>
        <v>43.132500000000007</v>
      </c>
      <c r="P337" s="21">
        <f>O337*12/G337*100</f>
        <v>107.68761491313367</v>
      </c>
      <c r="Q337" s="21">
        <f>O337*12/(پارامترها!$B$5/1000000)*100</f>
        <v>53.176144244105416</v>
      </c>
      <c r="R337" s="3" t="str">
        <f t="shared" si="16"/>
        <v>فشار شدید</v>
      </c>
      <c r="S337" s="21">
        <f>(1-NORMSDIST((LN(O337*12*1000000/پارامترها!$B$8)-پارامترها!$B$15)/پارامترها!$B$14))*100</f>
        <v>14.229315708910894</v>
      </c>
      <c r="T337" s="21">
        <f>(1-NORMSDIST((LN(I337*1000000/5)-پارامترها!$B$15)/پارامترها!$B$14))*100</f>
        <v>12.846776567003172</v>
      </c>
      <c r="U337" s="21">
        <f>MIN(100,پارامترها!$B$9/1000000/I337*100)</f>
        <v>21.680216802168022</v>
      </c>
      <c r="V337" s="19">
        <f>MAX(0,I337-پارامترها!$B$9/1000000)</f>
        <v>7225</v>
      </c>
      <c r="W337" s="21">
        <f>V337/(G337*پارامترها!$B$7)</f>
        <v>50.106778064194351</v>
      </c>
      <c r="X337" s="21">
        <f>پارامترها!$B$12/1000000/(G337/12)*100</f>
        <v>100.55398085406102</v>
      </c>
      <c r="Y337" s="21">
        <f>ROUND(50*MIN(1,3/K337)+50*MIN(1,30/P337),1)</f>
        <v>21.7</v>
      </c>
      <c r="Z337" s="3">
        <f t="shared" si="17"/>
        <v>349</v>
      </c>
      <c r="AA337" s="19">
        <v>59</v>
      </c>
      <c r="AB337" s="19">
        <v>7</v>
      </c>
      <c r="AC337" s="3" t="s">
        <v>83</v>
      </c>
      <c r="AD337" s="3" t="s">
        <v>84</v>
      </c>
      <c r="AE337" s="3" t="s">
        <v>506</v>
      </c>
      <c r="AF337" s="23" t="s">
        <v>90</v>
      </c>
    </row>
    <row r="338" spans="1:32" x14ac:dyDescent="0.2">
      <c r="A338" s="3">
        <v>337</v>
      </c>
      <c r="B338" s="3">
        <v>21</v>
      </c>
      <c r="C338" s="3" t="s">
        <v>507</v>
      </c>
      <c r="D338" s="19">
        <v>6885</v>
      </c>
      <c r="E338" s="19">
        <f>ROUND(D338/INDEX(مناطق!$D$2:$D$23,B338),0)</f>
        <v>2233</v>
      </c>
      <c r="F338" s="20">
        <v>0.45400000000000001</v>
      </c>
      <c r="G338" s="19">
        <f>پارامترها!$B$5*F338/1000000</f>
        <v>441.90090000000004</v>
      </c>
      <c r="H338" s="21">
        <v>113.4</v>
      </c>
      <c r="I338" s="19">
        <f>H338*پارامترها!$B$6</f>
        <v>8505</v>
      </c>
      <c r="J338" s="22">
        <v>80</v>
      </c>
      <c r="K338" s="21">
        <f t="shared" si="15"/>
        <v>19.246396646850005</v>
      </c>
      <c r="L338" s="21">
        <f>I338/(پارامترها!$B$5/1000000)</f>
        <v>8.7378640776699008</v>
      </c>
      <c r="M338" s="21">
        <f>K338/پارامترها!$B$7</f>
        <v>64.154655489500016</v>
      </c>
      <c r="N338" s="21">
        <v>13.92</v>
      </c>
      <c r="O338" s="21">
        <f>N338*پارامترها!$B$6*پارامترها!$B$16</f>
        <v>31.32</v>
      </c>
      <c r="P338" s="21">
        <f>O338*12/G338*100</f>
        <v>85.050743277508602</v>
      </c>
      <c r="Q338" s="21">
        <f>O338*12/(پارامترها!$B$5/1000000)*100</f>
        <v>38.613037447988901</v>
      </c>
      <c r="R338" s="3" t="str">
        <f t="shared" si="16"/>
        <v>فشار شدید</v>
      </c>
      <c r="S338" s="21">
        <f>(1-NORMSDIST((LN(O338*12*1000000/پارامترها!$B$8)-پارامترها!$B$15)/پارامترها!$B$14))*100</f>
        <v>22.163217722868154</v>
      </c>
      <c r="T338" s="21">
        <f>(1-NORMSDIST((LN(I338*1000000/5)-پارامترها!$B$15)/پارامترها!$B$14))*100</f>
        <v>14.534111248625836</v>
      </c>
      <c r="U338" s="21">
        <f>MIN(100,پارامترها!$B$9/1000000/I338*100)</f>
        <v>23.515579071134628</v>
      </c>
      <c r="V338" s="19">
        <f>MAX(0,I338-پارامترها!$B$9/1000000)</f>
        <v>6505</v>
      </c>
      <c r="W338" s="21">
        <f>V338/(G338*پارامترها!$B$7)</f>
        <v>49.068316750052638</v>
      </c>
      <c r="X338" s="21">
        <f>پارامترها!$B$12/1000000/(G338/12)*100</f>
        <v>109.36906551924083</v>
      </c>
      <c r="Y338" s="21">
        <f>ROUND(50*MIN(1,3/K338)+50*MIN(1,30/P338),1)</f>
        <v>25.4</v>
      </c>
      <c r="Z338" s="3">
        <f t="shared" si="17"/>
        <v>326</v>
      </c>
      <c r="AA338" s="19">
        <v>41</v>
      </c>
      <c r="AB338" s="19">
        <v>5</v>
      </c>
      <c r="AC338" s="3" t="s">
        <v>83</v>
      </c>
      <c r="AD338" s="3" t="s">
        <v>84</v>
      </c>
      <c r="AE338" s="3" t="s">
        <v>507</v>
      </c>
      <c r="AF338" s="23" t="s">
        <v>90</v>
      </c>
    </row>
    <row r="339" spans="1:32" x14ac:dyDescent="0.2">
      <c r="A339" s="3">
        <v>338</v>
      </c>
      <c r="B339" s="3">
        <v>22</v>
      </c>
      <c r="C339" s="3" t="s">
        <v>508</v>
      </c>
      <c r="D339" s="19">
        <v>12676</v>
      </c>
      <c r="E339" s="19">
        <f>ROUND(D339/INDEX(مناطق!$D$2:$D$23,B339),0)</f>
        <v>3965</v>
      </c>
      <c r="F339" s="20">
        <v>1.0669</v>
      </c>
      <c r="G339" s="19">
        <f>پارامترها!$B$5*F339/1000000</f>
        <v>1038.4671150000001</v>
      </c>
      <c r="H339" s="21">
        <v>250</v>
      </c>
      <c r="I339" s="19">
        <f>H339*پارامترها!$B$6</f>
        <v>18750</v>
      </c>
      <c r="J339" s="22">
        <v>115.5</v>
      </c>
      <c r="K339" s="21">
        <f t="shared" si="15"/>
        <v>18.055458597742884</v>
      </c>
      <c r="L339" s="21">
        <f>I339/(پارامترها!$B$5/1000000)</f>
        <v>19.263368777931881</v>
      </c>
      <c r="M339" s="21">
        <f>K339/پارامترها!$B$7</f>
        <v>60.184861992476286</v>
      </c>
      <c r="N339" s="21">
        <v>24.08</v>
      </c>
      <c r="O339" s="21">
        <f>N339*پارامترها!$B$6*پارامترها!$B$16</f>
        <v>54.179999999999993</v>
      </c>
      <c r="P339" s="21">
        <f>O339*12/G339*100</f>
        <v>62.607663796845394</v>
      </c>
      <c r="Q339" s="21">
        <f>O339*12/(پارامترها!$B$5/1000000)*100</f>
        <v>66.796116504854339</v>
      </c>
      <c r="R339" s="3" t="str">
        <f t="shared" si="16"/>
        <v>فشار شدید</v>
      </c>
      <c r="S339" s="21">
        <f>(1-NORMSDIST((LN(O339*12*1000000/پارامترها!$B$8)-پارامترها!$B$15)/پارامترها!$B$14))*100</f>
        <v>9.917757926876769</v>
      </c>
      <c r="T339" s="21">
        <f>(1-NORMSDIST((LN(I339*1000000/5)-پارامترها!$B$15)/پارامترها!$B$14))*100</f>
        <v>3.5454296333492508</v>
      </c>
      <c r="U339" s="21">
        <f>MIN(100,پارامترها!$B$9/1000000/I339*100)</f>
        <v>10.666666666666668</v>
      </c>
      <c r="V339" s="19">
        <f>MAX(0,I339-پارامترها!$B$9/1000000)</f>
        <v>16750</v>
      </c>
      <c r="W339" s="21">
        <f>V339/(G339*پارامترها!$B$7)</f>
        <v>53.765143379945478</v>
      </c>
      <c r="X339" s="21">
        <f>پارامترها!$B$12/1000000/(G339/12)*100</f>
        <v>46.540027880528015</v>
      </c>
      <c r="Y339" s="21">
        <f>ROUND(50*MIN(1,3/K339)+50*MIN(1,30/P339),1)</f>
        <v>32.299999999999997</v>
      </c>
      <c r="Z339" s="3">
        <f t="shared" si="17"/>
        <v>49</v>
      </c>
      <c r="AA339" s="19">
        <v>62</v>
      </c>
      <c r="AB339" s="19">
        <v>79</v>
      </c>
      <c r="AC339" s="3" t="s">
        <v>83</v>
      </c>
      <c r="AD339" s="3" t="s">
        <v>84</v>
      </c>
      <c r="AE339" s="3" t="s">
        <v>509</v>
      </c>
      <c r="AF339" s="23" t="s">
        <v>85</v>
      </c>
    </row>
    <row r="340" spans="1:32" x14ac:dyDescent="0.2">
      <c r="A340" s="3">
        <v>339</v>
      </c>
      <c r="B340" s="3">
        <v>22</v>
      </c>
      <c r="C340" s="3" t="s">
        <v>510</v>
      </c>
      <c r="D340" s="19">
        <v>5475</v>
      </c>
      <c r="E340" s="19">
        <f>ROUND(D340/INDEX(مناطق!$D$2:$D$23,B340),0)</f>
        <v>1712</v>
      </c>
      <c r="F340" s="20">
        <v>1.0318000000000001</v>
      </c>
      <c r="G340" s="19">
        <f>پارامترها!$B$5*F340/1000000</f>
        <v>1004.3025300000002</v>
      </c>
      <c r="H340" s="21">
        <v>242.1</v>
      </c>
      <c r="I340" s="19">
        <f>H340*پارامترها!$B$6</f>
        <v>18157.5</v>
      </c>
      <c r="J340" s="22">
        <v>116</v>
      </c>
      <c r="K340" s="21">
        <f t="shared" si="15"/>
        <v>18.079711498884702</v>
      </c>
      <c r="L340" s="21">
        <f>I340/(پارامترها!$B$5/1000000)</f>
        <v>18.654646324549233</v>
      </c>
      <c r="M340" s="21">
        <f>K340/پارامترها!$B$7</f>
        <v>60.265704996282345</v>
      </c>
      <c r="N340" s="21">
        <v>25.88</v>
      </c>
      <c r="O340" s="21">
        <f>N340*پارامترها!$B$6*پارامترها!$B$16</f>
        <v>58.23</v>
      </c>
      <c r="P340" s="21">
        <f>O340*12/G340*100</f>
        <v>69.576644400168931</v>
      </c>
      <c r="Q340" s="21">
        <f>O340*12/(پارامترها!$B$5/1000000)*100</f>
        <v>71.789181692094303</v>
      </c>
      <c r="R340" s="3" t="str">
        <f t="shared" si="16"/>
        <v>فشار شدید</v>
      </c>
      <c r="S340" s="21">
        <f>(1-NORMSDIST((LN(O340*12*1000000/پارامترها!$B$8)-پارامترها!$B$15)/پارامترها!$B$14))*100</f>
        <v>8.7773700106361545</v>
      </c>
      <c r="T340" s="21">
        <f>(1-NORMSDIST((LN(I340*1000000/5)-پارامترها!$B$15)/پارامترها!$B$14))*100</f>
        <v>3.7897630657430903</v>
      </c>
      <c r="U340" s="21">
        <f>MIN(100,پارامترها!$B$9/1000000/I340*100)</f>
        <v>11.014732204323282</v>
      </c>
      <c r="V340" s="19">
        <f>MAX(0,I340-پارامترها!$B$9/1000000)</f>
        <v>16157.5</v>
      </c>
      <c r="W340" s="21">
        <f>V340/(G340*پارامترها!$B$7)</f>
        <v>53.627598979894358</v>
      </c>
      <c r="X340" s="21">
        <f>پارامترها!$B$12/1000000/(G340/12)*100</f>
        <v>48.123236815017769</v>
      </c>
      <c r="Y340" s="21">
        <f>ROUND(50*MIN(1,3/K340)+50*MIN(1,30/P340),1)</f>
        <v>29.9</v>
      </c>
      <c r="Z340" s="3">
        <f t="shared" si="17"/>
        <v>168</v>
      </c>
      <c r="AA340" s="19">
        <v>72</v>
      </c>
      <c r="AB340" s="19">
        <v>85</v>
      </c>
      <c r="AC340" s="3" t="s">
        <v>83</v>
      </c>
      <c r="AD340" s="3" t="s">
        <v>84</v>
      </c>
      <c r="AE340" s="3" t="s">
        <v>510</v>
      </c>
      <c r="AF340" s="23" t="s">
        <v>85</v>
      </c>
    </row>
    <row r="341" spans="1:32" x14ac:dyDescent="0.2">
      <c r="A341" s="3">
        <v>340</v>
      </c>
      <c r="B341" s="3">
        <v>22</v>
      </c>
      <c r="C341" s="3" t="s">
        <v>511</v>
      </c>
      <c r="D341" s="19">
        <v>12360</v>
      </c>
      <c r="E341" s="19">
        <f>ROUND(D341/INDEX(مناطق!$D$2:$D$23,B341),0)</f>
        <v>3866</v>
      </c>
      <c r="F341" s="20">
        <v>1.0055000000000001</v>
      </c>
      <c r="G341" s="19">
        <f>پارامترها!$B$5*F341/1000000</f>
        <v>978.70342500000015</v>
      </c>
      <c r="H341" s="21">
        <v>236.1</v>
      </c>
      <c r="I341" s="19">
        <f>H341*پارامترها!$B$6</f>
        <v>17707.5</v>
      </c>
      <c r="J341" s="22">
        <v>123.5</v>
      </c>
      <c r="K341" s="21">
        <f t="shared" si="15"/>
        <v>18.092814991426025</v>
      </c>
      <c r="L341" s="21">
        <f>I341/(پارامترها!$B$5/1000000)</f>
        <v>18.192325473878871</v>
      </c>
      <c r="M341" s="21">
        <f>K341/پارامترها!$B$7</f>
        <v>60.309383304753418</v>
      </c>
      <c r="N341" s="21">
        <v>23.25</v>
      </c>
      <c r="O341" s="21">
        <f>N341*پارامترها!$B$6*پارامترها!$B$16</f>
        <v>52.3125</v>
      </c>
      <c r="P341" s="21">
        <f>O341*12/G341*100</f>
        <v>64.140983260582743</v>
      </c>
      <c r="Q341" s="21">
        <f>O341*12/(پارامترها!$B$5/1000000)*100</f>
        <v>64.493758668515937</v>
      </c>
      <c r="R341" s="3" t="str">
        <f t="shared" si="16"/>
        <v>فشار شدید</v>
      </c>
      <c r="S341" s="21">
        <f>(1-NORMSDIST((LN(O341*12*1000000/پارامترها!$B$8)-پارامترها!$B$15)/پارامترها!$B$14))*100</f>
        <v>10.510300034587106</v>
      </c>
      <c r="T341" s="21">
        <f>(1-NORMSDIST((LN(I341*1000000/5)-پارامترها!$B$15)/پارامترها!$B$14))*100</f>
        <v>3.9901412741570996</v>
      </c>
      <c r="U341" s="21">
        <f>MIN(100,پارامترها!$B$9/1000000/I341*100)</f>
        <v>11.294649159960468</v>
      </c>
      <c r="V341" s="19">
        <f>MAX(0,I341-پارامترها!$B$9/1000000)</f>
        <v>15707.5</v>
      </c>
      <c r="W341" s="21">
        <f>V341/(G341*پارامترها!$B$7)</f>
        <v>53.497650049945747</v>
      </c>
      <c r="X341" s="21">
        <f>پارامترها!$B$12/1000000/(G341/12)*100</f>
        <v>49.381954993272345</v>
      </c>
      <c r="Y341" s="21">
        <f>ROUND(50*MIN(1,3/K341)+50*MIN(1,30/P341),1)</f>
        <v>31.7</v>
      </c>
      <c r="Z341" s="3">
        <f t="shared" si="17"/>
        <v>78</v>
      </c>
      <c r="AA341" s="19">
        <v>86</v>
      </c>
      <c r="AB341" s="19">
        <v>83</v>
      </c>
      <c r="AC341" s="3" t="s">
        <v>83</v>
      </c>
      <c r="AD341" s="3" t="s">
        <v>84</v>
      </c>
      <c r="AE341" s="3" t="s">
        <v>511</v>
      </c>
      <c r="AF341" s="23" t="s">
        <v>85</v>
      </c>
    </row>
    <row r="342" spans="1:32" x14ac:dyDescent="0.2">
      <c r="A342" s="3">
        <v>341</v>
      </c>
      <c r="B342" s="3">
        <v>22</v>
      </c>
      <c r="C342" s="3" t="s">
        <v>512</v>
      </c>
      <c r="D342" s="19">
        <v>17397</v>
      </c>
      <c r="E342" s="19">
        <f>ROUND(D342/INDEX(مناطق!$D$2:$D$23,B342),0)</f>
        <v>5441</v>
      </c>
      <c r="F342" s="20">
        <v>1.0023</v>
      </c>
      <c r="G342" s="19">
        <f>پارامترها!$B$5*F342/1000000</f>
        <v>975.58870500000012</v>
      </c>
      <c r="H342" s="21">
        <v>235.4</v>
      </c>
      <c r="I342" s="19">
        <f>H342*پارامترها!$B$6</f>
        <v>17655</v>
      </c>
      <c r="J342" s="22">
        <v>117</v>
      </c>
      <c r="K342" s="21">
        <f t="shared" si="15"/>
        <v>18.096765480695062</v>
      </c>
      <c r="L342" s="21">
        <f>I342/(پارامترها!$B$5/1000000)</f>
        <v>18.138388041300662</v>
      </c>
      <c r="M342" s="21">
        <f>K342/پارامترها!$B$7</f>
        <v>60.322551602316878</v>
      </c>
      <c r="N342" s="21">
        <v>20.329999999999998</v>
      </c>
      <c r="O342" s="21">
        <f>N342*پارامترها!$B$6*پارامترها!$B$16</f>
        <v>45.742499999999993</v>
      </c>
      <c r="P342" s="21">
        <f>O342*12/G342*100</f>
        <v>56.264489039979182</v>
      </c>
      <c r="Q342" s="21">
        <f>O342*12/(پارامترها!$B$5/1000000)*100</f>
        <v>56.393897364771128</v>
      </c>
      <c r="R342" s="3" t="str">
        <f t="shared" si="16"/>
        <v>فشار شدید</v>
      </c>
      <c r="S342" s="21">
        <f>(1-NORMSDIST((LN(O342*12*1000000/پارامترها!$B$8)-پارامترها!$B$15)/پارامترها!$B$14))*100</f>
        <v>13.013151217099129</v>
      </c>
      <c r="T342" s="21">
        <f>(1-NORMSDIST((LN(I342*1000000/5)-پارامترها!$B$15)/پارامترها!$B$14))*100</f>
        <v>4.0144091922229119</v>
      </c>
      <c r="U342" s="21">
        <f>MIN(100,پارامترها!$B$9/1000000/I342*100)</f>
        <v>11.328235627301048</v>
      </c>
      <c r="V342" s="19">
        <f>MAX(0,I342-پارامترها!$B$9/1000000)</f>
        <v>15655</v>
      </c>
      <c r="W342" s="21">
        <f>V342/(G342*پارامترها!$B$7)</f>
        <v>53.489070820406155</v>
      </c>
      <c r="X342" s="21">
        <f>پارامترها!$B$12/1000000/(G342/12)*100</f>
        <v>49.539614632081552</v>
      </c>
      <c r="Y342" s="21">
        <f>ROUND(50*MIN(1,3/K342)+50*MIN(1,30/P342),1)</f>
        <v>34.9</v>
      </c>
      <c r="Z342" s="3">
        <f t="shared" si="17"/>
        <v>13</v>
      </c>
      <c r="AA342" s="19">
        <v>85</v>
      </c>
      <c r="AB342" s="19">
        <v>80</v>
      </c>
      <c r="AC342" s="3" t="s">
        <v>83</v>
      </c>
      <c r="AD342" s="3" t="s">
        <v>84</v>
      </c>
      <c r="AE342" s="3" t="s">
        <v>512</v>
      </c>
      <c r="AF342" s="23" t="s">
        <v>85</v>
      </c>
    </row>
    <row r="343" spans="1:32" x14ac:dyDescent="0.2">
      <c r="A343" s="3">
        <v>342</v>
      </c>
      <c r="B343" s="3">
        <v>22</v>
      </c>
      <c r="C343" s="3" t="s">
        <v>513</v>
      </c>
      <c r="D343" s="19">
        <v>6706</v>
      </c>
      <c r="E343" s="19">
        <f>ROUND(D343/INDEX(مناطق!$D$2:$D$23,B343),0)</f>
        <v>2097</v>
      </c>
      <c r="F343" s="20">
        <v>0.97209999999999996</v>
      </c>
      <c r="G343" s="19">
        <f>پارامترها!$B$5*F343/1000000</f>
        <v>946.19353500000011</v>
      </c>
      <c r="H343" s="21">
        <v>228.5</v>
      </c>
      <c r="I343" s="19">
        <f>H343*پارامترها!$B$6</f>
        <v>17137.5</v>
      </c>
      <c r="J343" s="22">
        <v>114</v>
      </c>
      <c r="K343" s="21">
        <f t="shared" si="15"/>
        <v>18.112045121931633</v>
      </c>
      <c r="L343" s="21">
        <f>I343/(پارامترها!$B$5/1000000)</f>
        <v>17.60671906302974</v>
      </c>
      <c r="M343" s="21">
        <f>K343/پارامترها!$B$7</f>
        <v>60.373483739772112</v>
      </c>
      <c r="N343" s="21">
        <v>21.03</v>
      </c>
      <c r="O343" s="21">
        <f>N343*پارامترها!$B$6*پارامترها!$B$16</f>
        <v>47.317499999999995</v>
      </c>
      <c r="P343" s="21">
        <f>O343*12/G343*100</f>
        <v>60.00992175453829</v>
      </c>
      <c r="Q343" s="21">
        <f>O343*12/(پارامترها!$B$5/1000000)*100</f>
        <v>58.335644937586672</v>
      </c>
      <c r="R343" s="3" t="str">
        <f t="shared" si="16"/>
        <v>فشار شدید</v>
      </c>
      <c r="S343" s="21">
        <f>(1-NORMSDIST((LN(O343*12*1000000/پارامترها!$B$8)-پارامترها!$B$15)/پارامترها!$B$14))*100</f>
        <v>12.346019591130798</v>
      </c>
      <c r="T343" s="21">
        <f>(1-NORMSDIST((LN(I343*1000000/5)-پارامترها!$B$15)/پارامترها!$B$14))*100</f>
        <v>4.2642359501863458</v>
      </c>
      <c r="U343" s="21">
        <f>MIN(100,پارامترها!$B$9/1000000/I343*100)</f>
        <v>11.670313639679067</v>
      </c>
      <c r="V343" s="19">
        <f>MAX(0,I343-پارامترها!$B$9/1000000)</f>
        <v>15137.5</v>
      </c>
      <c r="W343" s="21">
        <f>V343/(G343*پارامترها!$B$7)</f>
        <v>53.327708832140061</v>
      </c>
      <c r="X343" s="21">
        <f>پارامترها!$B$12/1000000/(G343/12)*100</f>
        <v>51.078650083052516</v>
      </c>
      <c r="Y343" s="21">
        <f>ROUND(50*MIN(1,3/K343)+50*MIN(1,30/P343),1)</f>
        <v>33.299999999999997</v>
      </c>
      <c r="Z343" s="3">
        <f t="shared" si="17"/>
        <v>27</v>
      </c>
      <c r="AA343" s="19">
        <v>48</v>
      </c>
      <c r="AB343" s="19">
        <v>31</v>
      </c>
      <c r="AC343" s="3" t="s">
        <v>83</v>
      </c>
      <c r="AD343" s="3" t="s">
        <v>84</v>
      </c>
      <c r="AE343" s="3" t="s">
        <v>513</v>
      </c>
      <c r="AF343" s="23" t="s">
        <v>85</v>
      </c>
    </row>
    <row r="344" spans="1:32" ht="16.5" x14ac:dyDescent="0.3">
      <c r="A344" s="3">
        <v>343</v>
      </c>
      <c r="B344" s="3">
        <v>22</v>
      </c>
      <c r="C344" s="3" t="s">
        <v>514</v>
      </c>
      <c r="D344" s="19">
        <v>20338</v>
      </c>
      <c r="E344" s="19">
        <f>ROUND(D344/INDEX(مناطق!$D$2:$D$23,B344),0)</f>
        <v>6361</v>
      </c>
      <c r="F344" s="20">
        <v>0.95320000000000005</v>
      </c>
      <c r="G344" s="19">
        <f>پارامترها!$B$5*F344/1000000</f>
        <v>927.79722000000015</v>
      </c>
      <c r="H344" s="21">
        <v>224.2</v>
      </c>
      <c r="I344" s="19">
        <f>H344*پارامترها!$B$6</f>
        <v>16815</v>
      </c>
      <c r="J344" s="22">
        <v>110</v>
      </c>
      <c r="K344" s="21">
        <f t="shared" si="15"/>
        <v>18.12357230387045</v>
      </c>
      <c r="L344" s="21">
        <f>I344/(پارامترها!$B$5/1000000)</f>
        <v>17.275389120049311</v>
      </c>
      <c r="M344" s="21">
        <f>K344/پارامترها!$B$7</f>
        <v>60.411907679568166</v>
      </c>
      <c r="N344" s="21">
        <v>27.73</v>
      </c>
      <c r="O344" s="21">
        <f>N344*پارامترها!$B$6*پارامترها!$B$16</f>
        <v>62.392499999999998</v>
      </c>
      <c r="P344" s="21">
        <f>O344*12/G344*100</f>
        <v>80.69759036354948</v>
      </c>
      <c r="Q344" s="21">
        <f>O344*12/(پارامترها!$B$5/1000000)*100</f>
        <v>76.920943134535364</v>
      </c>
      <c r="R344" s="3" t="str">
        <f t="shared" si="16"/>
        <v>فشار شدید</v>
      </c>
      <c r="S344" s="21">
        <f>(1-NORMSDIST((LN(O344*12*1000000/پارامترها!$B$8)-پارامترها!$B$15)/پارامترها!$B$14))*100</f>
        <v>7.7796988773280678</v>
      </c>
      <c r="T344" s="21">
        <f>(1-NORMSDIST((LN(I344*1000000/5)-پارامترها!$B$15)/پارامترها!$B$14))*100</f>
        <v>4.4302441886923667</v>
      </c>
      <c r="U344" s="21">
        <f>MIN(100,پارامترها!$B$9/1000000/I344*100)</f>
        <v>11.894142134998512</v>
      </c>
      <c r="V344" s="19">
        <f>MAX(0,I344-پارامترها!$B$9/1000000)</f>
        <v>14815</v>
      </c>
      <c r="W344" s="21">
        <f>V344/(G344*پارامترها!$B$7)</f>
        <v>53.226429513696246</v>
      </c>
      <c r="X344" s="21">
        <f>پارامترها!$B$12/1000000/(G344/12)*100</f>
        <v>52.091434899008959</v>
      </c>
      <c r="Y344" s="21">
        <f>ROUND(50*MIN(1,3/K344)+50*MIN(1,30/P344),1)</f>
        <v>26.9</v>
      </c>
      <c r="Z344" s="3">
        <f t="shared" si="17"/>
        <v>293</v>
      </c>
      <c r="AA344" s="19">
        <v>81</v>
      </c>
      <c r="AB344" s="19">
        <v>84</v>
      </c>
      <c r="AC344" s="3" t="s">
        <v>83</v>
      </c>
      <c r="AD344" s="3" t="s">
        <v>84</v>
      </c>
      <c r="AE344" s="3" t="s">
        <v>311</v>
      </c>
      <c r="AF344" s="23" t="s">
        <v>85</v>
      </c>
    </row>
    <row r="345" spans="1:32" ht="16.5" x14ac:dyDescent="0.3">
      <c r="A345" s="3">
        <v>344</v>
      </c>
      <c r="B345" s="3">
        <v>22</v>
      </c>
      <c r="C345" s="3" t="s">
        <v>515</v>
      </c>
      <c r="D345" s="19">
        <v>36856</v>
      </c>
      <c r="E345" s="19">
        <f>ROUND(D345/INDEX(مناطق!$D$2:$D$23,B345),0)</f>
        <v>11527</v>
      </c>
      <c r="F345" s="20">
        <v>0.94010000000000005</v>
      </c>
      <c r="G345" s="19">
        <f>پارامترها!$B$5*F345/1000000</f>
        <v>915.04633500000011</v>
      </c>
      <c r="H345" s="21">
        <v>221.2</v>
      </c>
      <c r="I345" s="19">
        <f>H345*پارامترها!$B$6</f>
        <v>16590</v>
      </c>
      <c r="J345" s="22"/>
      <c r="K345" s="21">
        <f t="shared" si="15"/>
        <v>18.130229438053536</v>
      </c>
      <c r="L345" s="21">
        <f>I345/(پارامترها!$B$5/1000000)</f>
        <v>17.044228694714128</v>
      </c>
      <c r="M345" s="21">
        <f>K345/پارامترها!$B$7</f>
        <v>60.434098126845122</v>
      </c>
      <c r="N345" s="21">
        <v>21.78</v>
      </c>
      <c r="O345" s="21">
        <f>N345*پارامترها!$B$6*پارامترها!$B$16</f>
        <v>49.004999999999995</v>
      </c>
      <c r="P345" s="21">
        <f>O345*12/G345*100</f>
        <v>64.265598091270419</v>
      </c>
      <c r="Q345" s="21">
        <f>O345*12/(پارامترها!$B$5/1000000)*100</f>
        <v>60.416088765603313</v>
      </c>
      <c r="R345" s="3" t="str">
        <f t="shared" si="16"/>
        <v>فشار شدید</v>
      </c>
      <c r="S345" s="21">
        <f>(1-NORMSDIST((LN(O345*12*1000000/پارامترها!$B$8)-پارامترها!$B$15)/پارامترها!$B$14))*100</f>
        <v>11.681068550232299</v>
      </c>
      <c r="T345" s="21">
        <f>(1-NORMSDIST((LN(I345*1000000/5)-پارامترها!$B$15)/پارامترها!$B$14))*100</f>
        <v>4.5510869543762595</v>
      </c>
      <c r="U345" s="21">
        <f>MIN(100,پارامترها!$B$9/1000000/I345*100)</f>
        <v>12.055455093429778</v>
      </c>
      <c r="V345" s="19">
        <f>MAX(0,I345-پارامترها!$B$9/1000000)</f>
        <v>14590</v>
      </c>
      <c r="W345" s="21">
        <f>V345/(G345*پارامترها!$B$7)</f>
        <v>53.14849256604402</v>
      </c>
      <c r="X345" s="21">
        <f>پارامترها!$B$12/1000000/(G345/12)*100</f>
        <v>52.817312781337456</v>
      </c>
      <c r="Y345" s="21">
        <f>ROUND(50*MIN(1,3/K345)+50*MIN(1,30/P345),1)</f>
        <v>31.6</v>
      </c>
      <c r="Z345" s="3">
        <f t="shared" si="17"/>
        <v>81</v>
      </c>
      <c r="AA345" s="19">
        <v>0</v>
      </c>
      <c r="AB345" s="19">
        <v>0</v>
      </c>
      <c r="AC345" s="3" t="s">
        <v>103</v>
      </c>
      <c r="AD345" s="3" t="s">
        <v>104</v>
      </c>
      <c r="AE345" s="23" t="s">
        <v>105</v>
      </c>
      <c r="AF345" s="23" t="s">
        <v>106</v>
      </c>
    </row>
    <row r="346" spans="1:32" ht="16.5" x14ac:dyDescent="0.3">
      <c r="A346" s="3">
        <v>345</v>
      </c>
      <c r="B346" s="3">
        <v>22</v>
      </c>
      <c r="C346" s="3" t="s">
        <v>516</v>
      </c>
      <c r="D346" s="19">
        <v>16530</v>
      </c>
      <c r="E346" s="19">
        <f>ROUND(D346/INDEX(مناطق!$D$2:$D$23,B346),0)</f>
        <v>5170</v>
      </c>
      <c r="F346" s="20">
        <v>0.94010000000000005</v>
      </c>
      <c r="G346" s="19">
        <f>پارامترها!$B$5*F346/1000000</f>
        <v>915.04633500000011</v>
      </c>
      <c r="H346" s="21">
        <v>221.2</v>
      </c>
      <c r="I346" s="19">
        <f>H346*پارامترها!$B$6</f>
        <v>16590</v>
      </c>
      <c r="J346" s="22"/>
      <c r="K346" s="21">
        <f t="shared" si="15"/>
        <v>18.130229438053536</v>
      </c>
      <c r="L346" s="21">
        <f>I346/(پارامترها!$B$5/1000000)</f>
        <v>17.044228694714128</v>
      </c>
      <c r="M346" s="21">
        <f>K346/پارامترها!$B$7</f>
        <v>60.434098126845122</v>
      </c>
      <c r="N346" s="21">
        <v>21.78</v>
      </c>
      <c r="O346" s="21">
        <f>N346*پارامترها!$B$6*پارامترها!$B$16</f>
        <v>49.004999999999995</v>
      </c>
      <c r="P346" s="21">
        <f>O346*12/G346*100</f>
        <v>64.265598091270419</v>
      </c>
      <c r="Q346" s="21">
        <f>O346*12/(پارامترها!$B$5/1000000)*100</f>
        <v>60.416088765603313</v>
      </c>
      <c r="R346" s="3" t="str">
        <f t="shared" si="16"/>
        <v>فشار شدید</v>
      </c>
      <c r="S346" s="21">
        <f>(1-NORMSDIST((LN(O346*12*1000000/پارامترها!$B$8)-پارامترها!$B$15)/پارامترها!$B$14))*100</f>
        <v>11.681068550232299</v>
      </c>
      <c r="T346" s="21">
        <f>(1-NORMSDIST((LN(I346*1000000/5)-پارامترها!$B$15)/پارامترها!$B$14))*100</f>
        <v>4.5510869543762595</v>
      </c>
      <c r="U346" s="21">
        <f>MIN(100,پارامترها!$B$9/1000000/I346*100)</f>
        <v>12.055455093429778</v>
      </c>
      <c r="V346" s="19">
        <f>MAX(0,I346-پارامترها!$B$9/1000000)</f>
        <v>14590</v>
      </c>
      <c r="W346" s="21">
        <f>V346/(G346*پارامترها!$B$7)</f>
        <v>53.14849256604402</v>
      </c>
      <c r="X346" s="21">
        <f>پارامترها!$B$12/1000000/(G346/12)*100</f>
        <v>52.817312781337456</v>
      </c>
      <c r="Y346" s="21">
        <f>ROUND(50*MIN(1,3/K346)+50*MIN(1,30/P346),1)</f>
        <v>31.6</v>
      </c>
      <c r="Z346" s="3">
        <f t="shared" si="17"/>
        <v>81</v>
      </c>
      <c r="AA346" s="19">
        <v>0</v>
      </c>
      <c r="AB346" s="19">
        <v>0</v>
      </c>
      <c r="AC346" s="3" t="s">
        <v>103</v>
      </c>
      <c r="AD346" s="3" t="s">
        <v>104</v>
      </c>
      <c r="AE346" s="23" t="s">
        <v>105</v>
      </c>
      <c r="AF346" s="23" t="s">
        <v>106</v>
      </c>
    </row>
    <row r="347" spans="1:32" ht="16.5" x14ac:dyDescent="0.3">
      <c r="A347" s="3">
        <v>346</v>
      </c>
      <c r="B347" s="3">
        <v>22</v>
      </c>
      <c r="C347" s="3" t="s">
        <v>517</v>
      </c>
      <c r="D347" s="19">
        <v>3092</v>
      </c>
      <c r="E347" s="19">
        <f>ROUND(D347/INDEX(مناطق!$D$2:$D$23,B347),0)</f>
        <v>967</v>
      </c>
      <c r="F347" s="20">
        <v>0.90110000000000001</v>
      </c>
      <c r="G347" s="19">
        <f>پارامترها!$B$5*F347/1000000</f>
        <v>877.08568500000013</v>
      </c>
      <c r="H347" s="21">
        <v>212.4</v>
      </c>
      <c r="I347" s="19">
        <f>H347*پارامترها!$B$6</f>
        <v>15930</v>
      </c>
      <c r="J347" s="22">
        <v>107</v>
      </c>
      <c r="K347" s="21">
        <f t="shared" si="15"/>
        <v>18.162421611065284</v>
      </c>
      <c r="L347" s="21">
        <f>I347/(پارامترها!$B$5/1000000)</f>
        <v>16.366158113730926</v>
      </c>
      <c r="M347" s="21">
        <f>K347/پارامترها!$B$7</f>
        <v>60.541405370217618</v>
      </c>
      <c r="N347" s="21">
        <v>23.42</v>
      </c>
      <c r="O347" s="21">
        <f>N347*پارامترها!$B$6*پارامترها!$B$16</f>
        <v>52.695000000000007</v>
      </c>
      <c r="P347" s="21">
        <f>O347*12/G347*100</f>
        <v>72.095578666296447</v>
      </c>
      <c r="Q347" s="21">
        <f>O347*12/(پارامترها!$B$5/1000000)*100</f>
        <v>64.965325936199719</v>
      </c>
      <c r="R347" s="3" t="str">
        <f t="shared" si="16"/>
        <v>فشار شدید</v>
      </c>
      <c r="S347" s="21">
        <f>(1-NORMSDIST((LN(O347*12*1000000/پارامترها!$B$8)-پارامترها!$B$15)/پارامترها!$B$14))*100</f>
        <v>10.385170370884733</v>
      </c>
      <c r="T347" s="21">
        <f>(1-NORMSDIST((LN(I347*1000000/5)-پارامترها!$B$15)/پارامترها!$B$14))*100</f>
        <v>4.9313439816266902</v>
      </c>
      <c r="U347" s="21">
        <f>MIN(100,پارامترها!$B$9/1000000/I347*100)</f>
        <v>12.554927809165099</v>
      </c>
      <c r="V347" s="19">
        <f>MAX(0,I347-پارامترها!$B$9/1000000)</f>
        <v>13930</v>
      </c>
      <c r="W347" s="21">
        <f>V347/(G347*پارامترها!$B$7)</f>
        <v>52.940475631332788</v>
      </c>
      <c r="X347" s="21">
        <f>پارامترها!$B$12/1000000/(G347/12)*100</f>
        <v>55.103269055305006</v>
      </c>
      <c r="Y347" s="21">
        <f>ROUND(50*MIN(1,3/K347)+50*MIN(1,30/P347),1)</f>
        <v>29.1</v>
      </c>
      <c r="Z347" s="3">
        <f t="shared" si="17"/>
        <v>221</v>
      </c>
      <c r="AA347" s="19">
        <v>168</v>
      </c>
      <c r="AB347" s="19">
        <v>104</v>
      </c>
      <c r="AC347" s="3" t="s">
        <v>83</v>
      </c>
      <c r="AD347" s="3" t="s">
        <v>93</v>
      </c>
      <c r="AE347" s="3" t="s">
        <v>518</v>
      </c>
      <c r="AF347" s="23" t="s">
        <v>85</v>
      </c>
    </row>
    <row r="348" spans="1:32" x14ac:dyDescent="0.2">
      <c r="A348" s="3">
        <v>347</v>
      </c>
      <c r="B348" s="3">
        <v>22</v>
      </c>
      <c r="C348" s="3" t="s">
        <v>519</v>
      </c>
      <c r="D348" s="19">
        <v>16028</v>
      </c>
      <c r="E348" s="19">
        <f>ROUND(D348/INDEX(مناطق!$D$2:$D$23,B348),0)</f>
        <v>5013</v>
      </c>
      <c r="F348" s="20">
        <v>0.89949999999999997</v>
      </c>
      <c r="G348" s="19">
        <f>پارامترها!$B$5*F348/1000000</f>
        <v>875.52832500000011</v>
      </c>
      <c r="H348" s="21">
        <v>212</v>
      </c>
      <c r="I348" s="19">
        <f>H348*پارامترها!$B$6</f>
        <v>15900</v>
      </c>
      <c r="J348" s="22">
        <v>133</v>
      </c>
      <c r="K348" s="21">
        <f t="shared" si="15"/>
        <v>18.160463283697872</v>
      </c>
      <c r="L348" s="21">
        <f>I348/(پارامترها!$B$5/1000000)</f>
        <v>16.335336723686236</v>
      </c>
      <c r="M348" s="21">
        <f>K348/پارامترها!$B$7</f>
        <v>60.534877612326241</v>
      </c>
      <c r="N348" s="21">
        <v>21.42</v>
      </c>
      <c r="O348" s="21">
        <f>N348*پارامترها!$B$6*پارامترها!$B$16</f>
        <v>48.195000000000007</v>
      </c>
      <c r="P348" s="21">
        <f>O348*12/G348*100</f>
        <v>66.056115317571269</v>
      </c>
      <c r="Q348" s="21">
        <f>O348*12/(پارامترها!$B$5/1000000)*100</f>
        <v>59.417475728155345</v>
      </c>
      <c r="R348" s="3" t="str">
        <f t="shared" si="16"/>
        <v>فشار شدید</v>
      </c>
      <c r="S348" s="21">
        <f>(1-NORMSDIST((LN(O348*12*1000000/پارامترها!$B$8)-پارامترها!$B$15)/پارامترها!$B$14))*100</f>
        <v>11.99410374089771</v>
      </c>
      <c r="T348" s="21">
        <f>(1-NORMSDIST((LN(I348*1000000/5)-پارامترها!$B$15)/پارامترها!$B$14))*100</f>
        <v>4.9495990753309016</v>
      </c>
      <c r="U348" s="21">
        <f>MIN(100,پارامترها!$B$9/1000000/I348*100)</f>
        <v>12.578616352201259</v>
      </c>
      <c r="V348" s="19">
        <f>MAX(0,I348-پارامترها!$B$9/1000000)</f>
        <v>13900</v>
      </c>
      <c r="W348" s="21">
        <f>V348/(G348*پارامترها!$B$7)</f>
        <v>52.920427598197158</v>
      </c>
      <c r="X348" s="21">
        <f>پارامترها!$B$12/1000000/(G348/12)*100</f>
        <v>55.201284875748023</v>
      </c>
      <c r="Y348" s="21">
        <f>ROUND(50*MIN(1,3/K348)+50*MIN(1,30/P348),1)</f>
        <v>31</v>
      </c>
      <c r="Z348" s="3">
        <f t="shared" si="17"/>
        <v>103</v>
      </c>
      <c r="AA348" s="19">
        <v>82</v>
      </c>
      <c r="AB348" s="19">
        <v>83</v>
      </c>
      <c r="AC348" s="3" t="s">
        <v>83</v>
      </c>
      <c r="AD348" s="3" t="s">
        <v>84</v>
      </c>
      <c r="AE348" s="3" t="s">
        <v>519</v>
      </c>
      <c r="AF348" s="23" t="s">
        <v>85</v>
      </c>
    </row>
    <row r="349" spans="1:32" x14ac:dyDescent="0.2">
      <c r="A349" s="3">
        <v>348</v>
      </c>
      <c r="B349" s="3">
        <v>22</v>
      </c>
      <c r="C349" s="3" t="s">
        <v>520</v>
      </c>
      <c r="D349" s="19">
        <v>13538</v>
      </c>
      <c r="E349" s="19">
        <f>ROUND(D349/INDEX(مناطق!$D$2:$D$23,B349),0)</f>
        <v>4234</v>
      </c>
      <c r="F349" s="20">
        <v>0.86309999999999998</v>
      </c>
      <c r="G349" s="19">
        <f>پارامترها!$B$5*F349/1000000</f>
        <v>840.09838500000012</v>
      </c>
      <c r="H349" s="21">
        <v>203.7</v>
      </c>
      <c r="I349" s="19">
        <f>H349*پارامترها!$B$6</f>
        <v>15277.5</v>
      </c>
      <c r="J349" s="22">
        <v>85</v>
      </c>
      <c r="K349" s="21">
        <f t="shared" si="15"/>
        <v>18.185370038534234</v>
      </c>
      <c r="L349" s="21">
        <f>I349/(پارامترها!$B$5/1000000)</f>
        <v>15.695792880258898</v>
      </c>
      <c r="M349" s="21">
        <f>K349/پارامترها!$B$7</f>
        <v>60.617900128447452</v>
      </c>
      <c r="N349" s="21">
        <v>21.9</v>
      </c>
      <c r="O349" s="21">
        <f>N349*پارامترها!$B$6*پارامترها!$B$16</f>
        <v>49.274999999999999</v>
      </c>
      <c r="P349" s="21">
        <f>O349*12/G349*100</f>
        <v>70.384613345019091</v>
      </c>
      <c r="Q349" s="21">
        <f>O349*12/(پارامترها!$B$5/1000000)*100</f>
        <v>60.748959778085975</v>
      </c>
      <c r="R349" s="3" t="str">
        <f t="shared" si="16"/>
        <v>فشار شدید</v>
      </c>
      <c r="S349" s="21">
        <f>(1-NORMSDIST((LN(O349*12*1000000/پارامترها!$B$8)-پارامترها!$B$15)/پارامترها!$B$14))*100</f>
        <v>11.579152943050651</v>
      </c>
      <c r="T349" s="21">
        <f>(1-NORMSDIST((LN(I349*1000000/5)-پارامترها!$B$15)/پارامترها!$B$14))*100</f>
        <v>5.3491978025124958</v>
      </c>
      <c r="U349" s="21">
        <f>MIN(100,پارامترها!$B$9/1000000/I349*100)</f>
        <v>13.09114711176567</v>
      </c>
      <c r="V349" s="19">
        <f>MAX(0,I349-پارامترها!$B$9/1000000)</f>
        <v>13277.5</v>
      </c>
      <c r="W349" s="21">
        <f>V349/(G349*پارامترها!$B$7)</f>
        <v>52.6823216465692</v>
      </c>
      <c r="X349" s="21">
        <f>پارامترها!$B$12/1000000/(G349/12)*100</f>
        <v>57.529319598812819</v>
      </c>
      <c r="Y349" s="21">
        <f>ROUND(50*MIN(1,3/K349)+50*MIN(1,30/P349),1)</f>
        <v>29.6</v>
      </c>
      <c r="Z349" s="3">
        <f t="shared" si="17"/>
        <v>185</v>
      </c>
      <c r="AA349" s="19">
        <v>79</v>
      </c>
      <c r="AB349" s="19">
        <v>29</v>
      </c>
      <c r="AC349" s="3" t="s">
        <v>83</v>
      </c>
      <c r="AD349" s="3" t="s">
        <v>84</v>
      </c>
      <c r="AE349" s="3" t="s">
        <v>521</v>
      </c>
      <c r="AF349" s="23" t="s">
        <v>85</v>
      </c>
    </row>
    <row r="350" spans="1:32" x14ac:dyDescent="0.2">
      <c r="A350" s="3">
        <v>349</v>
      </c>
      <c r="B350" s="3">
        <v>22</v>
      </c>
      <c r="C350" s="3" t="s">
        <v>335</v>
      </c>
      <c r="D350" s="19">
        <v>13231</v>
      </c>
      <c r="E350" s="19">
        <f>ROUND(D350/INDEX(مناطق!$D$2:$D$23,B350),0)</f>
        <v>4138</v>
      </c>
      <c r="F350" s="20">
        <v>0.77059999999999995</v>
      </c>
      <c r="G350" s="19">
        <f>پارامترها!$B$5*F350/1000000</f>
        <v>750.06350999999995</v>
      </c>
      <c r="H350" s="21">
        <v>182.6</v>
      </c>
      <c r="I350" s="19">
        <f>H350*پارامترها!$B$6</f>
        <v>13695</v>
      </c>
      <c r="J350" s="22">
        <v>75</v>
      </c>
      <c r="K350" s="21">
        <f t="shared" si="15"/>
        <v>18.258453874125941</v>
      </c>
      <c r="L350" s="21">
        <f>I350/(پارامترها!$B$5/1000000)</f>
        <v>14.069964555401446</v>
      </c>
      <c r="M350" s="21">
        <f>K350/پارامترها!$B$7</f>
        <v>60.861512913753138</v>
      </c>
      <c r="N350" s="21">
        <v>18.61</v>
      </c>
      <c r="O350" s="21">
        <f>N350*پارامترها!$B$6*پارامترها!$B$16</f>
        <v>41.872499999999995</v>
      </c>
      <c r="P350" s="21">
        <f>O350*12/G350*100</f>
        <v>66.990327259087692</v>
      </c>
      <c r="Q350" s="21">
        <f>O350*12/(پارامترها!$B$5/1000000)*100</f>
        <v>51.622746185852961</v>
      </c>
      <c r="R350" s="3" t="str">
        <f t="shared" si="16"/>
        <v>فشار شدید</v>
      </c>
      <c r="S350" s="21">
        <f>(1-NORMSDIST((LN(O350*12*1000000/پارامترها!$B$8)-پارامترها!$B$15)/پارامترها!$B$14))*100</f>
        <v>14.871341773333524</v>
      </c>
      <c r="T350" s="21">
        <f>(1-NORMSDIST((LN(I350*1000000/5)-پارامترها!$B$15)/پارامترها!$B$14))*100</f>
        <v>6.5747318962670942</v>
      </c>
      <c r="U350" s="21">
        <f>MIN(100,پارامترها!$B$9/1000000/I350*100)</f>
        <v>14.603870025556773</v>
      </c>
      <c r="V350" s="19">
        <f>MAX(0,I350-پارامترها!$B$9/1000000)</f>
        <v>11695</v>
      </c>
      <c r="W350" s="21">
        <f>V350/(G350*پارامترها!$B$7)</f>
        <v>51.973376672241173</v>
      </c>
      <c r="X350" s="21">
        <f>پارامترها!$B$12/1000000/(G350/12)*100</f>
        <v>64.43492829708714</v>
      </c>
      <c r="Y350" s="21">
        <f>ROUND(50*MIN(1,3/K350)+50*MIN(1,30/P350),1)</f>
        <v>30.6</v>
      </c>
      <c r="Z350" s="3">
        <f t="shared" si="17"/>
        <v>123</v>
      </c>
      <c r="AA350" s="19">
        <v>72</v>
      </c>
      <c r="AB350" s="19">
        <v>31</v>
      </c>
      <c r="AC350" s="3" t="s">
        <v>83</v>
      </c>
      <c r="AD350" s="3" t="s">
        <v>84</v>
      </c>
      <c r="AE350" s="3" t="s">
        <v>335</v>
      </c>
      <c r="AF350" s="23" t="s">
        <v>85</v>
      </c>
    </row>
  </sheetData>
  <conditionalFormatting sqref="R2:R350">
    <cfRule type="cellIs" dxfId="6" priority="7" operator="equal">
      <formula>"قابل استطاعت"</formula>
    </cfRule>
    <cfRule type="cellIs" dxfId="5" priority="8" operator="equal">
      <formula>"زیر فشار"</formula>
    </cfRule>
    <cfRule type="cellIs" dxfId="4" priority="9" operator="equal">
      <formula>"فشار شدید"</formula>
    </cfRule>
  </conditionalFormatting>
  <conditionalFormatting sqref="Y2:Y35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:AF350">
    <cfRule type="cellIs" dxfId="3" priority="10" operator="equal">
      <formula>"A"</formula>
    </cfRule>
    <cfRule type="cellIs" dxfId="2" priority="11" operator="equal">
      <formula>"B"</formula>
    </cfRule>
    <cfRule type="cellIs" dxfId="1" priority="12" operator="equal">
      <formula>"C"</formula>
    </cfRule>
    <cfRule type="cellIs" dxfId="0" priority="13" operator="equal">
      <formula>"D"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4"/>
  <sheetViews>
    <sheetView rightToLeft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25" defaultRowHeight="14.25" x14ac:dyDescent="0.2"/>
  <cols>
    <col min="1" max="1" width="7" customWidth="1"/>
    <col min="2" max="3" width="12" customWidth="1"/>
    <col min="4" max="4" width="8" customWidth="1"/>
    <col min="5" max="5" width="12" customWidth="1"/>
    <col min="6" max="6" width="14" customWidth="1"/>
    <col min="7" max="9" width="12" customWidth="1"/>
    <col min="10" max="10" width="10" customWidth="1"/>
    <col min="11" max="12" width="12" customWidth="1"/>
    <col min="13" max="14" width="11" customWidth="1"/>
    <col min="15" max="15" width="12" customWidth="1"/>
  </cols>
  <sheetData>
    <row r="1" spans="1:15" ht="66" customHeight="1" x14ac:dyDescent="0.2">
      <c r="A1" s="8" t="s">
        <v>51</v>
      </c>
      <c r="B1" s="8" t="s">
        <v>522</v>
      </c>
      <c r="C1" s="8" t="s">
        <v>523</v>
      </c>
      <c r="D1" s="8" t="s">
        <v>524</v>
      </c>
      <c r="E1" s="8" t="s">
        <v>525</v>
      </c>
      <c r="F1" s="8" t="s">
        <v>526</v>
      </c>
      <c r="G1" s="8" t="s">
        <v>527</v>
      </c>
      <c r="H1" s="8" t="s">
        <v>528</v>
      </c>
      <c r="I1" s="8" t="s">
        <v>529</v>
      </c>
      <c r="J1" s="8" t="s">
        <v>530</v>
      </c>
      <c r="K1" s="8" t="s">
        <v>6</v>
      </c>
      <c r="L1" s="8" t="s">
        <v>531</v>
      </c>
      <c r="M1" s="8" t="s">
        <v>532</v>
      </c>
      <c r="N1" s="8" t="s">
        <v>533</v>
      </c>
      <c r="O1" s="8" t="s">
        <v>534</v>
      </c>
    </row>
    <row r="2" spans="1:15" ht="16.5" x14ac:dyDescent="0.3">
      <c r="A2" s="21">
        <v>1</v>
      </c>
      <c r="B2" s="19">
        <v>493889</v>
      </c>
      <c r="C2" s="19">
        <v>169259</v>
      </c>
      <c r="D2" s="20">
        <f t="shared" ref="D2:D24" si="0">B2/C2</f>
        <v>2.9179482331811011</v>
      </c>
      <c r="E2" s="20">
        <v>2.2789999999999999</v>
      </c>
      <c r="F2" s="24" t="s">
        <v>535</v>
      </c>
      <c r="G2" s="19">
        <f>SUMIF(محلات!$B$2:$B$350,A2,محلات!$E$2:$E$350)</f>
        <v>166578</v>
      </c>
      <c r="H2" s="24">
        <f>SUMPRODUCT((محلات!$B$2:$B$350=A2)*محلات!$E$2:$E$350*محلات!$H$2:$H$350)/G2</f>
        <v>555.38452316632458</v>
      </c>
      <c r="I2" s="24">
        <f>SUMPRODUCT((محلات!$B$2:$B$350=A2)*محلات!$E$2:$E$350*محلات!$G$2:$G$350)/G2</f>
        <v>2167.7985046348558</v>
      </c>
      <c r="J2" s="24">
        <f>SUMPRODUCT((محلات!$B$2:$B$350=A2)*محلات!$E$2:$E$350*محلات!$K$2:$K$350)/G2</f>
        <v>19.26634320969405</v>
      </c>
      <c r="K2" s="24">
        <f>SUMPRODUCT((محلات!$B$2:$B$350=A2)*محلات!$E$2:$E$350*محلات!$P$2:$P$350)/G2</f>
        <v>59.795862623665542</v>
      </c>
      <c r="L2" s="24">
        <f>SUMPRODUCT((محلات!$B$2:$B$350=A2)*محلات!$E$2:$E$350*محلات!$L$2:$L$350)/G2</f>
        <v>42.794307533235042</v>
      </c>
      <c r="M2" s="24">
        <f>_xlfn.MINIFS(محلات!$H$2:$H$350,محلات!$B$2:$B$350,A2)</f>
        <v>291.7</v>
      </c>
      <c r="N2" s="24">
        <f>_xlfn.MAXIFS(محلات!$H$2:$H$350,محلات!$B$2:$B$350,A2)</f>
        <v>841.6</v>
      </c>
      <c r="O2" s="24">
        <f>COUNTIFS(محلات!$B$2:$B$350,A2,محلات!$AA$2:$AA$350,"&gt;0")/COUNTIF(محلات!$B$2:$B$350,A2)*100</f>
        <v>92.592592592592595</v>
      </c>
    </row>
    <row r="3" spans="1:15" x14ac:dyDescent="0.2">
      <c r="A3" s="24">
        <v>2</v>
      </c>
      <c r="B3" s="19">
        <v>692579</v>
      </c>
      <c r="C3" s="19">
        <v>236992</v>
      </c>
      <c r="D3" s="20">
        <f t="shared" si="0"/>
        <v>2.9223729071023494</v>
      </c>
      <c r="E3" s="20">
        <v>1.7090000000000001</v>
      </c>
      <c r="F3" s="21" t="s">
        <v>105</v>
      </c>
      <c r="G3" s="19">
        <f>SUMIF(محلات!$B$2:$B$350,A3,محلات!$E$2:$E$350)</f>
        <v>236723</v>
      </c>
      <c r="H3" s="24">
        <f>SUMPRODUCT((محلات!$B$2:$B$350=A3)*محلات!$E$2:$E$350*محلات!$H$2:$H$350)/G3</f>
        <v>420.6284218263541</v>
      </c>
      <c r="I3" s="24">
        <f>SUMPRODUCT((محلات!$B$2:$B$350=A3)*محلات!$E$2:$E$350*محلات!$G$2:$G$350)/G3</f>
        <v>1628.2298789968445</v>
      </c>
      <c r="J3" s="24">
        <f>SUMPRODUCT((محلات!$B$2:$B$350=A3)*محلات!$E$2:$E$350*محلات!$K$2:$K$350)/G3</f>
        <v>19.422877989470912</v>
      </c>
      <c r="K3" s="24">
        <f>SUMPRODUCT((محلات!$B$2:$B$350=A3)*محلات!$E$2:$E$350*محلات!$P$2:$P$350)/G3</f>
        <v>60.712903160646974</v>
      </c>
      <c r="L3" s="24">
        <f>SUMPRODUCT((محلات!$B$2:$B$350=A3)*محلات!$E$2:$E$350*محلات!$L$2:$L$350)/G3</f>
        <v>32.410881632482194</v>
      </c>
      <c r="M3" s="24">
        <f>_xlfn.MINIFS(محلات!$H$2:$H$350,محلات!$B$2:$B$350,A3)</f>
        <v>246.8</v>
      </c>
      <c r="N3" s="24">
        <f>_xlfn.MAXIFS(محلات!$H$2:$H$350,محلات!$B$2:$B$350,A3)</f>
        <v>647.70000000000005</v>
      </c>
      <c r="O3" s="24">
        <f>COUNTIFS(محلات!$B$2:$B$350,A3,محلات!$AA$2:$AA$350,"&gt;0")/COUNTIF(محلات!$B$2:$B$350,A3)*100</f>
        <v>85.714285714285708</v>
      </c>
    </row>
    <row r="4" spans="1:15" ht="16.5" x14ac:dyDescent="0.3">
      <c r="A4" s="24">
        <v>3</v>
      </c>
      <c r="B4" s="19">
        <v>330004</v>
      </c>
      <c r="C4" s="19">
        <v>118801</v>
      </c>
      <c r="D4" s="20">
        <f t="shared" si="0"/>
        <v>2.7777880657570222</v>
      </c>
      <c r="E4" s="20">
        <v>1.8919999999999999</v>
      </c>
      <c r="F4" s="24" t="s">
        <v>535</v>
      </c>
      <c r="G4" s="19">
        <f>SUMIF(محلات!$B$2:$B$350,A4,محلات!$E$2:$E$350)</f>
        <v>118801</v>
      </c>
      <c r="H4" s="24">
        <f>SUMPRODUCT((محلات!$B$2:$B$350=A4)*محلات!$E$2:$E$350*محلات!$H$2:$H$350)/G4</f>
        <v>464.58155907778558</v>
      </c>
      <c r="I4" s="24">
        <f>SUMPRODUCT((محلات!$B$2:$B$350=A4)*محلات!$E$2:$E$350*محلات!$G$2:$G$350)/G4</f>
        <v>1714.0322425725792</v>
      </c>
      <c r="J4" s="24">
        <f>SUMPRODUCT((محلات!$B$2:$B$350=A4)*محلات!$E$2:$E$350*محلات!$K$2:$K$350)/G4</f>
        <v>20.345809124492085</v>
      </c>
      <c r="K4" s="24">
        <f>SUMPRODUCT((محلات!$B$2:$B$350=A4)*محلات!$E$2:$E$350*محلات!$P$2:$P$350)/G4</f>
        <v>64.472280625251841</v>
      </c>
      <c r="L4" s="24">
        <f>SUMPRODUCT((محلات!$B$2:$B$350=A4)*محلات!$E$2:$E$350*محلات!$L$2:$L$350)/G4</f>
        <v>35.797623599767725</v>
      </c>
      <c r="M4" s="24">
        <f>_xlfn.MINIFS(محلات!$H$2:$H$350,محلات!$B$2:$B$350,A4)</f>
        <v>360.9</v>
      </c>
      <c r="N4" s="24">
        <f>_xlfn.MAXIFS(محلات!$H$2:$H$350,محلات!$B$2:$B$350,A4)</f>
        <v>665.6</v>
      </c>
      <c r="O4" s="24">
        <f>COUNTIFS(محلات!$B$2:$B$350,A4,محلات!$AA$2:$AA$350,"&gt;0")/COUNTIF(محلات!$B$2:$B$350,A4)*100</f>
        <v>83.333333333333343</v>
      </c>
    </row>
    <row r="5" spans="1:15" x14ac:dyDescent="0.2">
      <c r="A5" s="24">
        <v>4</v>
      </c>
      <c r="B5" s="19">
        <v>917261</v>
      </c>
      <c r="C5" s="19">
        <v>303730</v>
      </c>
      <c r="D5" s="20">
        <f t="shared" si="0"/>
        <v>3.0199881473677279</v>
      </c>
      <c r="E5" s="20">
        <v>1.0289999999999999</v>
      </c>
      <c r="F5" s="21" t="s">
        <v>105</v>
      </c>
      <c r="G5" s="19">
        <f>SUMIF(محلات!$B$2:$B$350,A5,محلات!$E$2:$E$350)</f>
        <v>300198</v>
      </c>
      <c r="H5" s="24">
        <f>SUMPRODUCT((محلات!$B$2:$B$350=A5)*محلات!$E$2:$E$350*محلات!$H$2:$H$350)/G5</f>
        <v>257.55534380642115</v>
      </c>
      <c r="I5" s="24">
        <f>SUMPRODUCT((محلات!$B$2:$B$350=A5)*محلات!$E$2:$E$350*محلات!$G$2:$G$350)/G5</f>
        <v>1013.0323649063118</v>
      </c>
      <c r="J5" s="24">
        <f>SUMPRODUCT((محلات!$B$2:$B$350=A5)*محلات!$E$2:$E$350*محلات!$K$2:$K$350)/G5</f>
        <v>19.126442242343597</v>
      </c>
      <c r="K5" s="24">
        <f>SUMPRODUCT((محلات!$B$2:$B$350=A5)*محلات!$E$2:$E$350*محلات!$P$2:$P$350)/G5</f>
        <v>65.062627849116154</v>
      </c>
      <c r="L5" s="24">
        <f>SUMPRODUCT((محلات!$B$2:$B$350=A5)*محلات!$E$2:$E$350*محلات!$L$2:$L$350)/G5</f>
        <v>19.845534273880496</v>
      </c>
      <c r="M5" s="24">
        <f>_xlfn.MINIFS(محلات!$H$2:$H$350,محلات!$B$2:$B$350,A5)</f>
        <v>98.6</v>
      </c>
      <c r="N5" s="24">
        <f>_xlfn.MAXIFS(محلات!$H$2:$H$350,محلات!$B$2:$B$350,A5)</f>
        <v>538.1</v>
      </c>
      <c r="O5" s="24">
        <f>COUNTIFS(محلات!$B$2:$B$350,A5,محلات!$AA$2:$AA$350,"&gt;0")/COUNTIF(محلات!$B$2:$B$350,A5)*100</f>
        <v>80</v>
      </c>
    </row>
    <row r="6" spans="1:15" x14ac:dyDescent="0.2">
      <c r="A6" s="24">
        <v>5</v>
      </c>
      <c r="B6" s="19">
        <v>856565</v>
      </c>
      <c r="C6" s="19">
        <v>291665</v>
      </c>
      <c r="D6" s="20">
        <f t="shared" si="0"/>
        <v>2.9368110674918144</v>
      </c>
      <c r="E6" s="20">
        <v>1.2649999999999999</v>
      </c>
      <c r="F6" s="21" t="s">
        <v>105</v>
      </c>
      <c r="G6" s="19">
        <f>SUMIF(محلات!$B$2:$B$350,A6,محلات!$E$2:$E$350)</f>
        <v>290524</v>
      </c>
      <c r="H6" s="24">
        <f>SUMPRODUCT((محلات!$B$2:$B$350=A6)*محلات!$E$2:$E$350*محلات!$H$2:$H$350)/G6</f>
        <v>314.79579587228596</v>
      </c>
      <c r="I6" s="24">
        <f>SUMPRODUCT((محلات!$B$2:$B$350=A6)*محلات!$E$2:$E$350*محلات!$G$2:$G$350)/G6</f>
        <v>1211.1282005060339</v>
      </c>
      <c r="J6" s="24">
        <f>SUMPRODUCT((محلات!$B$2:$B$350=A6)*محلات!$E$2:$E$350*محلات!$K$2:$K$350)/G6</f>
        <v>19.505805182027142</v>
      </c>
      <c r="K6" s="24">
        <f>SUMPRODUCT((محلات!$B$2:$B$350=A6)*محلات!$E$2:$E$350*محلات!$P$2:$P$350)/G6</f>
        <v>65.236618472497014</v>
      </c>
      <c r="L6" s="24">
        <f>SUMPRODUCT((محلات!$B$2:$B$350=A6)*محلات!$E$2:$E$350*محلات!$L$2:$L$350)/G6</f>
        <v>24.256110022521636</v>
      </c>
      <c r="M6" s="24">
        <f>_xlfn.MINIFS(محلات!$H$2:$H$350,محلات!$B$2:$B$350,A6)</f>
        <v>188</v>
      </c>
      <c r="N6" s="24">
        <f>_xlfn.MAXIFS(محلات!$H$2:$H$350,محلات!$B$2:$B$350,A6)</f>
        <v>380.3</v>
      </c>
      <c r="O6" s="24">
        <f>COUNTIFS(محلات!$B$2:$B$350,A6,محلات!$AA$2:$AA$350,"&gt;0")/COUNTIF(محلات!$B$2:$B$350,A6)*100</f>
        <v>100</v>
      </c>
    </row>
    <row r="7" spans="1:15" x14ac:dyDescent="0.2">
      <c r="A7" s="24">
        <v>6</v>
      </c>
      <c r="B7" s="19">
        <v>250753</v>
      </c>
      <c r="C7" s="19">
        <v>84896</v>
      </c>
      <c r="D7" s="20">
        <f t="shared" si="0"/>
        <v>2.953649170750094</v>
      </c>
      <c r="E7" s="20">
        <v>1.4350000000000001</v>
      </c>
      <c r="F7" s="21" t="s">
        <v>105</v>
      </c>
      <c r="G7" s="19">
        <f>SUMIF(محلات!$B$2:$B$350,A7,محلات!$E$2:$E$350)</f>
        <v>84897</v>
      </c>
      <c r="H7" s="24">
        <f>SUMPRODUCT((محلات!$B$2:$B$350=A7)*محلات!$E$2:$E$350*محلات!$H$2:$H$350)/G7</f>
        <v>355.40255368269783</v>
      </c>
      <c r="I7" s="24">
        <f>SUMPRODUCT((محلات!$B$2:$B$350=A7)*محلات!$E$2:$E$350*محلات!$G$2:$G$350)/G7</f>
        <v>1381.9403675129865</v>
      </c>
      <c r="J7" s="24">
        <f>SUMPRODUCT((محلات!$B$2:$B$350=A7)*محلات!$E$2:$E$350*محلات!$K$2:$K$350)/G7</f>
        <v>19.327384475373051</v>
      </c>
      <c r="K7" s="24">
        <f>SUMPRODUCT((محلات!$B$2:$B$350=A7)*محلات!$E$2:$E$350*محلات!$P$2:$P$350)/G7</f>
        <v>61.493448333365627</v>
      </c>
      <c r="L7" s="24">
        <f>SUMPRODUCT((محلات!$B$2:$B$350=A7)*محلات!$E$2:$E$350*محلات!$L$2:$L$350)/G7</f>
        <v>27.385001824834166</v>
      </c>
      <c r="M7" s="24">
        <f>_xlfn.MINIFS(محلات!$H$2:$H$350,محلات!$B$2:$B$350,A7)</f>
        <v>203.4</v>
      </c>
      <c r="N7" s="24">
        <f>_xlfn.MAXIFS(محلات!$H$2:$H$350,محلات!$B$2:$B$350,A7)</f>
        <v>449.7</v>
      </c>
      <c r="O7" s="24">
        <f>COUNTIFS(محلات!$B$2:$B$350,A7,محلات!$AA$2:$AA$350,"&gt;0")/COUNTIF(محلات!$B$2:$B$350,A7)*100</f>
        <v>85.714285714285708</v>
      </c>
    </row>
    <row r="8" spans="1:15" x14ac:dyDescent="0.2">
      <c r="A8" s="24">
        <v>7</v>
      </c>
      <c r="B8" s="19">
        <v>312002</v>
      </c>
      <c r="C8" s="19">
        <v>115880</v>
      </c>
      <c r="D8" s="20">
        <f t="shared" si="0"/>
        <v>2.6924577148774596</v>
      </c>
      <c r="E8" s="20">
        <v>1.0009999999999999</v>
      </c>
      <c r="F8" s="21" t="s">
        <v>105</v>
      </c>
      <c r="G8" s="19">
        <f>SUMIF(محلات!$B$2:$B$350,A8,محلات!$E$2:$E$350)</f>
        <v>115879</v>
      </c>
      <c r="H8" s="24">
        <f>SUMPRODUCT((محلات!$B$2:$B$350=A8)*محلات!$E$2:$E$350*محلات!$H$2:$H$350)/G8</f>
        <v>250.75538449589655</v>
      </c>
      <c r="I8" s="24">
        <f>SUMPRODUCT((محلات!$B$2:$B$350=A8)*محلات!$E$2:$E$350*محلات!$G$2:$G$350)/G8</f>
        <v>878.34560538760275</v>
      </c>
      <c r="J8" s="24">
        <f>SUMPRODUCT((محلات!$B$2:$B$350=A8)*محلات!$E$2:$E$350*محلات!$K$2:$K$350)/G8</f>
        <v>21.467822734760091</v>
      </c>
      <c r="K8" s="24">
        <f>SUMPRODUCT((محلات!$B$2:$B$350=A8)*محلات!$E$2:$E$350*محلات!$P$2:$P$350)/G8</f>
        <v>78.159502844047921</v>
      </c>
      <c r="L8" s="24">
        <f>SUMPRODUCT((محلات!$B$2:$B$350=A8)*محلات!$E$2:$E$350*محلات!$L$2:$L$350)/G8</f>
        <v>19.321573778386234</v>
      </c>
      <c r="M8" s="24">
        <f>_xlfn.MINIFS(محلات!$H$2:$H$350,محلات!$B$2:$B$350,A8)</f>
        <v>179</v>
      </c>
      <c r="N8" s="24">
        <f>_xlfn.MAXIFS(محلات!$H$2:$H$350,محلات!$B$2:$B$350,A8)</f>
        <v>417.2</v>
      </c>
      <c r="O8" s="24">
        <f>COUNTIFS(محلات!$B$2:$B$350,A8,محلات!$AA$2:$AA$350,"&gt;0")/COUNTIF(محلات!$B$2:$B$350,A8)*100</f>
        <v>92.857142857142861</v>
      </c>
    </row>
    <row r="9" spans="1:15" x14ac:dyDescent="0.2">
      <c r="A9" s="24">
        <v>8</v>
      </c>
      <c r="B9" s="19">
        <v>425044</v>
      </c>
      <c r="C9" s="19">
        <v>148535</v>
      </c>
      <c r="D9" s="20">
        <f t="shared" si="0"/>
        <v>2.8615747130305991</v>
      </c>
      <c r="E9" s="20">
        <v>0.94299999999999995</v>
      </c>
      <c r="F9" s="21" t="s">
        <v>105</v>
      </c>
      <c r="G9" s="19">
        <f>SUMIF(محلات!$B$2:$B$350,A9,محلات!$E$2:$E$350)</f>
        <v>148535</v>
      </c>
      <c r="H9" s="24">
        <f>SUMPRODUCT((محلات!$B$2:$B$350=A9)*محلات!$E$2:$E$350*محلات!$H$2:$H$350)/G9</f>
        <v>237.06819335510144</v>
      </c>
      <c r="I9" s="24">
        <f>SUMPRODUCT((محلات!$B$2:$B$350=A9)*محلات!$E$2:$E$350*محلات!$G$2:$G$350)/G9</f>
        <v>880.00680051795905</v>
      </c>
      <c r="J9" s="24">
        <f>SUMPRODUCT((محلات!$B$2:$B$350=A9)*محلات!$E$2:$E$350*محلات!$K$2:$K$350)/G9</f>
        <v>20.224375051992663</v>
      </c>
      <c r="K9" s="24">
        <f>SUMPRODUCT((محلات!$B$2:$B$350=A9)*محلات!$E$2:$E$350*محلات!$P$2:$P$350)/G9</f>
        <v>68.850348271122229</v>
      </c>
      <c r="L9" s="24">
        <f>SUMPRODUCT((محلات!$B$2:$B$350=A9)*محلات!$E$2:$E$350*محلات!$L$2:$L$350)/G9</f>
        <v>18.26692813646952</v>
      </c>
      <c r="M9" s="24">
        <f>_xlfn.MINIFS(محلات!$H$2:$H$350,محلات!$B$2:$B$350,A9)</f>
        <v>176.4</v>
      </c>
      <c r="N9" s="24">
        <f>_xlfn.MAXIFS(محلات!$H$2:$H$350,محلات!$B$2:$B$350,A9)</f>
        <v>301.60000000000002</v>
      </c>
      <c r="O9" s="24">
        <f>COUNTIFS(محلات!$B$2:$B$350,A9,محلات!$AA$2:$AA$350,"&gt;0")/COUNTIF(محلات!$B$2:$B$350,A9)*100</f>
        <v>100</v>
      </c>
    </row>
    <row r="10" spans="1:15" x14ac:dyDescent="0.2">
      <c r="A10" s="24">
        <v>9</v>
      </c>
      <c r="B10" s="19">
        <v>174115</v>
      </c>
      <c r="C10" s="19">
        <v>57648</v>
      </c>
      <c r="D10" s="20">
        <f t="shared" si="0"/>
        <v>3.0203129336663892</v>
      </c>
      <c r="E10" s="20">
        <v>0.64600000000000002</v>
      </c>
      <c r="F10" s="21" t="s">
        <v>105</v>
      </c>
      <c r="G10" s="19">
        <f>SUMIF(محلات!$B$2:$B$350,A10,محلات!$E$2:$E$350)</f>
        <v>57649</v>
      </c>
      <c r="H10" s="24">
        <f>SUMPRODUCT((محلات!$B$2:$B$350=A10)*محلات!$E$2:$E$350*محلات!$H$2:$H$350)/G10</f>
        <v>164.5604485767316</v>
      </c>
      <c r="I10" s="24">
        <f>SUMPRODUCT((محلات!$B$2:$B$350=A10)*محلات!$E$2:$E$350*محلات!$G$2:$G$350)/G10</f>
        <v>636.36471506131943</v>
      </c>
      <c r="J10" s="24">
        <f>SUMPRODUCT((محلات!$B$2:$B$350=A10)*محلات!$E$2:$E$350*محلات!$K$2:$K$350)/G10</f>
        <v>19.400447991609546</v>
      </c>
      <c r="K10" s="24">
        <f>SUMPRODUCT((محلات!$B$2:$B$350=A10)*محلات!$E$2:$E$350*محلات!$P$2:$P$350)/G10</f>
        <v>75.726558364273785</v>
      </c>
      <c r="L10" s="24">
        <f>SUMPRODUCT((محلات!$B$2:$B$350=A10)*محلات!$E$2:$E$350*محلات!$L$2:$L$350)/G10</f>
        <v>12.679954428781905</v>
      </c>
      <c r="M10" s="24">
        <f>_xlfn.MINIFS(محلات!$H$2:$H$350,محلات!$B$2:$B$350,A10)</f>
        <v>145.4</v>
      </c>
      <c r="N10" s="24">
        <f>_xlfn.MAXIFS(محلات!$H$2:$H$350,محلات!$B$2:$B$350,A10)</f>
        <v>188.7</v>
      </c>
      <c r="O10" s="24">
        <f>COUNTIFS(محلات!$B$2:$B$350,A10,محلات!$AA$2:$AA$350,"&gt;0")/COUNTIF(محلات!$B$2:$B$350,A10)*100</f>
        <v>66.666666666666657</v>
      </c>
    </row>
    <row r="11" spans="1:15" x14ac:dyDescent="0.2">
      <c r="A11" s="24">
        <v>10</v>
      </c>
      <c r="B11" s="19">
        <v>326885</v>
      </c>
      <c r="C11" s="19">
        <v>117325</v>
      </c>
      <c r="D11" s="20">
        <f t="shared" si="0"/>
        <v>2.7861495844875348</v>
      </c>
      <c r="E11" s="20">
        <v>0.60199999999999998</v>
      </c>
      <c r="F11" s="21" t="s">
        <v>105</v>
      </c>
      <c r="G11" s="19">
        <f>SUMIF(محلات!$B$2:$B$350,A11,محلات!$E$2:$E$350)</f>
        <v>117324</v>
      </c>
      <c r="H11" s="24">
        <f>SUMPRODUCT((محلات!$B$2:$B$350=A11)*محلات!$E$2:$E$350*محلات!$H$2:$H$350)/G11</f>
        <v>153.75306160717329</v>
      </c>
      <c r="I11" s="24">
        <f>SUMPRODUCT((محلات!$B$2:$B$350=A11)*محلات!$E$2:$E$350*محلات!$G$2:$G$350)/G11</f>
        <v>547.20008640879109</v>
      </c>
      <c r="J11" s="24">
        <f>SUMPRODUCT((محلات!$B$2:$B$350=A11)*محلات!$E$2:$E$350*محلات!$K$2:$K$350)/G11</f>
        <v>21.076915125785014</v>
      </c>
      <c r="K11" s="24">
        <f>SUMPRODUCT((محلات!$B$2:$B$350=A11)*محلات!$E$2:$E$350*محلات!$P$2:$P$350)/G11</f>
        <v>81.601485752127516</v>
      </c>
      <c r="L11" s="24">
        <f>SUMPRODUCT((محلات!$B$2:$B$350=A11)*محلات!$E$2:$E$350*محلات!$L$2:$L$350)/G11</f>
        <v>11.847207705900235</v>
      </c>
      <c r="M11" s="24">
        <f>_xlfn.MINIFS(محلات!$H$2:$H$350,محلات!$B$2:$B$350,A11)</f>
        <v>135.69999999999999</v>
      </c>
      <c r="N11" s="24">
        <f>_xlfn.MAXIFS(محلات!$H$2:$H$350,محلات!$B$2:$B$350,A11)</f>
        <v>170.3</v>
      </c>
      <c r="O11" s="24">
        <f>COUNTIFS(محلات!$B$2:$B$350,A11,محلات!$AA$2:$AA$350,"&gt;0")/COUNTIF(محلات!$B$2:$B$350,A11)*100</f>
        <v>80</v>
      </c>
    </row>
    <row r="12" spans="1:15" x14ac:dyDescent="0.2">
      <c r="A12" s="24">
        <v>11</v>
      </c>
      <c r="B12" s="19">
        <v>308176</v>
      </c>
      <c r="C12" s="19">
        <v>107759</v>
      </c>
      <c r="D12" s="20">
        <f t="shared" si="0"/>
        <v>2.8598632132814892</v>
      </c>
      <c r="E12" s="20">
        <v>0.71799999999999997</v>
      </c>
      <c r="F12" s="21" t="s">
        <v>105</v>
      </c>
      <c r="G12" s="19">
        <f>SUMIF(محلات!$B$2:$B$350,A12,محلات!$E$2:$E$350)</f>
        <v>107513</v>
      </c>
      <c r="H12" s="24">
        <f>SUMPRODUCT((محلات!$B$2:$B$350=A12)*محلات!$E$2:$E$350*محلات!$H$2:$H$350)/G12</f>
        <v>182.09121222549828</v>
      </c>
      <c r="I12" s="24">
        <f>SUMPRODUCT((محلات!$B$2:$B$350=A12)*محلات!$E$2:$E$350*محلات!$G$2:$G$350)/G12</f>
        <v>669.09689948434163</v>
      </c>
      <c r="J12" s="24">
        <f>SUMPRODUCT((محلات!$B$2:$B$350=A12)*محلات!$E$2:$E$350*محلات!$K$2:$K$350)/G12</f>
        <v>20.418482234939852</v>
      </c>
      <c r="K12" s="24">
        <f>SUMPRODUCT((محلات!$B$2:$B$350=A12)*محلات!$E$2:$E$350*محلات!$P$2:$P$350)/G12</f>
        <v>81.136533668366454</v>
      </c>
      <c r="L12" s="24">
        <f>SUMPRODUCT((محلات!$B$2:$B$350=A12)*محلات!$E$2:$E$350*محلات!$L$2:$L$350)/G12</f>
        <v>14.030760689281726</v>
      </c>
      <c r="M12" s="24">
        <f>_xlfn.MINIFS(محلات!$H$2:$H$350,محلات!$B$2:$B$350,A12)</f>
        <v>147.9</v>
      </c>
      <c r="N12" s="24">
        <f>_xlfn.MAXIFS(محلات!$H$2:$H$350,محلات!$B$2:$B$350,A12)</f>
        <v>219.9</v>
      </c>
      <c r="O12" s="24">
        <f>COUNTIFS(محلات!$B$2:$B$350,A12,محلات!$AA$2:$AA$350,"&gt;0")/COUNTIF(محلات!$B$2:$B$350,A12)*100</f>
        <v>70.588235294117652</v>
      </c>
    </row>
    <row r="13" spans="1:15" x14ac:dyDescent="0.2">
      <c r="A13" s="24">
        <v>12</v>
      </c>
      <c r="B13" s="19">
        <v>240909</v>
      </c>
      <c r="C13" s="19">
        <v>79105</v>
      </c>
      <c r="D13" s="20">
        <f t="shared" si="0"/>
        <v>3.0454332848745338</v>
      </c>
      <c r="E13" s="20">
        <v>0.68500000000000005</v>
      </c>
      <c r="F13" s="21" t="s">
        <v>105</v>
      </c>
      <c r="G13" s="19">
        <f>SUMIF(محلات!$B$2:$B$350,A13,محلات!$E$2:$E$350)</f>
        <v>79104</v>
      </c>
      <c r="H13" s="24">
        <f>SUMPRODUCT((محلات!$B$2:$B$350=A13)*محلات!$E$2:$E$350*محلات!$H$2:$H$350)/G13</f>
        <v>173.96342536407769</v>
      </c>
      <c r="I13" s="24">
        <f>SUMPRODUCT((محلات!$B$2:$B$350=A13)*محلات!$E$2:$E$350*محلات!$G$2:$G$350)/G13</f>
        <v>680.16683355468751</v>
      </c>
      <c r="J13" s="24">
        <f>SUMPRODUCT((محلات!$B$2:$B$350=A13)*محلات!$E$2:$E$350*محلات!$K$2:$K$350)/G13</f>
        <v>19.21552720005419</v>
      </c>
      <c r="K13" s="24">
        <f>SUMPRODUCT((محلات!$B$2:$B$350=A13)*محلات!$E$2:$E$350*محلات!$P$2:$P$350)/G13</f>
        <v>72.796822993104612</v>
      </c>
      <c r="L13" s="24">
        <f>SUMPRODUCT((محلات!$B$2:$B$350=A13)*محلات!$E$2:$E$350*محلات!$L$2:$L$350)/G13</f>
        <v>13.404486466641828</v>
      </c>
      <c r="M13" s="24">
        <f>_xlfn.MINIFS(محلات!$H$2:$H$350,محلات!$B$2:$B$350,A13)</f>
        <v>113.9</v>
      </c>
      <c r="N13" s="24">
        <f>_xlfn.MAXIFS(محلات!$H$2:$H$350,محلات!$B$2:$B$350,A13)</f>
        <v>256.89999999999998</v>
      </c>
      <c r="O13" s="24">
        <f>COUNTIFS(محلات!$B$2:$B$350,A13,محلات!$AA$2:$AA$350,"&gt;0")/COUNTIF(محلات!$B$2:$B$350,A13)*100</f>
        <v>84.615384615384613</v>
      </c>
    </row>
    <row r="14" spans="1:15" x14ac:dyDescent="0.2">
      <c r="A14" s="24">
        <v>13</v>
      </c>
      <c r="B14" s="19">
        <v>253054</v>
      </c>
      <c r="C14" s="19">
        <v>85133</v>
      </c>
      <c r="D14" s="20">
        <f t="shared" si="0"/>
        <v>2.972454864741052</v>
      </c>
      <c r="E14" s="20">
        <v>0.83899999999999997</v>
      </c>
      <c r="F14" s="21" t="s">
        <v>105</v>
      </c>
      <c r="G14" s="19">
        <f>SUMIF(محلات!$B$2:$B$350,A14,محلات!$E$2:$E$350)</f>
        <v>83677</v>
      </c>
      <c r="H14" s="24">
        <f>SUMPRODUCT((محلات!$B$2:$B$350=A14)*محلات!$E$2:$E$350*محلات!$H$2:$H$350)/G14</f>
        <v>211.69639805442355</v>
      </c>
      <c r="I14" s="24">
        <f>SUMPRODUCT((محلات!$B$2:$B$350=A14)*محلات!$E$2:$E$350*محلات!$G$2:$G$350)/G14</f>
        <v>813.01858220317433</v>
      </c>
      <c r="J14" s="24">
        <f>SUMPRODUCT((محلات!$B$2:$B$350=A14)*محلات!$E$2:$E$350*محلات!$K$2:$K$350)/G14</f>
        <v>19.543139507056488</v>
      </c>
      <c r="K14" s="24">
        <f>SUMPRODUCT((محلات!$B$2:$B$350=A14)*محلات!$E$2:$E$350*محلات!$P$2:$P$350)/G14</f>
        <v>70.689301401192949</v>
      </c>
      <c r="L14" s="24">
        <f>SUMPRODUCT((محلات!$B$2:$B$350=A14)*محلات!$E$2:$E$350*محلات!$L$2:$L$350)/G14</f>
        <v>16.311943138728886</v>
      </c>
      <c r="M14" s="24">
        <f>_xlfn.MINIFS(محلات!$H$2:$H$350,محلات!$B$2:$B$350,A14)</f>
        <v>159.5</v>
      </c>
      <c r="N14" s="24">
        <f>_xlfn.MAXIFS(محلات!$H$2:$H$350,محلات!$B$2:$B$350,A14)</f>
        <v>254.1</v>
      </c>
      <c r="O14" s="24">
        <f>COUNTIFS(محلات!$B$2:$B$350,A14,محلات!$AA$2:$AA$350,"&gt;0")/COUNTIF(محلات!$B$2:$B$350,A14)*100</f>
        <v>84.615384615384613</v>
      </c>
    </row>
    <row r="15" spans="1:15" x14ac:dyDescent="0.2">
      <c r="A15" s="24">
        <v>14</v>
      </c>
      <c r="B15" s="19">
        <v>489101</v>
      </c>
      <c r="C15" s="19">
        <v>163924</v>
      </c>
      <c r="D15" s="20">
        <f t="shared" si="0"/>
        <v>2.983705863692931</v>
      </c>
      <c r="E15" s="20">
        <v>0.73399999999999999</v>
      </c>
      <c r="F15" s="21" t="s">
        <v>105</v>
      </c>
      <c r="G15" s="19">
        <f>SUMIF(محلات!$B$2:$B$350,A15,محلات!$E$2:$E$350)</f>
        <v>163925</v>
      </c>
      <c r="H15" s="24">
        <f>SUMPRODUCT((محلات!$B$2:$B$350=A15)*محلات!$E$2:$E$350*محلات!$H$2:$H$350)/G15</f>
        <v>186.0596644807076</v>
      </c>
      <c r="I15" s="24">
        <f>SUMPRODUCT((محلات!$B$2:$B$350=A15)*محلات!$E$2:$E$350*محلات!$G$2:$G$350)/G15</f>
        <v>713.94886303098986</v>
      </c>
      <c r="J15" s="24">
        <f>SUMPRODUCT((محلات!$B$2:$B$350=A15)*محلات!$E$2:$E$350*محلات!$K$2:$K$350)/G15</f>
        <v>19.561022267850767</v>
      </c>
      <c r="K15" s="24">
        <f>SUMPRODUCT((محلات!$B$2:$B$350=A15)*محلات!$E$2:$E$350*محلات!$P$2:$P$350)/G15</f>
        <v>72.088758756417008</v>
      </c>
      <c r="L15" s="24">
        <f>SUMPRODUCT((محلات!$B$2:$B$350=A15)*محلات!$E$2:$E$350*محلات!$L$2:$L$350)/G15</f>
        <v>14.336543726360583</v>
      </c>
      <c r="M15" s="24">
        <f>_xlfn.MINIFS(محلات!$H$2:$H$350,محلات!$B$2:$B$350,A15)</f>
        <v>126.1</v>
      </c>
      <c r="N15" s="24">
        <f>_xlfn.MAXIFS(محلات!$H$2:$H$350,محلات!$B$2:$B$350,A15)</f>
        <v>255.8</v>
      </c>
      <c r="O15" s="24">
        <f>COUNTIFS(محلات!$B$2:$B$350,A15,محلات!$AA$2:$AA$350,"&gt;0")/COUNTIF(محلات!$B$2:$B$350,A15)*100</f>
        <v>52.380952380952387</v>
      </c>
    </row>
    <row r="16" spans="1:15" x14ac:dyDescent="0.2">
      <c r="A16" s="24">
        <v>15</v>
      </c>
      <c r="B16" s="19">
        <v>659468</v>
      </c>
      <c r="C16" s="19">
        <v>209141</v>
      </c>
      <c r="D16" s="20">
        <f t="shared" si="0"/>
        <v>3.1532219889930717</v>
      </c>
      <c r="E16" s="20">
        <v>0.47599999999999998</v>
      </c>
      <c r="F16" s="21" t="s">
        <v>105</v>
      </c>
      <c r="G16" s="19">
        <f>SUMIF(محلات!$B$2:$B$350,A16,محلات!$E$2:$E$350)</f>
        <v>201638</v>
      </c>
      <c r="H16" s="24">
        <f>SUMPRODUCT((محلات!$B$2:$B$350=A16)*محلات!$E$2:$E$350*محلات!$H$2:$H$350)/G16</f>
        <v>122.40179380870669</v>
      </c>
      <c r="I16" s="24">
        <f>SUMPRODUCT((محلات!$B$2:$B$350=A16)*محلات!$E$2:$E$350*محلات!$G$2:$G$350)/G16</f>
        <v>489.31692034710716</v>
      </c>
      <c r="J16" s="24">
        <f>SUMPRODUCT((محلات!$B$2:$B$350=A16)*محلات!$E$2:$E$350*محلات!$K$2:$K$350)/G16</f>
        <v>18.788486842469478</v>
      </c>
      <c r="K16" s="24">
        <f>SUMPRODUCT((محلات!$B$2:$B$350=A16)*محلات!$E$2:$E$350*محلات!$P$2:$P$350)/G16</f>
        <v>69.668257611670896</v>
      </c>
      <c r="L16" s="24">
        <f>SUMPRODUCT((محلات!$B$2:$B$350=A16)*محلات!$E$2:$E$350*محلات!$L$2:$L$350)/G16</f>
        <v>9.4314835728699862</v>
      </c>
      <c r="M16" s="24">
        <f>_xlfn.MINIFS(محلات!$H$2:$H$350,محلات!$B$2:$B$350,A16)</f>
        <v>76.2</v>
      </c>
      <c r="N16" s="24">
        <f>_xlfn.MAXIFS(محلات!$H$2:$H$350,محلات!$B$2:$B$350,A16)</f>
        <v>168.7</v>
      </c>
      <c r="O16" s="24">
        <f>COUNTIFS(محلات!$B$2:$B$350,A16,محلات!$AA$2:$AA$350,"&gt;0")/COUNTIF(محلات!$B$2:$B$350,A16)*100</f>
        <v>77.777777777777786</v>
      </c>
    </row>
    <row r="17" spans="1:15" ht="16.5" x14ac:dyDescent="0.3">
      <c r="A17" s="24">
        <v>16</v>
      </c>
      <c r="B17" s="19">
        <v>267678</v>
      </c>
      <c r="C17" s="19">
        <v>87464</v>
      </c>
      <c r="D17" s="20">
        <f t="shared" si="0"/>
        <v>3.0604362937894449</v>
      </c>
      <c r="E17" s="20">
        <v>0.54800000000000004</v>
      </c>
      <c r="F17" s="24" t="s">
        <v>536</v>
      </c>
      <c r="G17" s="19">
        <f>SUMIF(محلات!$B$2:$B$350,A17,محلات!$E$2:$E$350)</f>
        <v>87463</v>
      </c>
      <c r="H17" s="24">
        <f>SUMPRODUCT((محلات!$B$2:$B$350=A17)*محلات!$E$2:$E$350*محلات!$H$2:$H$350)/G17</f>
        <v>140.24643677898081</v>
      </c>
      <c r="I17" s="24">
        <f>SUMPRODUCT((محلات!$B$2:$B$350=A17)*محلات!$E$2:$E$350*محلات!$G$2:$G$350)/G17</f>
        <v>546.74998549872521</v>
      </c>
      <c r="J17" s="24">
        <f>SUMPRODUCT((محلات!$B$2:$B$350=A17)*محلات!$E$2:$E$350*محلات!$K$2:$K$350)/G17</f>
        <v>19.261898458746579</v>
      </c>
      <c r="K17" s="24">
        <f>SUMPRODUCT((محلات!$B$2:$B$350=A17)*محلات!$E$2:$E$350*محلات!$P$2:$P$350)/G17</f>
        <v>77.775794363584907</v>
      </c>
      <c r="L17" s="24">
        <f>SUMPRODUCT((محلات!$B$2:$B$350=A17)*محلات!$E$2:$E$350*محلات!$L$2:$L$350)/G17</f>
        <v>10.806475325857667</v>
      </c>
      <c r="M17" s="24">
        <f>_xlfn.MINIFS(محلات!$H$2:$H$350,محلات!$B$2:$B$350,A17)</f>
        <v>99.2</v>
      </c>
      <c r="N17" s="24">
        <f>_xlfn.MAXIFS(محلات!$H$2:$H$350,محلات!$B$2:$B$350,A17)</f>
        <v>182.8</v>
      </c>
      <c r="O17" s="24">
        <f>COUNTIFS(محلات!$B$2:$B$350,A17,محلات!$AA$2:$AA$350,"&gt;0")/COUNTIF(محلات!$B$2:$B$350,A17)*100</f>
        <v>88.888888888888886</v>
      </c>
    </row>
    <row r="18" spans="1:15" x14ac:dyDescent="0.2">
      <c r="A18" s="24">
        <v>17</v>
      </c>
      <c r="B18" s="19">
        <v>278354</v>
      </c>
      <c r="C18" s="19">
        <v>90032</v>
      </c>
      <c r="D18" s="20">
        <f t="shared" si="0"/>
        <v>3.0917229429536164</v>
      </c>
      <c r="E18" s="20">
        <v>0.47099999999999997</v>
      </c>
      <c r="F18" s="21" t="s">
        <v>105</v>
      </c>
      <c r="G18" s="19">
        <f>SUMIF(محلات!$B$2:$B$350,A18,محلات!$E$2:$E$350)</f>
        <v>90032</v>
      </c>
      <c r="H18" s="24">
        <f>SUMPRODUCT((محلات!$B$2:$B$350=A18)*محلات!$E$2:$E$350*محلات!$H$2:$H$350)/G18</f>
        <v>121.2577650168829</v>
      </c>
      <c r="I18" s="24">
        <f>SUMPRODUCT((محلات!$B$2:$B$350=A18)*محلات!$E$2:$E$350*محلات!$G$2:$G$350)/G18</f>
        <v>474.90928916135368</v>
      </c>
      <c r="J18" s="24">
        <f>SUMPRODUCT((محلات!$B$2:$B$350=A18)*محلات!$E$2:$E$350*محلات!$K$2:$K$350)/G18</f>
        <v>19.154621688296171</v>
      </c>
      <c r="K18" s="24">
        <f>SUMPRODUCT((محلات!$B$2:$B$350=A18)*محلات!$E$2:$E$350*محلات!$P$2:$P$350)/G18</f>
        <v>76.578293609969606</v>
      </c>
      <c r="L18" s="24">
        <f>SUMPRODUCT((محلات!$B$2:$B$350=A18)*محلات!$E$2:$E$350*محلات!$L$2:$L$350)/G18</f>
        <v>9.3433321788320907</v>
      </c>
      <c r="M18" s="24">
        <f>_xlfn.MINIFS(محلات!$H$2:$H$350,محلات!$B$2:$B$350,A18)</f>
        <v>102.2</v>
      </c>
      <c r="N18" s="24">
        <f>_xlfn.MAXIFS(محلات!$H$2:$H$350,محلات!$B$2:$B$350,A18)</f>
        <v>142.69999999999999</v>
      </c>
      <c r="O18" s="24">
        <f>COUNTIFS(محلات!$B$2:$B$350,A18,محلات!$AA$2:$AA$350,"&gt;0")/COUNTIF(محلات!$B$2:$B$350,A18)*100</f>
        <v>85.714285714285708</v>
      </c>
    </row>
    <row r="19" spans="1:15" x14ac:dyDescent="0.2">
      <c r="A19" s="24">
        <v>18</v>
      </c>
      <c r="B19" s="19">
        <v>419249</v>
      </c>
      <c r="C19" s="19">
        <v>130405</v>
      </c>
      <c r="D19" s="20">
        <f t="shared" si="0"/>
        <v>3.2149764196158124</v>
      </c>
      <c r="E19" s="20">
        <v>0.46800000000000003</v>
      </c>
      <c r="F19" s="21" t="s">
        <v>105</v>
      </c>
      <c r="G19" s="19">
        <f>SUMIF(محلات!$B$2:$B$350,A19,محلات!$E$2:$E$350)</f>
        <v>130403</v>
      </c>
      <c r="H19" s="24">
        <f>SUMPRODUCT((محلات!$B$2:$B$350=A19)*محلات!$E$2:$E$350*محلات!$H$2:$H$350)/G19</f>
        <v>120.44528653481899</v>
      </c>
      <c r="I19" s="24">
        <f>SUMPRODUCT((محلات!$B$2:$B$350=A19)*محلات!$E$2:$E$350*محلات!$G$2:$G$350)/G19</f>
        <v>490.50351622014074</v>
      </c>
      <c r="J19" s="24">
        <f>SUMPRODUCT((محلات!$B$2:$B$350=A19)*محلات!$E$2:$E$350*محلات!$K$2:$K$350)/G19</f>
        <v>18.428776049494214</v>
      </c>
      <c r="K19" s="24">
        <f>SUMPRODUCT((محلات!$B$2:$B$350=A19)*محلات!$E$2:$E$350*محلات!$P$2:$P$350)/G19</f>
        <v>67.92939027415899</v>
      </c>
      <c r="L19" s="24">
        <f>SUMPRODUCT((محلات!$B$2:$B$350=A19)*محلات!$E$2:$E$350*محلات!$L$2:$L$350)/G19</f>
        <v>9.2807278883355657</v>
      </c>
      <c r="M19" s="24">
        <f>_xlfn.MINIFS(محلات!$H$2:$H$350,محلات!$B$2:$B$350,A19)</f>
        <v>82.8</v>
      </c>
      <c r="N19" s="24">
        <f>_xlfn.MAXIFS(محلات!$H$2:$H$350,محلات!$B$2:$B$350,A19)</f>
        <v>145.4</v>
      </c>
      <c r="O19" s="24">
        <f>COUNTIFS(محلات!$B$2:$B$350,A19,محلات!$AA$2:$AA$350,"&gt;0")/COUNTIF(محلات!$B$2:$B$350,A19)*100</f>
        <v>77.777777777777786</v>
      </c>
    </row>
    <row r="20" spans="1:15" x14ac:dyDescent="0.2">
      <c r="A20" s="24">
        <v>19</v>
      </c>
      <c r="B20" s="19">
        <v>255533</v>
      </c>
      <c r="C20" s="19">
        <v>77764</v>
      </c>
      <c r="D20" s="20">
        <f t="shared" si="0"/>
        <v>3.2860063782727225</v>
      </c>
      <c r="E20" s="20">
        <v>0.55300000000000005</v>
      </c>
      <c r="F20" s="21" t="s">
        <v>105</v>
      </c>
      <c r="G20" s="19">
        <f>SUMIF(محلات!$B$2:$B$350,A20,محلات!$E$2:$E$350)</f>
        <v>77764</v>
      </c>
      <c r="H20" s="24">
        <f>SUMPRODUCT((محلات!$B$2:$B$350=A20)*محلات!$E$2:$E$350*محلات!$H$2:$H$350)/G20</f>
        <v>141.49285144797076</v>
      </c>
      <c r="I20" s="24">
        <f>SUMPRODUCT((محلات!$B$2:$B$350=A20)*محلات!$E$2:$E$350*محلات!$G$2:$G$350)/G20</f>
        <v>592.51930997968225</v>
      </c>
      <c r="J20" s="24">
        <f>SUMPRODUCT((محلات!$B$2:$B$350=A20)*محلات!$E$2:$E$350*محلات!$K$2:$K$350)/G20</f>
        <v>17.93373314835209</v>
      </c>
      <c r="K20" s="24">
        <f>SUMPRODUCT((محلات!$B$2:$B$350=A20)*محلات!$E$2:$E$350*محلات!$P$2:$P$350)/G20</f>
        <v>67.881444737136249</v>
      </c>
      <c r="L20" s="24">
        <f>SUMPRODUCT((محلات!$B$2:$B$350=A20)*محلات!$E$2:$E$350*محلات!$L$2:$L$350)/G20</f>
        <v>10.902515907533576</v>
      </c>
      <c r="M20" s="24">
        <f>_xlfn.MINIFS(محلات!$H$2:$H$350,محلات!$B$2:$B$350,A20)</f>
        <v>99.6</v>
      </c>
      <c r="N20" s="24">
        <f>_xlfn.MAXIFS(محلات!$H$2:$H$350,محلات!$B$2:$B$350,A20)</f>
        <v>174</v>
      </c>
      <c r="O20" s="24">
        <f>COUNTIFS(محلات!$B$2:$B$350,A20,محلات!$AA$2:$AA$350,"&gt;0")/COUNTIF(محلات!$B$2:$B$350,A20)*100</f>
        <v>78.571428571428569</v>
      </c>
    </row>
    <row r="21" spans="1:15" x14ac:dyDescent="0.2">
      <c r="A21" s="24">
        <v>20</v>
      </c>
      <c r="B21" s="19">
        <v>367600</v>
      </c>
      <c r="C21" s="19">
        <v>116492</v>
      </c>
      <c r="D21" s="20">
        <f t="shared" si="0"/>
        <v>3.1555814991587403</v>
      </c>
      <c r="E21" s="20">
        <v>0.42799999999999999</v>
      </c>
      <c r="F21" s="21" t="s">
        <v>105</v>
      </c>
      <c r="G21" s="19">
        <f>SUMIF(محلات!$B$2:$B$350,A21,محلات!$E$2:$E$350)</f>
        <v>116440</v>
      </c>
      <c r="H21" s="24">
        <f>SUMPRODUCT((محلات!$B$2:$B$350=A21)*محلات!$E$2:$E$350*محلات!$H$2:$H$350)/G21</f>
        <v>110.4</v>
      </c>
      <c r="I21" s="24">
        <f>SUMPRODUCT((محلات!$B$2:$B$350=A21)*محلات!$E$2:$E$350*محلات!$G$2:$G$350)/G21</f>
        <v>439.95420000000007</v>
      </c>
      <c r="J21" s="24">
        <f>SUMPRODUCT((محلات!$B$2:$B$350=A21)*محلات!$E$2:$E$350*محلات!$K$2:$K$350)/G21</f>
        <v>18.820140823749377</v>
      </c>
      <c r="K21" s="24">
        <f>SUMPRODUCT((محلات!$B$2:$B$350=A21)*محلات!$E$2:$E$350*محلات!$P$2:$P$350)/G21</f>
        <v>66.878189668017583</v>
      </c>
      <c r="L21" s="24">
        <f>SUMPRODUCT((محلات!$B$2:$B$350=A21)*محلات!$E$2:$E$350*محلات!$L$2:$L$350)/G21</f>
        <v>8.5067036523347195</v>
      </c>
      <c r="M21" s="24">
        <f>_xlfn.MINIFS(محلات!$H$2:$H$350,محلات!$B$2:$B$350,A21)</f>
        <v>110.4</v>
      </c>
      <c r="N21" s="24">
        <f>_xlfn.MAXIFS(محلات!$H$2:$H$350,محلات!$B$2:$B$350,A21)</f>
        <v>110.4</v>
      </c>
      <c r="O21" s="24">
        <f>COUNTIFS(محلات!$B$2:$B$350,A21,محلات!$AA$2:$AA$350,"&gt;0")/COUNTIF(محلات!$B$2:$B$350,A21)*100</f>
        <v>5.5555555555555554</v>
      </c>
    </row>
    <row r="22" spans="1:15" x14ac:dyDescent="0.2">
      <c r="A22" s="24">
        <v>21</v>
      </c>
      <c r="B22" s="19">
        <v>186319</v>
      </c>
      <c r="C22" s="19">
        <v>60432</v>
      </c>
      <c r="D22" s="20">
        <f t="shared" si="0"/>
        <v>3.083118215514959</v>
      </c>
      <c r="E22" s="20">
        <v>0.73799999999999999</v>
      </c>
      <c r="F22" s="21" t="s">
        <v>105</v>
      </c>
      <c r="G22" s="19">
        <f>SUMIF(محلات!$B$2:$B$350,A22,محلات!$E$2:$E$350)</f>
        <v>60434</v>
      </c>
      <c r="H22" s="24">
        <f>SUMPRODUCT((محلات!$B$2:$B$350=A22)*محلات!$E$2:$E$350*محلات!$H$2:$H$350)/G22</f>
        <v>186.92660092001191</v>
      </c>
      <c r="I22" s="24">
        <f>SUMPRODUCT((محلات!$B$2:$B$350=A22)*محلات!$E$2:$E$350*محلات!$G$2:$G$350)/G22</f>
        <v>741.47251165370506</v>
      </c>
      <c r="J22" s="24">
        <f>SUMPRODUCT((محلات!$B$2:$B$350=A22)*محلات!$E$2:$E$350*محلات!$K$2:$K$350)/G22</f>
        <v>18.928729130572794</v>
      </c>
      <c r="K22" s="24">
        <f>SUMPRODUCT((محلات!$B$2:$B$350=A22)*محلات!$E$2:$E$350*محلات!$P$2:$P$350)/G22</f>
        <v>68.436850551302044</v>
      </c>
      <c r="L22" s="24">
        <f>SUMPRODUCT((محلات!$B$2:$B$350=A22)*محلات!$E$2:$E$350*محلات!$L$2:$L$350)/G22</f>
        <v>14.403344191709962</v>
      </c>
      <c r="M22" s="24">
        <f>_xlfn.MINIFS(محلات!$H$2:$H$350,محلات!$B$2:$B$350,A22)</f>
        <v>113.4</v>
      </c>
      <c r="N22" s="24">
        <f>_xlfn.MAXIFS(محلات!$H$2:$H$350,محلات!$B$2:$B$350,A22)</f>
        <v>227.7</v>
      </c>
      <c r="O22" s="24">
        <f>COUNTIFS(محلات!$B$2:$B$350,A22,محلات!$AA$2:$AA$350,"&gt;0")/COUNTIF(محلات!$B$2:$B$350,A22)*100</f>
        <v>76.923076923076934</v>
      </c>
    </row>
    <row r="23" spans="1:15" x14ac:dyDescent="0.2">
      <c r="A23" s="24">
        <v>22</v>
      </c>
      <c r="B23" s="19">
        <v>175398</v>
      </c>
      <c r="C23" s="19">
        <v>54857</v>
      </c>
      <c r="D23" s="20">
        <f t="shared" si="0"/>
        <v>3.1973677014783894</v>
      </c>
      <c r="E23" s="20">
        <v>0.88</v>
      </c>
      <c r="F23" s="21" t="s">
        <v>105</v>
      </c>
      <c r="G23" s="19">
        <f>SUMIF(محلات!$B$2:$B$350,A23,محلات!$E$2:$E$350)</f>
        <v>54491</v>
      </c>
      <c r="H23" s="24">
        <f>SUMPRODUCT((محلات!$B$2:$B$350=A23)*محلات!$E$2:$E$350*محلات!$H$2:$H$350)/G23</f>
        <v>221.76483639500105</v>
      </c>
      <c r="I23" s="24">
        <f>SUMPRODUCT((محلات!$B$2:$B$350=A23)*محلات!$E$2:$E$350*محلات!$G$2:$G$350)/G23</f>
        <v>917.41852708135298</v>
      </c>
      <c r="J23" s="24">
        <f>SUMPRODUCT((محلات!$B$2:$B$350=A23)*محلات!$E$2:$E$350*محلات!$K$2:$K$350)/G23</f>
        <v>18.133103249153272</v>
      </c>
      <c r="K23" s="24">
        <f>SUMPRODUCT((محلات!$B$2:$B$350=A23)*محلات!$E$2:$E$350*محلات!$P$2:$P$350)/G23</f>
        <v>66.244512958644123</v>
      </c>
      <c r="L23" s="24">
        <f>SUMPRODUCT((محلات!$B$2:$B$350=A23)*محلات!$E$2:$E$350*محلات!$L$2:$L$350)/G23</f>
        <v>17.087751301818539</v>
      </c>
      <c r="M23" s="24">
        <f>_xlfn.MINIFS(محلات!$H$2:$H$350,محلات!$B$2:$B$350,A23)</f>
        <v>182.6</v>
      </c>
      <c r="N23" s="24">
        <f>_xlfn.MAXIFS(محلات!$H$2:$H$350,محلات!$B$2:$B$350,A23)</f>
        <v>250</v>
      </c>
      <c r="O23" s="24">
        <f>COUNTIFS(محلات!$B$2:$B$350,A23,محلات!$AA$2:$AA$350,"&gt;0")/COUNTIF(محلات!$B$2:$B$350,A23)*100</f>
        <v>83.333333333333343</v>
      </c>
    </row>
    <row r="24" spans="1:15" x14ac:dyDescent="0.2">
      <c r="A24" s="25" t="s">
        <v>537</v>
      </c>
      <c r="B24" s="5">
        <f>SUM(B2:B23)</f>
        <v>8679936</v>
      </c>
      <c r="C24" s="5">
        <f>SUM(C2:C23)</f>
        <v>2907239</v>
      </c>
      <c r="D24" s="26">
        <f t="shared" si="0"/>
        <v>2.9856286325272881</v>
      </c>
      <c r="G24" s="5">
        <f>SUM(G2:G23)</f>
        <v>2889992</v>
      </c>
      <c r="H24" s="7">
        <f>SUMPRODUCT(محلات!$E$2:$E$350,محلات!$H$2:$H$350)/G24</f>
        <v>252.72866956033084</v>
      </c>
      <c r="I24" s="7">
        <f>SUMPRODUCT(محلات!$E$2:$E$350,محلات!$G$2:$G$350)/G24</f>
        <v>973.347569144266</v>
      </c>
      <c r="J24" s="7">
        <f>SUMPRODUCT(محلات!$E$2:$E$350,محلات!$K$2:$K$350)/G24</f>
        <v>19.457750828679739</v>
      </c>
      <c r="K24" s="7">
        <f>SUMPRODUCT(محلات!$E$2:$E$350,محلات!$P$2:$P$350)/G24</f>
        <v>68.702260331526688</v>
      </c>
      <c r="L24" s="7">
        <f>SUMPRODUCT(محلات!$E$2:$E$350,محلات!$L$2:$L$350)/G24</f>
        <v>19.473622249986974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12"/>
  <sheetViews>
    <sheetView rightToLeft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25" defaultRowHeight="14.25" x14ac:dyDescent="0.2"/>
  <cols>
    <col min="1" max="1" width="10" customWidth="1"/>
    <col min="2" max="2" width="26" customWidth="1"/>
    <col min="3" max="3" width="10" customWidth="1"/>
    <col min="4" max="4" width="14" customWidth="1"/>
    <col min="5" max="5" width="10" customWidth="1"/>
    <col min="6" max="7" width="14" customWidth="1"/>
    <col min="8" max="8" width="12" customWidth="1"/>
    <col min="9" max="10" width="10" customWidth="1"/>
  </cols>
  <sheetData>
    <row r="1" spans="1:10" ht="66" customHeight="1" x14ac:dyDescent="0.2">
      <c r="A1" s="8" t="s">
        <v>538</v>
      </c>
      <c r="B1" s="8" t="s">
        <v>539</v>
      </c>
      <c r="C1" s="8" t="s">
        <v>540</v>
      </c>
      <c r="D1" s="8" t="s">
        <v>541</v>
      </c>
      <c r="E1" s="8" t="s">
        <v>542</v>
      </c>
      <c r="F1" s="8" t="s">
        <v>543</v>
      </c>
      <c r="G1" s="8" t="s">
        <v>544</v>
      </c>
      <c r="H1" s="8" t="s">
        <v>545</v>
      </c>
      <c r="I1" s="8" t="s">
        <v>546</v>
      </c>
      <c r="J1" s="8" t="s">
        <v>547</v>
      </c>
    </row>
    <row r="2" spans="1:10" x14ac:dyDescent="0.2">
      <c r="A2" s="3">
        <v>55</v>
      </c>
      <c r="B2" s="3" t="s">
        <v>82</v>
      </c>
      <c r="C2" s="3">
        <v>88</v>
      </c>
      <c r="D2" s="24">
        <v>844.4</v>
      </c>
      <c r="E2" s="3">
        <v>83</v>
      </c>
      <c r="F2" s="24">
        <v>66.67</v>
      </c>
      <c r="G2" s="24">
        <f>F2*1000*پارامترها!$B$16</f>
        <v>2000.1</v>
      </c>
      <c r="H2" s="24">
        <f>IF(AND(D2&gt;0,F2&gt;0),D2/(F2*پارامترها!$B$16*12),"")</f>
        <v>35.181574254620607</v>
      </c>
      <c r="I2" s="3">
        <v>190</v>
      </c>
      <c r="J2" s="3">
        <v>170</v>
      </c>
    </row>
    <row r="3" spans="1:10" x14ac:dyDescent="0.2">
      <c r="A3" s="3">
        <v>56</v>
      </c>
      <c r="B3" s="3" t="s">
        <v>86</v>
      </c>
      <c r="C3" s="3">
        <v>87</v>
      </c>
      <c r="D3" s="24">
        <v>831.2</v>
      </c>
      <c r="E3" s="3">
        <v>84</v>
      </c>
      <c r="F3" s="24">
        <v>71.430000000000007</v>
      </c>
      <c r="G3" s="24">
        <f>F3*1000*پارامترها!$B$16</f>
        <v>2142.9</v>
      </c>
      <c r="H3" s="24">
        <f>IF(AND(D3&gt;0,F3&gt;0),D3/(F3*پارامترها!$B$16*12),"")</f>
        <v>32.323797968485074</v>
      </c>
      <c r="I3" s="3">
        <v>200</v>
      </c>
      <c r="J3" s="3">
        <v>202.5</v>
      </c>
    </row>
    <row r="4" spans="1:10" x14ac:dyDescent="0.2">
      <c r="A4" s="3">
        <v>85</v>
      </c>
      <c r="B4" s="3" t="s">
        <v>548</v>
      </c>
      <c r="C4" s="3">
        <v>87</v>
      </c>
      <c r="D4" s="24">
        <v>831.1</v>
      </c>
      <c r="E4" s="3">
        <v>88</v>
      </c>
      <c r="F4" s="24">
        <v>66.39</v>
      </c>
      <c r="G4" s="24">
        <f>F4*1000*پارامترها!$B$16</f>
        <v>1991.6999999999998</v>
      </c>
      <c r="H4" s="24">
        <f>IF(AND(D4&gt;0,F4&gt;0),D4/(F4*پارامترها!$B$16*12),"")</f>
        <v>34.773476594533982</v>
      </c>
      <c r="I4" s="3">
        <v>227.5</v>
      </c>
      <c r="J4" s="3">
        <v>240</v>
      </c>
    </row>
    <row r="5" spans="1:10" x14ac:dyDescent="0.2">
      <c r="A5" s="3">
        <v>62</v>
      </c>
      <c r="B5" s="3" t="s">
        <v>549</v>
      </c>
      <c r="C5" s="3">
        <v>84</v>
      </c>
      <c r="D5" s="24">
        <v>753.4</v>
      </c>
      <c r="E5" s="3">
        <v>90</v>
      </c>
      <c r="F5" s="24">
        <v>65.83</v>
      </c>
      <c r="G5" s="24">
        <f>F5*1000*پارامترها!$B$16</f>
        <v>1974.8999999999999</v>
      </c>
      <c r="H5" s="24">
        <f>IF(AND(D5&gt;0,F5&gt;0),D5/(F5*پارامترها!$B$16*12),"")</f>
        <v>31.790639188482118</v>
      </c>
      <c r="I5" s="3">
        <v>220</v>
      </c>
      <c r="J5" s="3">
        <v>230.5</v>
      </c>
    </row>
    <row r="6" spans="1:10" x14ac:dyDescent="0.2">
      <c r="A6" s="3">
        <v>60</v>
      </c>
      <c r="B6" s="3" t="s">
        <v>87</v>
      </c>
      <c r="C6" s="3">
        <v>88</v>
      </c>
      <c r="D6" s="24">
        <v>704.4</v>
      </c>
      <c r="E6" s="3">
        <v>85</v>
      </c>
      <c r="F6" s="24">
        <v>80</v>
      </c>
      <c r="G6" s="24">
        <f>F6*1000*پارامترها!$B$16</f>
        <v>2400</v>
      </c>
      <c r="H6" s="24">
        <f>IF(AND(D6&gt;0,F6&gt;0),D6/(F6*پارامترها!$B$16*12),"")</f>
        <v>24.458333333333336</v>
      </c>
      <c r="I6" s="3">
        <v>179</v>
      </c>
      <c r="J6" s="3">
        <v>210</v>
      </c>
    </row>
    <row r="7" spans="1:10" x14ac:dyDescent="0.2">
      <c r="A7" s="3">
        <v>64</v>
      </c>
      <c r="B7" s="3" t="s">
        <v>88</v>
      </c>
      <c r="C7" s="3">
        <v>88</v>
      </c>
      <c r="D7" s="24">
        <v>682.1</v>
      </c>
      <c r="E7" s="3">
        <v>88</v>
      </c>
      <c r="F7" s="24">
        <v>51.64</v>
      </c>
      <c r="G7" s="24">
        <f>F7*1000*پارامترها!$B$16</f>
        <v>1549.2</v>
      </c>
      <c r="H7" s="24">
        <f>IF(AND(D7&gt;0,F7&gt;0),D7/(F7*پارامترها!$B$16*12),"")</f>
        <v>36.690980290902836</v>
      </c>
      <c r="I7" s="3">
        <v>212.5</v>
      </c>
      <c r="J7" s="3">
        <v>170</v>
      </c>
    </row>
    <row r="8" spans="1:10" x14ac:dyDescent="0.2">
      <c r="A8" s="3">
        <v>71</v>
      </c>
      <c r="B8" s="3" t="s">
        <v>153</v>
      </c>
      <c r="C8" s="3">
        <v>92</v>
      </c>
      <c r="D8" s="24">
        <v>678.9</v>
      </c>
      <c r="E8" s="3">
        <v>92</v>
      </c>
      <c r="F8" s="24">
        <v>50</v>
      </c>
      <c r="G8" s="24">
        <f>F8*1000*پارامترها!$B$16</f>
        <v>1500</v>
      </c>
      <c r="H8" s="24">
        <f>IF(AND(D8&gt;0,F8&gt;0),D8/(F8*پارامترها!$B$16*12),"")</f>
        <v>37.716666666666669</v>
      </c>
      <c r="I8" s="3">
        <v>191</v>
      </c>
      <c r="J8" s="3">
        <v>185</v>
      </c>
    </row>
    <row r="9" spans="1:10" x14ac:dyDescent="0.2">
      <c r="A9" s="3">
        <v>42</v>
      </c>
      <c r="B9" s="3" t="s">
        <v>92</v>
      </c>
      <c r="C9" s="3">
        <v>90</v>
      </c>
      <c r="D9" s="24">
        <v>671.2</v>
      </c>
      <c r="E9" s="3">
        <v>88</v>
      </c>
      <c r="F9" s="24">
        <v>60</v>
      </c>
      <c r="G9" s="24">
        <f>F9*1000*پارامترها!$B$16</f>
        <v>1800</v>
      </c>
      <c r="H9" s="24">
        <f>IF(AND(D9&gt;0,F9&gt;0),D9/(F9*پارامترها!$B$16*12),"")</f>
        <v>31.07407407407408</v>
      </c>
      <c r="I9" s="3">
        <v>191</v>
      </c>
      <c r="J9" s="3">
        <v>190</v>
      </c>
    </row>
    <row r="10" spans="1:10" x14ac:dyDescent="0.2">
      <c r="A10" s="3">
        <v>75</v>
      </c>
      <c r="B10" s="3" t="s">
        <v>124</v>
      </c>
      <c r="C10" s="3">
        <v>88</v>
      </c>
      <c r="D10" s="24">
        <v>656.2</v>
      </c>
      <c r="E10" s="3">
        <v>88</v>
      </c>
      <c r="F10" s="24">
        <v>50</v>
      </c>
      <c r="G10" s="24">
        <f>F10*1000*پارامترها!$B$16</f>
        <v>1500</v>
      </c>
      <c r="H10" s="24">
        <f>IF(AND(D10&gt;0,F10&gt;0),D10/(F10*پارامترها!$B$16*12),"")</f>
        <v>36.455555555555556</v>
      </c>
      <c r="I10" s="3">
        <v>145</v>
      </c>
      <c r="J10" s="3">
        <v>130</v>
      </c>
    </row>
    <row r="11" spans="1:10" x14ac:dyDescent="0.2">
      <c r="A11" s="3">
        <v>942</v>
      </c>
      <c r="B11" s="3" t="s">
        <v>91</v>
      </c>
      <c r="C11" s="3">
        <v>87</v>
      </c>
      <c r="D11" s="24">
        <v>653.29999999999995</v>
      </c>
      <c r="E11" s="3">
        <v>78</v>
      </c>
      <c r="F11" s="24">
        <v>54.42</v>
      </c>
      <c r="G11" s="24">
        <f>F11*1000*پارامترها!$B$16</f>
        <v>1632.6</v>
      </c>
      <c r="H11" s="24">
        <f>IF(AND(D11&gt;0,F11&gt;0),D11/(F11*پارامترها!$B$16*12),"")</f>
        <v>33.346604597982761</v>
      </c>
      <c r="I11" s="3">
        <v>210</v>
      </c>
      <c r="J11" s="3">
        <v>210</v>
      </c>
    </row>
    <row r="12" spans="1:10" x14ac:dyDescent="0.2">
      <c r="A12" s="3">
        <v>930</v>
      </c>
      <c r="B12" s="3" t="s">
        <v>89</v>
      </c>
      <c r="C12" s="3">
        <v>13</v>
      </c>
      <c r="D12" s="24">
        <v>650</v>
      </c>
      <c r="E12" s="3">
        <v>21</v>
      </c>
      <c r="F12" s="24">
        <v>50</v>
      </c>
      <c r="G12" s="24">
        <f>F12*1000*پارامترها!$B$16</f>
        <v>1500</v>
      </c>
      <c r="H12" s="24">
        <f>IF(AND(D12&gt;0,F12&gt;0),D12/(F12*پارامترها!$B$16*12),"")</f>
        <v>36.111111111111114</v>
      </c>
      <c r="I12" s="3">
        <v>189</v>
      </c>
      <c r="J12" s="3">
        <v>153</v>
      </c>
    </row>
    <row r="13" spans="1:10" ht="16.5" x14ac:dyDescent="0.3">
      <c r="A13" s="3">
        <v>44</v>
      </c>
      <c r="B13" s="3" t="s">
        <v>95</v>
      </c>
      <c r="C13" s="3">
        <v>91</v>
      </c>
      <c r="D13" s="24">
        <v>646.9</v>
      </c>
      <c r="E13" s="3">
        <v>89</v>
      </c>
      <c r="F13" s="24">
        <v>54.96</v>
      </c>
      <c r="G13" s="24">
        <f>F13*1000*پارامترها!$B$16</f>
        <v>1648.8</v>
      </c>
      <c r="H13" s="24">
        <f>IF(AND(D13&gt;0,F13&gt;0),D13/(F13*پارامترها!$B$16*12),"")</f>
        <v>32.695495714054658</v>
      </c>
      <c r="I13" s="3">
        <v>175</v>
      </c>
      <c r="J13" s="3">
        <v>210</v>
      </c>
    </row>
    <row r="14" spans="1:10" x14ac:dyDescent="0.2">
      <c r="A14" s="3">
        <v>78</v>
      </c>
      <c r="B14" s="3" t="s">
        <v>550</v>
      </c>
      <c r="C14" s="3">
        <v>90</v>
      </c>
      <c r="D14" s="24">
        <v>643.6</v>
      </c>
      <c r="E14" s="3">
        <v>85</v>
      </c>
      <c r="F14" s="24">
        <v>50</v>
      </c>
      <c r="G14" s="24">
        <f>F14*1000*پارامترها!$B$16</f>
        <v>1500</v>
      </c>
      <c r="H14" s="24">
        <f>IF(AND(D14&gt;0,F14&gt;0),D14/(F14*پارامترها!$B$16*12),"")</f>
        <v>35.75555555555556</v>
      </c>
      <c r="I14" s="3">
        <v>146</v>
      </c>
      <c r="J14" s="3">
        <v>135</v>
      </c>
    </row>
    <row r="15" spans="1:10" ht="16.5" x14ac:dyDescent="0.3">
      <c r="A15" s="3">
        <v>45</v>
      </c>
      <c r="B15" s="3" t="s">
        <v>97</v>
      </c>
      <c r="C15" s="3">
        <v>86</v>
      </c>
      <c r="D15" s="24">
        <v>636.79999999999995</v>
      </c>
      <c r="E15" s="3">
        <v>80</v>
      </c>
      <c r="F15" s="24">
        <v>57.14</v>
      </c>
      <c r="G15" s="24">
        <f>F15*1000*پارامترها!$B$16</f>
        <v>1714.2</v>
      </c>
      <c r="H15" s="24">
        <f>IF(AND(D15&gt;0,F15&gt;0),D15/(F15*پارامترها!$B$16*12),"")</f>
        <v>30.957103410726091</v>
      </c>
      <c r="I15" s="3">
        <v>175</v>
      </c>
      <c r="J15" s="3">
        <v>187.5</v>
      </c>
    </row>
    <row r="16" spans="1:10" x14ac:dyDescent="0.2">
      <c r="A16" s="3">
        <v>66</v>
      </c>
      <c r="B16" s="3" t="s">
        <v>98</v>
      </c>
      <c r="C16" s="3">
        <v>88</v>
      </c>
      <c r="D16" s="24">
        <v>608.79999999999995</v>
      </c>
      <c r="E16" s="3">
        <v>88</v>
      </c>
      <c r="F16" s="24">
        <v>46.76</v>
      </c>
      <c r="G16" s="24">
        <f>F16*1000*پارامترها!$B$16</f>
        <v>1402.8</v>
      </c>
      <c r="H16" s="24">
        <f>IF(AND(D16&gt;0,F16&gt;0),D16/(F16*پارامترها!$B$16*12),"")</f>
        <v>36.165763710673893</v>
      </c>
      <c r="I16" s="3">
        <v>160</v>
      </c>
      <c r="J16" s="3">
        <v>120</v>
      </c>
    </row>
    <row r="17" spans="1:10" x14ac:dyDescent="0.2">
      <c r="A17" s="3">
        <v>40</v>
      </c>
      <c r="B17" s="3" t="s">
        <v>551</v>
      </c>
      <c r="C17" s="3">
        <v>89</v>
      </c>
      <c r="D17" s="24">
        <v>605.29999999999995</v>
      </c>
      <c r="E17" s="3">
        <v>94</v>
      </c>
      <c r="F17" s="24">
        <v>48.15</v>
      </c>
      <c r="G17" s="24">
        <f>F17*1000*پارامترها!$B$16</f>
        <v>1444.5</v>
      </c>
      <c r="H17" s="24">
        <f>IF(AND(D17&gt;0,F17&gt;0),D17/(F17*پارامترها!$B$16*12),"")</f>
        <v>34.919810776508591</v>
      </c>
      <c r="I17" s="3">
        <v>170.5</v>
      </c>
      <c r="J17" s="3">
        <v>160</v>
      </c>
    </row>
    <row r="18" spans="1:10" x14ac:dyDescent="0.2">
      <c r="A18" s="3">
        <v>43</v>
      </c>
      <c r="B18" s="3" t="s">
        <v>99</v>
      </c>
      <c r="C18" s="3">
        <v>90</v>
      </c>
      <c r="D18" s="24">
        <v>595.9</v>
      </c>
      <c r="E18" s="3">
        <v>88</v>
      </c>
      <c r="F18" s="24">
        <v>49.1</v>
      </c>
      <c r="G18" s="24">
        <f>F18*1000*پارامترها!$B$16</f>
        <v>1473</v>
      </c>
      <c r="H18" s="24">
        <f>IF(AND(D18&gt;0,F18&gt;0),D18/(F18*پارامترها!$B$16*12),"")</f>
        <v>33.712378366146183</v>
      </c>
      <c r="I18" s="3">
        <v>175</v>
      </c>
      <c r="J18" s="3">
        <v>140</v>
      </c>
    </row>
    <row r="19" spans="1:10" x14ac:dyDescent="0.2">
      <c r="A19" s="3">
        <v>927</v>
      </c>
      <c r="B19" s="3" t="s">
        <v>125</v>
      </c>
      <c r="C19" s="3">
        <v>90</v>
      </c>
      <c r="D19" s="24">
        <v>595.70000000000005</v>
      </c>
      <c r="E19" s="3">
        <v>91</v>
      </c>
      <c r="F19" s="24">
        <v>41.03</v>
      </c>
      <c r="G19" s="24">
        <f>F19*1000*پارامترها!$B$16</f>
        <v>1230.8999999999999</v>
      </c>
      <c r="H19" s="24">
        <f>IF(AND(D19&gt;0,F19&gt;0),D19/(F19*پارامترها!$B$16*12),"")</f>
        <v>40.329569149944497</v>
      </c>
      <c r="I19" s="3">
        <v>140</v>
      </c>
      <c r="J19" s="3">
        <v>130</v>
      </c>
    </row>
    <row r="20" spans="1:10" x14ac:dyDescent="0.2">
      <c r="A20" s="3">
        <v>48</v>
      </c>
      <c r="B20" s="3" t="s">
        <v>482</v>
      </c>
      <c r="C20" s="3">
        <v>89</v>
      </c>
      <c r="D20" s="24">
        <v>574.4</v>
      </c>
      <c r="E20" s="3">
        <v>92</v>
      </c>
      <c r="F20" s="24">
        <v>50.84</v>
      </c>
      <c r="G20" s="24">
        <f>F20*1000*پارامترها!$B$16</f>
        <v>1525.2</v>
      </c>
      <c r="H20" s="24">
        <f>IF(AND(D20&gt;0,F20&gt;0),D20/(F20*پارامترها!$B$16*12),"")</f>
        <v>31.383862225719028</v>
      </c>
      <c r="I20" s="3">
        <v>200</v>
      </c>
      <c r="J20" s="3">
        <v>165</v>
      </c>
    </row>
    <row r="21" spans="1:10" x14ac:dyDescent="0.2">
      <c r="A21" s="3">
        <v>65</v>
      </c>
      <c r="B21" s="3" t="s">
        <v>100</v>
      </c>
      <c r="C21" s="3">
        <v>89</v>
      </c>
      <c r="D21" s="24">
        <v>562.5</v>
      </c>
      <c r="E21" s="3">
        <v>89</v>
      </c>
      <c r="F21" s="24">
        <v>46.38</v>
      </c>
      <c r="G21" s="24">
        <f>F21*1000*پارامترها!$B$16</f>
        <v>1391.3999999999999</v>
      </c>
      <c r="H21" s="24">
        <f>IF(AND(D21&gt;0,F21&gt;0),D21/(F21*پارامترها!$B$16*12),"")</f>
        <v>33.689090125053902</v>
      </c>
      <c r="I21" s="3">
        <v>150</v>
      </c>
      <c r="J21" s="3">
        <v>130</v>
      </c>
    </row>
    <row r="22" spans="1:10" x14ac:dyDescent="0.2">
      <c r="A22" s="3">
        <v>67</v>
      </c>
      <c r="B22" s="3" t="s">
        <v>168</v>
      </c>
      <c r="C22" s="3">
        <v>93</v>
      </c>
      <c r="D22" s="24">
        <v>548.1</v>
      </c>
      <c r="E22" s="3">
        <v>91</v>
      </c>
      <c r="F22" s="24">
        <v>52.09</v>
      </c>
      <c r="G22" s="24">
        <f>F22*1000*پارامترها!$B$16</f>
        <v>1562.7</v>
      </c>
      <c r="H22" s="24">
        <f>IF(AND(D22&gt;0,F22&gt;0),D22/(F22*پارامترها!$B$16*12),"")</f>
        <v>29.228258782875791</v>
      </c>
      <c r="I22" s="3">
        <v>150</v>
      </c>
      <c r="J22" s="3">
        <v>180</v>
      </c>
    </row>
    <row r="23" spans="1:10" x14ac:dyDescent="0.2">
      <c r="A23" s="3">
        <v>61</v>
      </c>
      <c r="B23" s="3" t="s">
        <v>101</v>
      </c>
      <c r="C23" s="3">
        <v>82</v>
      </c>
      <c r="D23" s="24">
        <v>546.9</v>
      </c>
      <c r="E23" s="3">
        <v>58</v>
      </c>
      <c r="F23" s="24">
        <v>39.79</v>
      </c>
      <c r="G23" s="24">
        <f>F23*1000*پارامترها!$B$16</f>
        <v>1193.7</v>
      </c>
      <c r="H23" s="24">
        <f>IF(AND(D23&gt;0,F23&gt;0),D23/(F23*پارامترها!$B$16*12),"")</f>
        <v>38.179609617156736</v>
      </c>
      <c r="I23" s="3">
        <v>131</v>
      </c>
      <c r="J23" s="3">
        <v>140</v>
      </c>
    </row>
    <row r="24" spans="1:10" x14ac:dyDescent="0.2">
      <c r="A24" s="3">
        <v>138</v>
      </c>
      <c r="B24" s="3" t="s">
        <v>552</v>
      </c>
      <c r="C24" s="3">
        <v>87</v>
      </c>
      <c r="D24" s="24">
        <v>520.79999999999995</v>
      </c>
      <c r="E24" s="3">
        <v>88</v>
      </c>
      <c r="F24" s="24">
        <v>44.74</v>
      </c>
      <c r="G24" s="24">
        <f>F24*1000*پارامترها!$B$16</f>
        <v>1342.2</v>
      </c>
      <c r="H24" s="24">
        <f>IF(AND(D24&gt;0,F24&gt;0),D24/(F24*پارامترها!$B$16*12),"")</f>
        <v>32.334972433318427</v>
      </c>
      <c r="I24" s="3">
        <v>162.5</v>
      </c>
      <c r="J24" s="3">
        <v>165</v>
      </c>
    </row>
    <row r="25" spans="1:10" x14ac:dyDescent="0.2">
      <c r="A25" s="3">
        <v>931</v>
      </c>
      <c r="B25" s="3" t="s">
        <v>108</v>
      </c>
      <c r="C25" s="3">
        <v>91</v>
      </c>
      <c r="D25" s="24">
        <v>520</v>
      </c>
      <c r="E25" s="3">
        <v>91</v>
      </c>
      <c r="F25" s="24">
        <v>45.83</v>
      </c>
      <c r="G25" s="24">
        <f>F25*1000*پارامترها!$B$16</f>
        <v>1374.8999999999999</v>
      </c>
      <c r="H25" s="24">
        <f>IF(AND(D25&gt;0,F25&gt;0),D25/(F25*پارامترها!$B$16*12),"")</f>
        <v>31.517443692874643</v>
      </c>
      <c r="I25" s="3">
        <v>130</v>
      </c>
      <c r="J25" s="3">
        <v>120</v>
      </c>
    </row>
    <row r="26" spans="1:10" x14ac:dyDescent="0.2">
      <c r="A26" s="3">
        <v>929</v>
      </c>
      <c r="B26" s="3" t="s">
        <v>127</v>
      </c>
      <c r="C26" s="3">
        <v>93</v>
      </c>
      <c r="D26" s="24">
        <v>503.6</v>
      </c>
      <c r="E26" s="3">
        <v>89</v>
      </c>
      <c r="F26" s="24">
        <v>40</v>
      </c>
      <c r="G26" s="24">
        <f>F26*1000*پارامترها!$B$16</f>
        <v>1200</v>
      </c>
      <c r="H26" s="24">
        <f>IF(AND(D26&gt;0,F26&gt;0),D26/(F26*پارامترها!$B$16*12),"")</f>
        <v>34.972222222222229</v>
      </c>
      <c r="I26" s="3">
        <v>135</v>
      </c>
      <c r="J26" s="3">
        <v>130</v>
      </c>
    </row>
    <row r="27" spans="1:10" x14ac:dyDescent="0.2">
      <c r="A27" s="3">
        <v>87</v>
      </c>
      <c r="B27" s="3" t="s">
        <v>162</v>
      </c>
      <c r="C27" s="3">
        <v>5</v>
      </c>
      <c r="D27" s="24">
        <v>500</v>
      </c>
      <c r="E27" s="3">
        <v>8</v>
      </c>
      <c r="F27" s="24">
        <v>37.92</v>
      </c>
      <c r="G27" s="24">
        <f>F27*1000*پارامترها!$B$16</f>
        <v>1137.5999999999999</v>
      </c>
      <c r="H27" s="24">
        <f>IF(AND(D27&gt;0,F27&gt;0),D27/(F27*پارامترها!$B$16*12),"")</f>
        <v>36.62681669010783</v>
      </c>
      <c r="I27" s="3">
        <v>113</v>
      </c>
      <c r="J27" s="3">
        <v>125.5</v>
      </c>
    </row>
    <row r="28" spans="1:10" x14ac:dyDescent="0.2">
      <c r="A28" s="3">
        <v>924</v>
      </c>
      <c r="B28" s="3" t="s">
        <v>553</v>
      </c>
      <c r="C28" s="3">
        <v>11</v>
      </c>
      <c r="D28" s="24">
        <v>487.5</v>
      </c>
      <c r="E28" s="3">
        <v>28</v>
      </c>
      <c r="F28" s="24">
        <v>46.23</v>
      </c>
      <c r="G28" s="24">
        <f>F28*1000*پارامترها!$B$16</f>
        <v>1386.8999999999999</v>
      </c>
      <c r="H28" s="24">
        <f>IF(AND(D28&gt;0,F28&gt;0),D28/(F28*پارامترها!$B$16*12),"")</f>
        <v>29.291946066767615</v>
      </c>
      <c r="I28" s="3">
        <v>160</v>
      </c>
      <c r="J28" s="3">
        <v>101.5</v>
      </c>
    </row>
    <row r="29" spans="1:10" x14ac:dyDescent="0.2">
      <c r="A29" s="3">
        <v>74</v>
      </c>
      <c r="B29" s="3" t="s">
        <v>554</v>
      </c>
      <c r="C29" s="3">
        <v>89</v>
      </c>
      <c r="D29" s="24">
        <v>481.8</v>
      </c>
      <c r="E29" s="3">
        <v>89</v>
      </c>
      <c r="F29" s="24">
        <v>40.909999999999997</v>
      </c>
      <c r="G29" s="24">
        <f>F29*1000*پارامترها!$B$16</f>
        <v>1227.3</v>
      </c>
      <c r="H29" s="24">
        <f>IF(AND(D29&gt;0,F29&gt;0),D29/(F29*پارامترها!$B$16*12),"")</f>
        <v>32.714087835085152</v>
      </c>
      <c r="I29" s="3">
        <v>132</v>
      </c>
      <c r="J29" s="3">
        <v>125</v>
      </c>
    </row>
    <row r="30" spans="1:10" x14ac:dyDescent="0.2">
      <c r="A30" s="3">
        <v>923</v>
      </c>
      <c r="B30" s="3" t="s">
        <v>129</v>
      </c>
      <c r="C30" s="3">
        <v>60</v>
      </c>
      <c r="D30" s="24">
        <v>479.8</v>
      </c>
      <c r="E30" s="3">
        <v>37</v>
      </c>
      <c r="F30" s="24">
        <v>40</v>
      </c>
      <c r="G30" s="24">
        <f>F30*1000*پارامترها!$B$16</f>
        <v>1200</v>
      </c>
      <c r="H30" s="24">
        <f>IF(AND(D30&gt;0,F30&gt;0),D30/(F30*پارامترها!$B$16*12),"")</f>
        <v>33.31944444444445</v>
      </c>
      <c r="I30" s="3">
        <v>135</v>
      </c>
      <c r="J30" s="3">
        <v>125</v>
      </c>
    </row>
    <row r="31" spans="1:10" x14ac:dyDescent="0.2">
      <c r="A31" s="3">
        <v>81</v>
      </c>
      <c r="B31" s="3" t="s">
        <v>555</v>
      </c>
      <c r="C31" s="3">
        <v>10</v>
      </c>
      <c r="D31" s="24">
        <v>479.8</v>
      </c>
      <c r="E31" s="3">
        <v>15</v>
      </c>
      <c r="F31" s="24">
        <v>31.86</v>
      </c>
      <c r="G31" s="24">
        <f>F31*1000*پارامترها!$B$16</f>
        <v>955.8</v>
      </c>
      <c r="H31" s="24">
        <f>IF(AND(D31&gt;0,F31&gt;0),D31/(F31*پارامترها!$B$16*12),"")</f>
        <v>41.832321964148711</v>
      </c>
      <c r="I31" s="3">
        <v>125</v>
      </c>
      <c r="J31" s="3">
        <v>100</v>
      </c>
    </row>
    <row r="32" spans="1:10" x14ac:dyDescent="0.2">
      <c r="A32" s="3">
        <v>315</v>
      </c>
      <c r="B32" s="3" t="s">
        <v>156</v>
      </c>
      <c r="C32" s="3">
        <v>86</v>
      </c>
      <c r="D32" s="24">
        <v>479.5</v>
      </c>
      <c r="E32" s="3">
        <v>82</v>
      </c>
      <c r="F32" s="24">
        <v>43.79</v>
      </c>
      <c r="G32" s="24">
        <f>F32*1000*پارامترها!$B$16</f>
        <v>1313.7</v>
      </c>
      <c r="H32" s="24">
        <f>IF(AND(D32&gt;0,F32&gt;0),D32/(F32*پارامترها!$B$16*12),"")</f>
        <v>30.416634949633355</v>
      </c>
      <c r="I32" s="3">
        <v>172.5</v>
      </c>
      <c r="J32" s="3">
        <v>141</v>
      </c>
    </row>
    <row r="33" spans="1:10" x14ac:dyDescent="0.2">
      <c r="A33" s="3">
        <v>88</v>
      </c>
      <c r="B33" s="3" t="s">
        <v>131</v>
      </c>
      <c r="C33" s="3">
        <v>95</v>
      </c>
      <c r="D33" s="24">
        <v>473.2</v>
      </c>
      <c r="E33" s="3">
        <v>91</v>
      </c>
      <c r="F33" s="24">
        <v>41.25</v>
      </c>
      <c r="G33" s="24">
        <f>F33*1000*پارامترها!$B$16</f>
        <v>1237.5</v>
      </c>
      <c r="H33" s="24">
        <f>IF(AND(D33&gt;0,F33&gt;0),D33/(F33*پارامترها!$B$16*12),"")</f>
        <v>31.865319865319861</v>
      </c>
      <c r="I33" s="3">
        <v>95</v>
      </c>
      <c r="J33" s="3">
        <v>100</v>
      </c>
    </row>
    <row r="34" spans="1:10" x14ac:dyDescent="0.2">
      <c r="A34" s="3">
        <v>63</v>
      </c>
      <c r="B34" s="3" t="s">
        <v>109</v>
      </c>
      <c r="C34" s="3">
        <v>78</v>
      </c>
      <c r="D34" s="24">
        <v>470.1</v>
      </c>
      <c r="E34" s="3">
        <v>61</v>
      </c>
      <c r="F34" s="24">
        <v>38.46</v>
      </c>
      <c r="G34" s="24">
        <f>F34*1000*پارامترها!$B$16</f>
        <v>1153.8</v>
      </c>
      <c r="H34" s="24">
        <f>IF(AND(D34&gt;0,F34&gt;0),D34/(F34*پارامترها!$B$16*12),"")</f>
        <v>33.95302478765818</v>
      </c>
      <c r="I34" s="3">
        <v>135</v>
      </c>
      <c r="J34" s="3">
        <v>112</v>
      </c>
    </row>
    <row r="35" spans="1:10" x14ac:dyDescent="0.2">
      <c r="A35" s="3">
        <v>360</v>
      </c>
      <c r="B35" s="3" t="s">
        <v>155</v>
      </c>
      <c r="C35" s="3">
        <v>93</v>
      </c>
      <c r="D35" s="24">
        <v>464.3</v>
      </c>
      <c r="E35" s="3">
        <v>88</v>
      </c>
      <c r="F35" s="24">
        <v>37</v>
      </c>
      <c r="G35" s="24">
        <f>F35*1000*پارامترها!$B$16</f>
        <v>1110</v>
      </c>
      <c r="H35" s="24">
        <f>IF(AND(D35&gt;0,F35&gt;0),D35/(F35*پارامترها!$B$16*12),"")</f>
        <v>34.857357357357365</v>
      </c>
      <c r="I35" s="3">
        <v>140</v>
      </c>
      <c r="J35" s="3">
        <v>160</v>
      </c>
    </row>
    <row r="36" spans="1:10" ht="16.5" x14ac:dyDescent="0.3">
      <c r="A36" s="3">
        <v>934</v>
      </c>
      <c r="B36" s="3" t="s">
        <v>235</v>
      </c>
      <c r="C36" s="3">
        <v>90</v>
      </c>
      <c r="D36" s="24">
        <v>453.1</v>
      </c>
      <c r="E36" s="3">
        <v>48</v>
      </c>
      <c r="F36" s="24">
        <v>27.43</v>
      </c>
      <c r="G36" s="24">
        <f>F36*1000*پارامترها!$B$16</f>
        <v>822.9</v>
      </c>
      <c r="H36" s="24">
        <f>IF(AND(D36&gt;0,F36&gt;0),D36/(F36*پارامترها!$B$16*12),"")</f>
        <v>45.884473609592092</v>
      </c>
      <c r="I36" s="3">
        <v>135</v>
      </c>
      <c r="J36" s="3">
        <v>140</v>
      </c>
    </row>
    <row r="37" spans="1:10" x14ac:dyDescent="0.2">
      <c r="A37" s="3">
        <v>68</v>
      </c>
      <c r="B37" s="3" t="s">
        <v>157</v>
      </c>
      <c r="C37" s="3">
        <v>91</v>
      </c>
      <c r="D37" s="24">
        <v>450</v>
      </c>
      <c r="E37" s="3">
        <v>93</v>
      </c>
      <c r="F37" s="24">
        <v>39.520000000000003</v>
      </c>
      <c r="G37" s="24">
        <f>F37*1000*پارامترها!$B$16</f>
        <v>1185.5999999999999</v>
      </c>
      <c r="H37" s="24">
        <f>IF(AND(D37&gt;0,F37&gt;0),D37/(F37*پارامترها!$B$16*12),"")</f>
        <v>31.629554655870447</v>
      </c>
      <c r="I37" s="3">
        <v>127</v>
      </c>
      <c r="J37" s="3">
        <v>120</v>
      </c>
    </row>
    <row r="38" spans="1:10" x14ac:dyDescent="0.2">
      <c r="A38" s="3">
        <v>72</v>
      </c>
      <c r="B38" s="3" t="s">
        <v>556</v>
      </c>
      <c r="C38" s="3">
        <v>91</v>
      </c>
      <c r="D38" s="24">
        <v>450</v>
      </c>
      <c r="E38" s="3">
        <v>89</v>
      </c>
      <c r="F38" s="24">
        <v>35</v>
      </c>
      <c r="G38" s="24">
        <f>F38*1000*پارامترها!$B$16</f>
        <v>1050</v>
      </c>
      <c r="H38" s="24">
        <f>IF(AND(D38&gt;0,F38&gt;0),D38/(F38*پارامترها!$B$16*12),"")</f>
        <v>35.714285714285708</v>
      </c>
      <c r="I38" s="3">
        <v>115</v>
      </c>
      <c r="J38" s="3">
        <v>110</v>
      </c>
    </row>
    <row r="39" spans="1:10" x14ac:dyDescent="0.2">
      <c r="A39" s="3">
        <v>941</v>
      </c>
      <c r="B39" s="3" t="s">
        <v>154</v>
      </c>
      <c r="C39" s="3">
        <v>92</v>
      </c>
      <c r="D39" s="24">
        <v>450</v>
      </c>
      <c r="E39" s="3">
        <v>91</v>
      </c>
      <c r="F39" s="24">
        <v>42.22</v>
      </c>
      <c r="G39" s="24">
        <f>F39*1000*پارامترها!$B$16</f>
        <v>1266.5999999999999</v>
      </c>
      <c r="H39" s="24">
        <f>IF(AND(D39&gt;0,F39&gt;0),D39/(F39*پارامترها!$B$16*12),"")</f>
        <v>29.606821411653247</v>
      </c>
      <c r="I39" s="3">
        <v>120</v>
      </c>
      <c r="J39" s="3">
        <v>130</v>
      </c>
    </row>
    <row r="40" spans="1:10" x14ac:dyDescent="0.2">
      <c r="A40" s="3">
        <v>90</v>
      </c>
      <c r="B40" s="3" t="s">
        <v>233</v>
      </c>
      <c r="C40" s="3">
        <v>90</v>
      </c>
      <c r="D40" s="24">
        <v>450</v>
      </c>
      <c r="E40" s="3">
        <v>95</v>
      </c>
      <c r="F40" s="24">
        <v>38.1</v>
      </c>
      <c r="G40" s="24">
        <f>F40*1000*پارامترها!$B$16</f>
        <v>1143</v>
      </c>
      <c r="H40" s="24">
        <f>IF(AND(D40&gt;0,F40&gt;0),D40/(F40*پارامترها!$B$16*12),"")</f>
        <v>32.808398950131235</v>
      </c>
      <c r="I40" s="3">
        <v>115</v>
      </c>
      <c r="J40" s="3">
        <v>105</v>
      </c>
    </row>
    <row r="41" spans="1:10" x14ac:dyDescent="0.2">
      <c r="A41" s="3">
        <v>939</v>
      </c>
      <c r="B41" s="3" t="s">
        <v>253</v>
      </c>
      <c r="C41" s="3">
        <v>94</v>
      </c>
      <c r="D41" s="24">
        <v>446.9</v>
      </c>
      <c r="E41" s="3">
        <v>89</v>
      </c>
      <c r="F41" s="24">
        <v>40</v>
      </c>
      <c r="G41" s="24">
        <f>F41*1000*پارامترها!$B$16</f>
        <v>1200</v>
      </c>
      <c r="H41" s="24">
        <f>IF(AND(D41&gt;0,F41&gt;0),D41/(F41*پارامترها!$B$16*12),"")</f>
        <v>31.034722222222225</v>
      </c>
      <c r="I41" s="3">
        <v>121.5</v>
      </c>
      <c r="J41" s="3">
        <v>118</v>
      </c>
    </row>
    <row r="42" spans="1:10" x14ac:dyDescent="0.2">
      <c r="A42" s="3">
        <v>940</v>
      </c>
      <c r="B42" s="3" t="s">
        <v>158</v>
      </c>
      <c r="C42" s="3">
        <v>93</v>
      </c>
      <c r="D42" s="24">
        <v>443</v>
      </c>
      <c r="E42" s="3">
        <v>92</v>
      </c>
      <c r="F42" s="24">
        <v>38.33</v>
      </c>
      <c r="G42" s="24">
        <f>F42*1000*پارامترها!$B$16</f>
        <v>1149.8999999999999</v>
      </c>
      <c r="H42" s="24">
        <f>IF(AND(D42&gt;0,F42&gt;0),D42/(F42*پارامترها!$B$16*12),"")</f>
        <v>32.104240948488275</v>
      </c>
      <c r="I42" s="3">
        <v>142</v>
      </c>
      <c r="J42" s="3">
        <v>115</v>
      </c>
    </row>
    <row r="43" spans="1:10" x14ac:dyDescent="0.2">
      <c r="A43" s="3">
        <v>926</v>
      </c>
      <c r="B43" s="3" t="s">
        <v>557</v>
      </c>
      <c r="C43" s="3">
        <v>87</v>
      </c>
      <c r="D43" s="24">
        <v>440.9</v>
      </c>
      <c r="E43" s="3">
        <v>87</v>
      </c>
      <c r="F43" s="24">
        <v>40</v>
      </c>
      <c r="G43" s="24">
        <f>F43*1000*پارامترها!$B$16</f>
        <v>1200</v>
      </c>
      <c r="H43" s="24">
        <f>IF(AND(D43&gt;0,F43&gt;0),D43/(F43*پارامترها!$B$16*12),"")</f>
        <v>30.618055555555557</v>
      </c>
      <c r="I43" s="3">
        <v>129</v>
      </c>
      <c r="J43" s="3">
        <v>114</v>
      </c>
    </row>
    <row r="44" spans="1:10" x14ac:dyDescent="0.2">
      <c r="A44" s="3">
        <v>86</v>
      </c>
      <c r="B44" s="3" t="s">
        <v>558</v>
      </c>
      <c r="C44" s="3">
        <v>84</v>
      </c>
      <c r="D44" s="24">
        <v>438.9</v>
      </c>
      <c r="E44" s="3">
        <v>86</v>
      </c>
      <c r="F44" s="24">
        <v>39.11</v>
      </c>
      <c r="G44" s="24">
        <f>F44*1000*پارامترها!$B$16</f>
        <v>1173.3</v>
      </c>
      <c r="H44" s="24">
        <f>IF(AND(D44&gt;0,F44&gt;0),D44/(F44*پارامترها!$B$16*12),"")</f>
        <v>31.172760589789483</v>
      </c>
      <c r="I44" s="3">
        <v>138</v>
      </c>
      <c r="J44" s="3">
        <v>145</v>
      </c>
    </row>
    <row r="45" spans="1:10" x14ac:dyDescent="0.2">
      <c r="A45" s="3">
        <v>91</v>
      </c>
      <c r="B45" s="3" t="s">
        <v>236</v>
      </c>
      <c r="C45" s="3">
        <v>94</v>
      </c>
      <c r="D45" s="24">
        <v>434.7</v>
      </c>
      <c r="E45" s="3">
        <v>87</v>
      </c>
      <c r="F45" s="24">
        <v>35.090000000000003</v>
      </c>
      <c r="G45" s="24">
        <f>F45*1000*پارامترها!$B$16</f>
        <v>1052.7</v>
      </c>
      <c r="H45" s="24">
        <f>IF(AND(D45&gt;0,F45&gt;0),D45/(F45*پارامترها!$B$16*12),"")</f>
        <v>34.411513251638638</v>
      </c>
      <c r="I45" s="3">
        <v>122.5</v>
      </c>
      <c r="J45" s="3">
        <v>115</v>
      </c>
    </row>
    <row r="46" spans="1:10" x14ac:dyDescent="0.2">
      <c r="A46" s="3">
        <v>50</v>
      </c>
      <c r="B46" s="3" t="s">
        <v>114</v>
      </c>
      <c r="C46" s="3">
        <v>29</v>
      </c>
      <c r="D46" s="24">
        <v>428.2</v>
      </c>
      <c r="E46" s="3">
        <v>21</v>
      </c>
      <c r="F46" s="24">
        <v>30</v>
      </c>
      <c r="G46" s="24">
        <f>F46*1000*پارامترها!$B$16</f>
        <v>900</v>
      </c>
      <c r="H46" s="24">
        <f>IF(AND(D46&gt;0,F46&gt;0),D46/(F46*پارامترها!$B$16*12),"")</f>
        <v>39.648148148148152</v>
      </c>
      <c r="I46" s="3">
        <v>110</v>
      </c>
      <c r="J46" s="3">
        <v>105</v>
      </c>
    </row>
    <row r="47" spans="1:10" x14ac:dyDescent="0.2">
      <c r="A47" s="3">
        <v>925</v>
      </c>
      <c r="B47" s="3" t="s">
        <v>132</v>
      </c>
      <c r="C47" s="3">
        <v>89</v>
      </c>
      <c r="D47" s="24">
        <v>427.3</v>
      </c>
      <c r="E47" s="3">
        <v>90</v>
      </c>
      <c r="F47" s="24">
        <v>36.36</v>
      </c>
      <c r="G47" s="24">
        <f>F47*1000*پارامترها!$B$16</f>
        <v>1090.8</v>
      </c>
      <c r="H47" s="24">
        <f>IF(AND(D47&gt;0,F47&gt;0),D47/(F47*پارامترها!$B$16*12),"")</f>
        <v>32.644236645886807</v>
      </c>
      <c r="I47" s="3">
        <v>110</v>
      </c>
      <c r="J47" s="3">
        <v>110</v>
      </c>
    </row>
    <row r="48" spans="1:10" x14ac:dyDescent="0.2">
      <c r="A48" s="3">
        <v>54</v>
      </c>
      <c r="B48" s="3" t="s">
        <v>112</v>
      </c>
      <c r="C48" s="3">
        <v>46</v>
      </c>
      <c r="D48" s="24">
        <v>423.5</v>
      </c>
      <c r="E48" s="3">
        <v>63</v>
      </c>
      <c r="F48" s="24">
        <v>34.619999999999997</v>
      </c>
      <c r="G48" s="24">
        <f>F48*1000*پارامترها!$B$16</f>
        <v>1038.5999999999999</v>
      </c>
      <c r="H48" s="24">
        <f>IF(AND(D48&gt;0,F48&gt;0),D48/(F48*پارامترها!$B$16*12),"")</f>
        <v>33.980037229603951</v>
      </c>
      <c r="I48" s="3">
        <v>119</v>
      </c>
      <c r="J48" s="3">
        <v>130</v>
      </c>
    </row>
    <row r="49" spans="1:10" ht="16.5" x14ac:dyDescent="0.3">
      <c r="A49" s="3">
        <v>49</v>
      </c>
      <c r="B49" s="3" t="s">
        <v>117</v>
      </c>
      <c r="C49" s="3">
        <v>80</v>
      </c>
      <c r="D49" s="24">
        <v>423.1</v>
      </c>
      <c r="E49" s="3">
        <v>85</v>
      </c>
      <c r="F49" s="24">
        <v>35.56</v>
      </c>
      <c r="G49" s="24">
        <f>F49*1000*پارامترها!$B$16</f>
        <v>1066.8</v>
      </c>
      <c r="H49" s="24">
        <f>IF(AND(D49&gt;0,F49&gt;0),D49/(F49*پارامترها!$B$16*12),"")</f>
        <v>33.050556180477443</v>
      </c>
      <c r="I49" s="3">
        <v>120</v>
      </c>
      <c r="J49" s="3">
        <v>107</v>
      </c>
    </row>
    <row r="50" spans="1:10" x14ac:dyDescent="0.2">
      <c r="A50" s="3">
        <v>93</v>
      </c>
      <c r="B50" s="3" t="s">
        <v>330</v>
      </c>
      <c r="C50" s="3">
        <v>3</v>
      </c>
      <c r="D50" s="24">
        <v>423.1</v>
      </c>
      <c r="E50" s="3">
        <v>2</v>
      </c>
      <c r="F50" s="24">
        <v>32.53</v>
      </c>
      <c r="G50" s="24">
        <f>F50*1000*پارامترها!$B$16</f>
        <v>975.9</v>
      </c>
      <c r="H50" s="24">
        <f>IF(AND(D50&gt;0,F50&gt;0),D50/(F50*پارامترها!$B$16*12),"")</f>
        <v>36.129043276291974</v>
      </c>
      <c r="I50" s="3">
        <v>50</v>
      </c>
      <c r="J50" s="3">
        <v>50</v>
      </c>
    </row>
    <row r="51" spans="1:10" x14ac:dyDescent="0.2">
      <c r="A51" s="3">
        <v>70</v>
      </c>
      <c r="B51" s="3" t="s">
        <v>161</v>
      </c>
      <c r="C51" s="3">
        <v>91</v>
      </c>
      <c r="D51" s="24">
        <v>422.2</v>
      </c>
      <c r="E51" s="3">
        <v>91</v>
      </c>
      <c r="F51" s="24">
        <v>38.75</v>
      </c>
      <c r="G51" s="24">
        <f>F51*1000*پارامترها!$B$16</f>
        <v>1162.5</v>
      </c>
      <c r="H51" s="24">
        <f>IF(AND(D51&gt;0,F51&gt;0),D51/(F51*پارامترها!$B$16*12),"")</f>
        <v>30.265232974910393</v>
      </c>
      <c r="I51" s="3">
        <v>122</v>
      </c>
      <c r="J51" s="3">
        <v>110</v>
      </c>
    </row>
    <row r="52" spans="1:10" x14ac:dyDescent="0.2">
      <c r="A52" s="3">
        <v>932</v>
      </c>
      <c r="B52" s="3" t="s">
        <v>237</v>
      </c>
      <c r="C52" s="3">
        <v>71</v>
      </c>
      <c r="D52" s="24">
        <v>420</v>
      </c>
      <c r="E52" s="3">
        <v>22</v>
      </c>
      <c r="F52" s="24">
        <v>31.69</v>
      </c>
      <c r="G52" s="24">
        <f>F52*1000*پارامترها!$B$16</f>
        <v>950.69999999999993</v>
      </c>
      <c r="H52" s="24">
        <f>IF(AND(D52&gt;0,F52&gt;0),D52/(F52*پارامترها!$B$16*12),"")</f>
        <v>36.814978436941203</v>
      </c>
      <c r="I52" s="3">
        <v>130</v>
      </c>
      <c r="J52" s="3">
        <v>155</v>
      </c>
    </row>
    <row r="53" spans="1:10" x14ac:dyDescent="0.2">
      <c r="A53" s="3">
        <v>1024</v>
      </c>
      <c r="B53" s="3" t="s">
        <v>559</v>
      </c>
      <c r="C53" s="3">
        <v>86</v>
      </c>
      <c r="D53" s="24">
        <v>417</v>
      </c>
      <c r="E53" s="3">
        <v>93</v>
      </c>
      <c r="F53" s="24">
        <v>39.06</v>
      </c>
      <c r="G53" s="24">
        <f>F53*1000*پارامترها!$B$16</f>
        <v>1171.8</v>
      </c>
      <c r="H53" s="24">
        <f>IF(AND(D53&gt;0,F53&gt;0),D53/(F53*پارامترها!$B$16*12),"")</f>
        <v>29.655231268134497</v>
      </c>
      <c r="I53" s="3">
        <v>133</v>
      </c>
      <c r="J53" s="3">
        <v>135</v>
      </c>
    </row>
    <row r="54" spans="1:10" x14ac:dyDescent="0.2">
      <c r="A54" s="3">
        <v>933</v>
      </c>
      <c r="B54" s="3" t="s">
        <v>238</v>
      </c>
      <c r="C54" s="3">
        <v>90</v>
      </c>
      <c r="D54" s="24">
        <v>415.3</v>
      </c>
      <c r="E54" s="3">
        <v>73</v>
      </c>
      <c r="F54" s="24">
        <v>29.63</v>
      </c>
      <c r="G54" s="24">
        <f>F54*1000*پارامترها!$B$16</f>
        <v>888.9</v>
      </c>
      <c r="H54" s="24">
        <f>IF(AND(D54&gt;0,F54&gt;0),D54/(F54*پارامترها!$B$16*12),"")</f>
        <v>38.933888326395923</v>
      </c>
      <c r="I54" s="3">
        <v>109</v>
      </c>
      <c r="J54" s="3">
        <v>100</v>
      </c>
    </row>
    <row r="55" spans="1:10" x14ac:dyDescent="0.2">
      <c r="A55" s="3">
        <v>57</v>
      </c>
      <c r="B55" s="3" t="s">
        <v>111</v>
      </c>
      <c r="C55" s="3">
        <v>50</v>
      </c>
      <c r="D55" s="24">
        <v>412.5</v>
      </c>
      <c r="E55" s="3">
        <v>74</v>
      </c>
      <c r="F55" s="24">
        <v>40</v>
      </c>
      <c r="G55" s="24">
        <f>F55*1000*پارامترها!$B$16</f>
        <v>1200</v>
      </c>
      <c r="H55" s="24">
        <f>IF(AND(D55&gt;0,F55&gt;0),D55/(F55*پارامترها!$B$16*12),"")</f>
        <v>28.645833333333336</v>
      </c>
      <c r="I55" s="3">
        <v>115</v>
      </c>
      <c r="J55" s="3">
        <v>150</v>
      </c>
    </row>
    <row r="56" spans="1:10" x14ac:dyDescent="0.2">
      <c r="A56" s="3">
        <v>1035</v>
      </c>
      <c r="B56" s="3" t="s">
        <v>560</v>
      </c>
      <c r="C56" s="3">
        <v>36</v>
      </c>
      <c r="D56" s="24">
        <v>409.3</v>
      </c>
      <c r="E56" s="3">
        <v>37</v>
      </c>
      <c r="F56" s="24">
        <v>34.21</v>
      </c>
      <c r="G56" s="24">
        <f>F56*1000*پارامترها!$B$16</f>
        <v>1026.3</v>
      </c>
      <c r="H56" s="24">
        <f>IF(AND(D56&gt;0,F56&gt;0),D56/(F56*پارامترها!$B$16*12),"")</f>
        <v>33.234271980252686</v>
      </c>
      <c r="I56" s="3">
        <v>141</v>
      </c>
      <c r="J56" s="3">
        <v>138</v>
      </c>
    </row>
    <row r="57" spans="1:10" x14ac:dyDescent="0.2">
      <c r="A57" s="3">
        <v>139</v>
      </c>
      <c r="B57" s="3" t="s">
        <v>134</v>
      </c>
      <c r="C57" s="3">
        <v>89</v>
      </c>
      <c r="D57" s="24">
        <v>405.9</v>
      </c>
      <c r="E57" s="3">
        <v>93</v>
      </c>
      <c r="F57" s="24">
        <v>35</v>
      </c>
      <c r="G57" s="24">
        <f>F57*1000*پارامترها!$B$16</f>
        <v>1050</v>
      </c>
      <c r="H57" s="24">
        <f>IF(AND(D57&gt;0,F57&gt;0),D57/(F57*پارامترها!$B$16*12),"")</f>
        <v>32.214285714285708</v>
      </c>
      <c r="I57" s="3">
        <v>103</v>
      </c>
      <c r="J57" s="3">
        <v>102</v>
      </c>
    </row>
    <row r="58" spans="1:10" x14ac:dyDescent="0.2">
      <c r="A58" s="3">
        <v>84</v>
      </c>
      <c r="B58" s="3" t="s">
        <v>561</v>
      </c>
      <c r="C58" s="3">
        <v>89</v>
      </c>
      <c r="D58" s="24">
        <v>400</v>
      </c>
      <c r="E58" s="3">
        <v>87</v>
      </c>
      <c r="F58" s="24">
        <v>34.78</v>
      </c>
      <c r="G58" s="24">
        <f>F58*1000*پارامترها!$B$16</f>
        <v>1043.3999999999999</v>
      </c>
      <c r="H58" s="24">
        <f>IF(AND(D58&gt;0,F58&gt;0),D58/(F58*پارامترها!$B$16*12),"")</f>
        <v>31.946840457478753</v>
      </c>
      <c r="I58" s="3">
        <v>122.5</v>
      </c>
      <c r="J58" s="3">
        <v>100</v>
      </c>
    </row>
    <row r="59" spans="1:10" x14ac:dyDescent="0.2">
      <c r="A59" s="3">
        <v>53</v>
      </c>
      <c r="B59" s="3" t="s">
        <v>110</v>
      </c>
      <c r="C59" s="3">
        <v>86</v>
      </c>
      <c r="D59" s="24">
        <v>397.4</v>
      </c>
      <c r="E59" s="3">
        <v>91</v>
      </c>
      <c r="F59" s="24">
        <v>42.05</v>
      </c>
      <c r="G59" s="24">
        <f>F59*1000*پارامترها!$B$16</f>
        <v>1261.5</v>
      </c>
      <c r="H59" s="24">
        <f>IF(AND(D59&gt;0,F59&gt;0),D59/(F59*پارامترها!$B$16*12),"")</f>
        <v>26.251816620425423</v>
      </c>
      <c r="I59" s="3">
        <v>130</v>
      </c>
      <c r="J59" s="3">
        <v>125</v>
      </c>
    </row>
    <row r="60" spans="1:10" x14ac:dyDescent="0.2">
      <c r="A60" s="3">
        <v>58</v>
      </c>
      <c r="B60" s="3" t="s">
        <v>115</v>
      </c>
      <c r="C60" s="3">
        <v>50</v>
      </c>
      <c r="D60" s="24">
        <v>394.8</v>
      </c>
      <c r="E60" s="3">
        <v>55</v>
      </c>
      <c r="F60" s="24">
        <v>31.82</v>
      </c>
      <c r="G60" s="24">
        <f>F60*1000*پارامترها!$B$16</f>
        <v>954.59999999999991</v>
      </c>
      <c r="H60" s="24">
        <f>IF(AND(D60&gt;0,F60&gt;0),D60/(F60*پارامترها!$B$16*12),"")</f>
        <v>34.464697255394931</v>
      </c>
      <c r="I60" s="3">
        <v>130</v>
      </c>
      <c r="J60" s="3">
        <v>105</v>
      </c>
    </row>
    <row r="61" spans="1:10" x14ac:dyDescent="0.2">
      <c r="A61" s="3">
        <v>82</v>
      </c>
      <c r="B61" s="3" t="s">
        <v>139</v>
      </c>
      <c r="C61" s="3">
        <v>90</v>
      </c>
      <c r="D61" s="24">
        <v>379.7</v>
      </c>
      <c r="E61" s="3">
        <v>89</v>
      </c>
      <c r="F61" s="24">
        <v>32.35</v>
      </c>
      <c r="G61" s="24">
        <f>F61*1000*پارامترها!$B$16</f>
        <v>970.5</v>
      </c>
      <c r="H61" s="24">
        <f>IF(AND(D61&gt;0,F61&gt;0),D61/(F61*پارامترها!$B$16*12),"")</f>
        <v>32.603469002232522</v>
      </c>
      <c r="I61" s="3">
        <v>87.5</v>
      </c>
      <c r="J61" s="3">
        <v>98</v>
      </c>
    </row>
    <row r="62" spans="1:10" x14ac:dyDescent="0.2">
      <c r="A62" s="3">
        <v>47</v>
      </c>
      <c r="B62" s="3" t="s">
        <v>118</v>
      </c>
      <c r="C62" s="3">
        <v>81</v>
      </c>
      <c r="D62" s="24">
        <v>376.5</v>
      </c>
      <c r="E62" s="3">
        <v>91</v>
      </c>
      <c r="F62" s="24">
        <v>35.9</v>
      </c>
      <c r="G62" s="24">
        <f>F62*1000*پارامترها!$B$16</f>
        <v>1077</v>
      </c>
      <c r="H62" s="24">
        <f>IF(AND(D62&gt;0,F62&gt;0),D62/(F62*پارامترها!$B$16*12),"")</f>
        <v>29.131847725162491</v>
      </c>
      <c r="I62" s="3">
        <v>100</v>
      </c>
      <c r="J62" s="3">
        <v>120</v>
      </c>
    </row>
    <row r="63" spans="1:10" x14ac:dyDescent="0.2">
      <c r="A63" s="3">
        <v>52</v>
      </c>
      <c r="B63" s="3" t="s">
        <v>119</v>
      </c>
      <c r="C63" s="3">
        <v>89</v>
      </c>
      <c r="D63" s="24">
        <v>375.2</v>
      </c>
      <c r="E63" s="3">
        <v>88</v>
      </c>
      <c r="F63" s="24">
        <v>32.17</v>
      </c>
      <c r="G63" s="24">
        <f>F63*1000*پارامترها!$B$16</f>
        <v>965.09999999999991</v>
      </c>
      <c r="H63" s="24">
        <f>IF(AND(D63&gt;0,F63&gt;0),D63/(F63*پارامترها!$B$16*12),"")</f>
        <v>32.397333609643212</v>
      </c>
      <c r="I63" s="3">
        <v>125</v>
      </c>
      <c r="J63" s="3">
        <v>120</v>
      </c>
    </row>
    <row r="64" spans="1:10" x14ac:dyDescent="0.2">
      <c r="A64" s="3">
        <v>1025</v>
      </c>
      <c r="B64" s="3" t="s">
        <v>170</v>
      </c>
      <c r="C64" s="3">
        <v>86</v>
      </c>
      <c r="D64" s="24">
        <v>372.9</v>
      </c>
      <c r="E64" s="3">
        <v>90</v>
      </c>
      <c r="F64" s="24">
        <v>33.880000000000003</v>
      </c>
      <c r="G64" s="24">
        <f>F64*1000*پارامترها!$B$16</f>
        <v>1016.4</v>
      </c>
      <c r="H64" s="24">
        <f>IF(AND(D64&gt;0,F64&gt;0),D64/(F64*پارامترها!$B$16*12),"")</f>
        <v>30.573593073593074</v>
      </c>
      <c r="I64" s="3">
        <v>118.5</v>
      </c>
      <c r="J64" s="3">
        <v>130.5</v>
      </c>
    </row>
    <row r="65" spans="1:10" x14ac:dyDescent="0.2">
      <c r="A65" s="3">
        <v>299</v>
      </c>
      <c r="B65" s="3" t="s">
        <v>239</v>
      </c>
      <c r="C65" s="3">
        <v>92</v>
      </c>
      <c r="D65" s="24">
        <v>371.1</v>
      </c>
      <c r="E65" s="3">
        <v>80</v>
      </c>
      <c r="F65" s="24">
        <v>27.3</v>
      </c>
      <c r="G65" s="24">
        <f>F65*1000*پارامترها!$B$16</f>
        <v>819</v>
      </c>
      <c r="H65" s="24">
        <f>IF(AND(D65&gt;0,F65&gt;0),D65/(F65*پارامترها!$B$16*12),"")</f>
        <v>37.759462759462764</v>
      </c>
      <c r="I65" s="3">
        <v>107.5</v>
      </c>
      <c r="J65" s="3">
        <v>126.5</v>
      </c>
    </row>
    <row r="66" spans="1:10" x14ac:dyDescent="0.2">
      <c r="A66" s="3">
        <v>174</v>
      </c>
      <c r="B66" s="3" t="s">
        <v>171</v>
      </c>
      <c r="C66" s="3">
        <v>90</v>
      </c>
      <c r="D66" s="24">
        <v>370.3</v>
      </c>
      <c r="E66" s="3">
        <v>90</v>
      </c>
      <c r="F66" s="24">
        <v>30.41</v>
      </c>
      <c r="G66" s="24">
        <f>F66*1000*پارامترها!$B$16</f>
        <v>912.3</v>
      </c>
      <c r="H66" s="24">
        <f>IF(AND(D66&gt;0,F66&gt;0),D66/(F66*پارامترها!$B$16*12),"")</f>
        <v>33.824765245350584</v>
      </c>
      <c r="I66" s="3">
        <v>104</v>
      </c>
      <c r="J66" s="3">
        <v>107.5</v>
      </c>
    </row>
    <row r="67" spans="1:10" ht="16.5" x14ac:dyDescent="0.3">
      <c r="A67" s="3">
        <v>1028</v>
      </c>
      <c r="B67" s="3" t="s">
        <v>562</v>
      </c>
      <c r="C67" s="3">
        <v>83</v>
      </c>
      <c r="D67" s="24">
        <v>365.4</v>
      </c>
      <c r="E67" s="3">
        <v>75</v>
      </c>
      <c r="F67" s="24">
        <v>33</v>
      </c>
      <c r="G67" s="24">
        <f>F67*1000*پارامترها!$B$16</f>
        <v>990</v>
      </c>
      <c r="H67" s="24">
        <f>IF(AND(D67&gt;0,F67&gt;0),D67/(F67*پارامترها!$B$16*12),"")</f>
        <v>30.757575757575758</v>
      </c>
      <c r="I67" s="3">
        <v>100</v>
      </c>
      <c r="J67" s="3">
        <v>105</v>
      </c>
    </row>
    <row r="68" spans="1:10" x14ac:dyDescent="0.2">
      <c r="A68" s="3">
        <v>300</v>
      </c>
      <c r="B68" s="3" t="s">
        <v>255</v>
      </c>
      <c r="C68" s="3">
        <v>93</v>
      </c>
      <c r="D68" s="24">
        <v>365</v>
      </c>
      <c r="E68" s="3">
        <v>75</v>
      </c>
      <c r="F68" s="24">
        <v>31.47</v>
      </c>
      <c r="G68" s="24">
        <f>F68*1000*پارامترها!$B$16</f>
        <v>944.09999999999991</v>
      </c>
      <c r="H68" s="24">
        <f>IF(AND(D68&gt;0,F68&gt;0),D68/(F68*پارامترها!$B$16*12),"")</f>
        <v>32.2176323129612</v>
      </c>
      <c r="I68" s="3">
        <v>115</v>
      </c>
      <c r="J68" s="3">
        <v>115</v>
      </c>
    </row>
    <row r="69" spans="1:10" x14ac:dyDescent="0.2">
      <c r="A69" s="3">
        <v>301</v>
      </c>
      <c r="B69" s="3" t="s">
        <v>563</v>
      </c>
      <c r="C69" s="3">
        <v>43</v>
      </c>
      <c r="D69" s="24">
        <v>364.4</v>
      </c>
      <c r="E69" s="3">
        <v>37</v>
      </c>
      <c r="F69" s="24">
        <v>27.84</v>
      </c>
      <c r="G69" s="24">
        <f>F69*1000*پارامترها!$B$16</f>
        <v>835.19999999999993</v>
      </c>
      <c r="H69" s="24">
        <f>IF(AND(D69&gt;0,F69&gt;0),D69/(F69*پارامترها!$B$16*12),"")</f>
        <v>36.358556832694767</v>
      </c>
      <c r="I69" s="3">
        <v>136</v>
      </c>
      <c r="J69" s="3">
        <v>110</v>
      </c>
    </row>
    <row r="70" spans="1:10" x14ac:dyDescent="0.2">
      <c r="A70" s="3">
        <v>173</v>
      </c>
      <c r="B70" s="3" t="s">
        <v>199</v>
      </c>
      <c r="C70" s="3">
        <v>91</v>
      </c>
      <c r="D70" s="24">
        <v>363</v>
      </c>
      <c r="E70" s="3">
        <v>91</v>
      </c>
      <c r="F70" s="24">
        <v>31.67</v>
      </c>
      <c r="G70" s="24">
        <f>F70*1000*پارامترها!$B$16</f>
        <v>950.09999999999991</v>
      </c>
      <c r="H70" s="24">
        <f>IF(AND(D70&gt;0,F70&gt;0),D70/(F70*پارامترها!$B$16*12),"")</f>
        <v>31.83875381538785</v>
      </c>
      <c r="I70" s="3">
        <v>110</v>
      </c>
      <c r="J70" s="3">
        <v>120</v>
      </c>
    </row>
    <row r="71" spans="1:10" x14ac:dyDescent="0.2">
      <c r="A71" s="3">
        <v>202</v>
      </c>
      <c r="B71" s="3" t="s">
        <v>142</v>
      </c>
      <c r="C71" s="3">
        <v>93</v>
      </c>
      <c r="D71" s="24">
        <v>360.5</v>
      </c>
      <c r="E71" s="3">
        <v>88</v>
      </c>
      <c r="F71" s="24">
        <v>28.28</v>
      </c>
      <c r="G71" s="24">
        <f>F71*1000*پارامترها!$B$16</f>
        <v>848.4</v>
      </c>
      <c r="H71" s="24">
        <f>IF(AND(D71&gt;0,F71&gt;0),D71/(F71*پارامترها!$B$16*12),"")</f>
        <v>35.409790979097906</v>
      </c>
      <c r="I71" s="3">
        <v>108</v>
      </c>
      <c r="J71" s="3">
        <v>97.5</v>
      </c>
    </row>
    <row r="72" spans="1:10" x14ac:dyDescent="0.2">
      <c r="A72" s="3">
        <v>113</v>
      </c>
      <c r="B72" s="3" t="s">
        <v>564</v>
      </c>
      <c r="C72" s="3">
        <v>21</v>
      </c>
      <c r="D72" s="24">
        <v>360.3</v>
      </c>
      <c r="E72" s="3">
        <v>9</v>
      </c>
      <c r="F72" s="24">
        <v>25</v>
      </c>
      <c r="G72" s="24">
        <f>F72*1000*پارامترها!$B$16</f>
        <v>750</v>
      </c>
      <c r="H72" s="24">
        <f>IF(AND(D72&gt;0,F72&gt;0),D72/(F72*پارامترها!$B$16*12),"")</f>
        <v>40.033333333333331</v>
      </c>
      <c r="I72" s="3">
        <v>136</v>
      </c>
      <c r="J72" s="3">
        <v>139</v>
      </c>
    </row>
    <row r="73" spans="1:10" x14ac:dyDescent="0.2">
      <c r="A73" s="3">
        <v>921</v>
      </c>
      <c r="B73" s="3" t="s">
        <v>116</v>
      </c>
      <c r="C73" s="3">
        <v>89</v>
      </c>
      <c r="D73" s="24">
        <v>356.8</v>
      </c>
      <c r="E73" s="3">
        <v>89</v>
      </c>
      <c r="F73" s="24">
        <v>31.4</v>
      </c>
      <c r="G73" s="24">
        <f>F73*1000*پارامترها!$B$16</f>
        <v>942</v>
      </c>
      <c r="H73" s="24">
        <f>IF(AND(D73&gt;0,F73&gt;0),D73/(F73*پارامترها!$B$16*12),"")</f>
        <v>31.564048124557683</v>
      </c>
      <c r="I73" s="3">
        <v>83</v>
      </c>
      <c r="J73" s="3">
        <v>92</v>
      </c>
    </row>
    <row r="74" spans="1:10" x14ac:dyDescent="0.2">
      <c r="A74" s="3">
        <v>210</v>
      </c>
      <c r="B74" s="3" t="s">
        <v>242</v>
      </c>
      <c r="C74" s="3">
        <v>90</v>
      </c>
      <c r="D74" s="24">
        <v>354.7</v>
      </c>
      <c r="E74" s="3">
        <v>86</v>
      </c>
      <c r="F74" s="24">
        <v>31.14</v>
      </c>
      <c r="G74" s="24">
        <f>F74*1000*پارامترها!$B$16</f>
        <v>934.19999999999993</v>
      </c>
      <c r="H74" s="24">
        <f>IF(AND(D74&gt;0,F74&gt;0),D74/(F74*پارامترها!$B$16*12),"")</f>
        <v>31.640262613287661</v>
      </c>
      <c r="I74" s="3">
        <v>116</v>
      </c>
      <c r="J74" s="3">
        <v>130</v>
      </c>
    </row>
    <row r="75" spans="1:10" x14ac:dyDescent="0.2">
      <c r="A75" s="3">
        <v>211</v>
      </c>
      <c r="B75" s="3" t="s">
        <v>565</v>
      </c>
      <c r="C75" s="3">
        <v>87</v>
      </c>
      <c r="D75" s="24">
        <v>354.5</v>
      </c>
      <c r="E75" s="3">
        <v>82</v>
      </c>
      <c r="F75" s="24">
        <v>28.21</v>
      </c>
      <c r="G75" s="24">
        <f>F75*1000*پارامترها!$B$16</f>
        <v>846.3</v>
      </c>
      <c r="H75" s="24">
        <f>IF(AND(D75&gt;0,F75&gt;0),D75/(F75*پارامترها!$B$16*12),"")</f>
        <v>34.906849422978453</v>
      </c>
      <c r="I75" s="3">
        <v>134</v>
      </c>
      <c r="J75" s="3">
        <v>114</v>
      </c>
    </row>
    <row r="76" spans="1:10" x14ac:dyDescent="0.2">
      <c r="A76" s="3">
        <v>103</v>
      </c>
      <c r="B76" s="3" t="s">
        <v>566</v>
      </c>
      <c r="C76" s="3">
        <v>31</v>
      </c>
      <c r="D76" s="24">
        <v>354.1</v>
      </c>
      <c r="E76" s="3">
        <v>16</v>
      </c>
      <c r="F76" s="24">
        <v>38.159999999999997</v>
      </c>
      <c r="G76" s="24">
        <f>F76*1000*پارامترها!$B$16</f>
        <v>1144.8</v>
      </c>
      <c r="H76" s="24">
        <f>IF(AND(D76&gt;0,F76&gt;0),D76/(F76*پارامترها!$B$16*12),"")</f>
        <v>25.775972513393903</v>
      </c>
      <c r="I76" s="3">
        <v>110</v>
      </c>
      <c r="J76" s="3">
        <v>121.5</v>
      </c>
    </row>
    <row r="77" spans="1:10" ht="16.5" x14ac:dyDescent="0.3">
      <c r="A77" s="3">
        <v>95</v>
      </c>
      <c r="B77" s="3" t="s">
        <v>172</v>
      </c>
      <c r="C77" s="3">
        <v>89</v>
      </c>
      <c r="D77" s="24">
        <v>352.2</v>
      </c>
      <c r="E77" s="3">
        <v>87</v>
      </c>
      <c r="F77" s="24">
        <v>34.17</v>
      </c>
      <c r="G77" s="24">
        <f>F77*1000*پارامترها!$B$16</f>
        <v>1025.0999999999999</v>
      </c>
      <c r="H77" s="24">
        <f>IF(AND(D77&gt;0,F77&gt;0),D77/(F77*پارامترها!$B$16*12),"")</f>
        <v>28.631353038727923</v>
      </c>
      <c r="I77" s="3">
        <v>120</v>
      </c>
      <c r="J77" s="3">
        <v>100</v>
      </c>
    </row>
    <row r="78" spans="1:10" x14ac:dyDescent="0.2">
      <c r="A78" s="3">
        <v>51</v>
      </c>
      <c r="B78" s="3" t="s">
        <v>120</v>
      </c>
      <c r="C78" s="3">
        <v>56</v>
      </c>
      <c r="D78" s="24">
        <v>343.9</v>
      </c>
      <c r="E78" s="3">
        <v>45</v>
      </c>
      <c r="F78" s="24">
        <v>26.92</v>
      </c>
      <c r="G78" s="24">
        <f>F78*1000*پارامترها!$B$16</f>
        <v>807.6</v>
      </c>
      <c r="H78" s="24">
        <f>IF(AND(D78&gt;0,F78&gt;0),D78/(F78*پارامترها!$B$16*12),"")</f>
        <v>35.485801551923394</v>
      </c>
      <c r="I78" s="3">
        <v>115</v>
      </c>
      <c r="J78" s="3">
        <v>130</v>
      </c>
    </row>
    <row r="79" spans="1:10" x14ac:dyDescent="0.2">
      <c r="A79" s="3">
        <v>201</v>
      </c>
      <c r="B79" s="3" t="s">
        <v>144</v>
      </c>
      <c r="C79" s="3">
        <v>93</v>
      </c>
      <c r="D79" s="24">
        <v>343.6</v>
      </c>
      <c r="E79" s="3">
        <v>80</v>
      </c>
      <c r="F79" s="24">
        <v>27.2</v>
      </c>
      <c r="G79" s="24">
        <f>F79*1000*پارامترها!$B$16</f>
        <v>816</v>
      </c>
      <c r="H79" s="24">
        <f>IF(AND(D79&gt;0,F79&gt;0),D79/(F79*پارامترها!$B$16*12),"")</f>
        <v>35.089869281045758</v>
      </c>
      <c r="I79" s="3">
        <v>100</v>
      </c>
      <c r="J79" s="3">
        <v>98.5</v>
      </c>
    </row>
    <row r="80" spans="1:10" x14ac:dyDescent="0.2">
      <c r="A80" s="3">
        <v>167</v>
      </c>
      <c r="B80" s="3" t="s">
        <v>202</v>
      </c>
      <c r="C80" s="3">
        <v>35</v>
      </c>
      <c r="D80" s="24">
        <v>340</v>
      </c>
      <c r="E80" s="3">
        <v>24</v>
      </c>
      <c r="F80" s="24">
        <v>31.11</v>
      </c>
      <c r="G80" s="24">
        <f>F80*1000*پارامترها!$B$16</f>
        <v>933.3</v>
      </c>
      <c r="H80" s="24">
        <f>IF(AND(D80&gt;0,F80&gt;0),D80/(F80*پارامترها!$B$16*12),"")</f>
        <v>30.358227079538558</v>
      </c>
      <c r="I80" s="3">
        <v>132.5</v>
      </c>
      <c r="J80" s="3">
        <v>64.5</v>
      </c>
    </row>
    <row r="81" spans="1:10" x14ac:dyDescent="0.2">
      <c r="A81" s="3">
        <v>922</v>
      </c>
      <c r="B81" s="3" t="s">
        <v>140</v>
      </c>
      <c r="C81" s="3">
        <v>25</v>
      </c>
      <c r="D81" s="24">
        <v>339.3</v>
      </c>
      <c r="E81" s="3">
        <v>30</v>
      </c>
      <c r="F81" s="24">
        <v>33.33</v>
      </c>
      <c r="G81" s="24">
        <f>F81*1000*پارامترها!$B$16</f>
        <v>999.9</v>
      </c>
      <c r="H81" s="24">
        <f>IF(AND(D81&gt;0,F81&gt;0),D81/(F81*پارامترها!$B$16*12),"")</f>
        <v>28.277827782778282</v>
      </c>
      <c r="I81" s="3">
        <v>102</v>
      </c>
      <c r="J81" s="3">
        <v>119</v>
      </c>
    </row>
    <row r="82" spans="1:10" x14ac:dyDescent="0.2">
      <c r="A82" s="3">
        <v>128</v>
      </c>
      <c r="B82" s="3" t="s">
        <v>567</v>
      </c>
      <c r="C82" s="3">
        <v>94</v>
      </c>
      <c r="D82" s="24">
        <v>337.9</v>
      </c>
      <c r="E82" s="3">
        <v>83</v>
      </c>
      <c r="F82" s="24">
        <v>29.82</v>
      </c>
      <c r="G82" s="24">
        <f>F82*1000*پارامترها!$B$16</f>
        <v>894.6</v>
      </c>
      <c r="H82" s="24">
        <f>IF(AND(D82&gt;0,F82&gt;0),D82/(F82*پارامترها!$B$16*12),"")</f>
        <v>31.475892391385351</v>
      </c>
      <c r="I82" s="3">
        <v>81.5</v>
      </c>
      <c r="J82" s="3">
        <v>75</v>
      </c>
    </row>
    <row r="83" spans="1:10" x14ac:dyDescent="0.2">
      <c r="A83" s="3">
        <v>200</v>
      </c>
      <c r="B83" s="3" t="s">
        <v>568</v>
      </c>
      <c r="C83" s="3">
        <v>87</v>
      </c>
      <c r="D83" s="24">
        <v>335</v>
      </c>
      <c r="E83" s="3">
        <v>80</v>
      </c>
      <c r="F83" s="24">
        <v>29.55</v>
      </c>
      <c r="G83" s="24">
        <f>F83*1000*پارامترها!$B$16</f>
        <v>886.5</v>
      </c>
      <c r="H83" s="24">
        <f>IF(AND(D83&gt;0,F83&gt;0),D83/(F83*پارامترها!$B$16*12),"")</f>
        <v>31.490881744688853</v>
      </c>
      <c r="I83" s="3">
        <v>95</v>
      </c>
      <c r="J83" s="3">
        <v>109.5</v>
      </c>
    </row>
    <row r="84" spans="1:10" x14ac:dyDescent="0.2">
      <c r="A84" s="3">
        <v>158</v>
      </c>
      <c r="B84" s="3" t="s">
        <v>200</v>
      </c>
      <c r="C84" s="3">
        <v>86</v>
      </c>
      <c r="D84" s="24">
        <v>333.1</v>
      </c>
      <c r="E84" s="3">
        <v>92</v>
      </c>
      <c r="F84" s="24">
        <v>31.32</v>
      </c>
      <c r="G84" s="24">
        <f>F84*1000*پارامترها!$B$16</f>
        <v>939.59999999999991</v>
      </c>
      <c r="H84" s="24">
        <f>IF(AND(D84&gt;0,F84&gt;0),D84/(F84*پارامترها!$B$16*12),"")</f>
        <v>29.542713211295588</v>
      </c>
      <c r="I84" s="3">
        <v>110</v>
      </c>
      <c r="J84" s="3">
        <v>93.5</v>
      </c>
    </row>
    <row r="85" spans="1:10" x14ac:dyDescent="0.2">
      <c r="A85" s="3">
        <v>170</v>
      </c>
      <c r="B85" s="3" t="s">
        <v>207</v>
      </c>
      <c r="C85" s="3">
        <v>86</v>
      </c>
      <c r="D85" s="24">
        <v>327.5</v>
      </c>
      <c r="E85" s="3">
        <v>94</v>
      </c>
      <c r="F85" s="24">
        <v>30.8</v>
      </c>
      <c r="G85" s="24">
        <f>F85*1000*پارامترها!$B$16</f>
        <v>924</v>
      </c>
      <c r="H85" s="24">
        <f>IF(AND(D85&gt;0,F85&gt;0),D85/(F85*پارامترها!$B$16*12),"")</f>
        <v>29.536435786435788</v>
      </c>
      <c r="I85" s="3">
        <v>100</v>
      </c>
      <c r="J85" s="3">
        <v>100</v>
      </c>
    </row>
    <row r="86" spans="1:10" x14ac:dyDescent="0.2">
      <c r="A86" s="3">
        <v>148</v>
      </c>
      <c r="B86" s="3" t="s">
        <v>206</v>
      </c>
      <c r="C86" s="3">
        <v>92</v>
      </c>
      <c r="D86" s="24">
        <v>326.8</v>
      </c>
      <c r="E86" s="3">
        <v>94</v>
      </c>
      <c r="F86" s="24">
        <v>30.12</v>
      </c>
      <c r="G86" s="24">
        <f>F86*1000*پارامترها!$B$16</f>
        <v>903.6</v>
      </c>
      <c r="H86" s="24">
        <f>IF(AND(D86&gt;0,F86&gt;0),D86/(F86*پارامترها!$B$16*12),"")</f>
        <v>30.138704441493289</v>
      </c>
      <c r="I86" s="3">
        <v>101.5</v>
      </c>
      <c r="J86" s="3">
        <v>96.5</v>
      </c>
    </row>
    <row r="87" spans="1:10" x14ac:dyDescent="0.2">
      <c r="A87" s="3">
        <v>208</v>
      </c>
      <c r="B87" s="3" t="s">
        <v>244</v>
      </c>
      <c r="C87" s="3">
        <v>86</v>
      </c>
      <c r="D87" s="24">
        <v>326.7</v>
      </c>
      <c r="E87" s="3">
        <v>86</v>
      </c>
      <c r="F87" s="24">
        <v>29.81</v>
      </c>
      <c r="G87" s="24">
        <f>F87*1000*پارامترها!$B$16</f>
        <v>894.3</v>
      </c>
      <c r="H87" s="24">
        <f>IF(AND(D87&gt;0,F87&gt;0),D87/(F87*پارامترها!$B$16*12),"")</f>
        <v>30.44280442804428</v>
      </c>
      <c r="I87" s="3">
        <v>105</v>
      </c>
      <c r="J87" s="3">
        <v>100</v>
      </c>
    </row>
    <row r="88" spans="1:10" x14ac:dyDescent="0.2">
      <c r="A88" s="3">
        <v>146</v>
      </c>
      <c r="B88" s="3" t="s">
        <v>204</v>
      </c>
      <c r="C88" s="3">
        <v>90</v>
      </c>
      <c r="D88" s="24">
        <v>326.39999999999998</v>
      </c>
      <c r="E88" s="3">
        <v>90</v>
      </c>
      <c r="F88" s="24">
        <v>29.65</v>
      </c>
      <c r="G88" s="24">
        <f>F88*1000*پارامترها!$B$16</f>
        <v>889.5</v>
      </c>
      <c r="H88" s="24">
        <f>IF(AND(D88&gt;0,F88&gt;0),D88/(F88*پارامترها!$B$16*12),"")</f>
        <v>30.578976953344576</v>
      </c>
      <c r="I88" s="3">
        <v>99</v>
      </c>
      <c r="J88" s="3">
        <v>103.5</v>
      </c>
    </row>
    <row r="89" spans="1:10" x14ac:dyDescent="0.2">
      <c r="A89" s="3">
        <v>147</v>
      </c>
      <c r="B89" s="3" t="s">
        <v>208</v>
      </c>
      <c r="C89" s="3">
        <v>90</v>
      </c>
      <c r="D89" s="24">
        <v>324.7</v>
      </c>
      <c r="E89" s="3">
        <v>90</v>
      </c>
      <c r="F89" s="24">
        <v>31.85</v>
      </c>
      <c r="G89" s="24">
        <f>F89*1000*پارامترها!$B$16</f>
        <v>955.5</v>
      </c>
      <c r="H89" s="24">
        <f>IF(AND(D89&gt;0,F89&gt;0),D89/(F89*پارامترها!$B$16*12),"")</f>
        <v>28.318506889935456</v>
      </c>
      <c r="I89" s="3">
        <v>90</v>
      </c>
      <c r="J89" s="3">
        <v>100</v>
      </c>
    </row>
    <row r="90" spans="1:10" x14ac:dyDescent="0.2">
      <c r="A90" s="3">
        <v>96</v>
      </c>
      <c r="B90" s="3" t="s">
        <v>569</v>
      </c>
      <c r="C90" s="3">
        <v>33</v>
      </c>
      <c r="D90" s="24">
        <v>321.89999999999998</v>
      </c>
      <c r="E90" s="3">
        <v>31</v>
      </c>
      <c r="F90" s="24">
        <v>37.35</v>
      </c>
      <c r="G90" s="24">
        <f>F90*1000*پارامترها!$B$16</f>
        <v>1120.5</v>
      </c>
      <c r="H90" s="24">
        <f>IF(AND(D90&gt;0,F90&gt;0),D90/(F90*پارامترها!$B$16*12),"")</f>
        <v>23.940205265506467</v>
      </c>
      <c r="I90" s="3">
        <v>135</v>
      </c>
      <c r="J90" s="3">
        <v>86</v>
      </c>
    </row>
    <row r="91" spans="1:10" x14ac:dyDescent="0.2">
      <c r="A91" s="3">
        <v>302</v>
      </c>
      <c r="B91" s="3" t="s">
        <v>257</v>
      </c>
      <c r="C91" s="3">
        <v>92</v>
      </c>
      <c r="D91" s="24">
        <v>320</v>
      </c>
      <c r="E91" s="3">
        <v>86</v>
      </c>
      <c r="F91" s="24">
        <v>32.65</v>
      </c>
      <c r="G91" s="24">
        <f>F91*1000*پارامترها!$B$16</f>
        <v>979.5</v>
      </c>
      <c r="H91" s="24">
        <f>IF(AND(D91&gt;0,F91&gt;0),D91/(F91*پارامترها!$B$16*12),"")</f>
        <v>27.224774544835803</v>
      </c>
      <c r="I91" s="3">
        <v>91.5</v>
      </c>
      <c r="J91" s="3">
        <v>102.5</v>
      </c>
    </row>
    <row r="92" spans="1:10" x14ac:dyDescent="0.2">
      <c r="A92" s="3">
        <v>145</v>
      </c>
      <c r="B92" s="3" t="s">
        <v>211</v>
      </c>
      <c r="C92" s="3">
        <v>93</v>
      </c>
      <c r="D92" s="24">
        <v>318.2</v>
      </c>
      <c r="E92" s="3">
        <v>88</v>
      </c>
      <c r="F92" s="24">
        <v>30.15</v>
      </c>
      <c r="G92" s="24">
        <f>F92*1000*پارامترها!$B$16</f>
        <v>904.5</v>
      </c>
      <c r="H92" s="24">
        <f>IF(AND(D92&gt;0,F92&gt;0),D92/(F92*پارامترها!$B$16*12),"")</f>
        <v>29.31638105767459</v>
      </c>
      <c r="I92" s="3">
        <v>90</v>
      </c>
      <c r="J92" s="3">
        <v>95</v>
      </c>
    </row>
    <row r="93" spans="1:10" x14ac:dyDescent="0.2">
      <c r="A93" s="3">
        <v>140</v>
      </c>
      <c r="B93" s="3" t="s">
        <v>209</v>
      </c>
      <c r="C93" s="3">
        <v>91</v>
      </c>
      <c r="D93" s="24">
        <v>316.2</v>
      </c>
      <c r="E93" s="3">
        <v>58</v>
      </c>
      <c r="F93" s="24">
        <v>25.4</v>
      </c>
      <c r="G93" s="24">
        <f>F93*1000*پارامترها!$B$16</f>
        <v>762</v>
      </c>
      <c r="H93" s="24">
        <f>IF(AND(D93&gt;0,F93&gt;0),D93/(F93*پارامترها!$B$16*12),"")</f>
        <v>34.580052493438323</v>
      </c>
      <c r="I93" s="3">
        <v>79</v>
      </c>
      <c r="J93" s="3">
        <v>110</v>
      </c>
    </row>
    <row r="94" spans="1:10" x14ac:dyDescent="0.2">
      <c r="A94" s="3">
        <v>160</v>
      </c>
      <c r="B94" s="3" t="s">
        <v>214</v>
      </c>
      <c r="C94" s="3">
        <v>90</v>
      </c>
      <c r="D94" s="24">
        <v>314</v>
      </c>
      <c r="E94" s="3">
        <v>87</v>
      </c>
      <c r="F94" s="24">
        <v>27.78</v>
      </c>
      <c r="G94" s="24">
        <f>F94*1000*پارامترها!$B$16</f>
        <v>833.4</v>
      </c>
      <c r="H94" s="24">
        <f>IF(AND(D94&gt;0,F94&gt;0),D94/(F94*پارامترها!$B$16*12),"")</f>
        <v>31.397488200943926</v>
      </c>
      <c r="I94" s="3">
        <v>76.5</v>
      </c>
      <c r="J94" s="3">
        <v>76</v>
      </c>
    </row>
    <row r="95" spans="1:10" x14ac:dyDescent="0.2">
      <c r="A95" s="3">
        <v>297</v>
      </c>
      <c r="B95" s="3" t="s">
        <v>246</v>
      </c>
      <c r="C95" s="3">
        <v>84</v>
      </c>
      <c r="D95" s="24">
        <v>313.39999999999998</v>
      </c>
      <c r="E95" s="3">
        <v>72</v>
      </c>
      <c r="F95" s="24">
        <v>28.68</v>
      </c>
      <c r="G95" s="24">
        <f>F95*1000*پارامترها!$B$16</f>
        <v>860.4</v>
      </c>
      <c r="H95" s="24">
        <f>IF(AND(D95&gt;0,F95&gt;0),D95/(F95*پارامترها!$B$16*12),"")</f>
        <v>30.354098868743218</v>
      </c>
      <c r="I95" s="3">
        <v>100</v>
      </c>
      <c r="J95" s="3">
        <v>120</v>
      </c>
    </row>
    <row r="96" spans="1:10" x14ac:dyDescent="0.2">
      <c r="A96" s="3">
        <v>119</v>
      </c>
      <c r="B96" s="3" t="s">
        <v>275</v>
      </c>
      <c r="C96" s="3">
        <v>92</v>
      </c>
      <c r="D96" s="24">
        <v>311.7</v>
      </c>
      <c r="E96" s="3">
        <v>90</v>
      </c>
      <c r="F96" s="24">
        <v>25.48</v>
      </c>
      <c r="G96" s="24">
        <f>F96*1000*پارامترها!$B$16</f>
        <v>764.4</v>
      </c>
      <c r="H96" s="24">
        <f>IF(AND(D96&gt;0,F96&gt;0),D96/(F96*پارامترها!$B$16*12),"")</f>
        <v>33.980900052328629</v>
      </c>
      <c r="I96" s="3">
        <v>84</v>
      </c>
      <c r="J96" s="3">
        <v>85</v>
      </c>
    </row>
    <row r="97" spans="1:10" x14ac:dyDescent="0.2">
      <c r="A97" s="3">
        <v>920</v>
      </c>
      <c r="B97" s="3" t="s">
        <v>212</v>
      </c>
      <c r="C97" s="3">
        <v>88</v>
      </c>
      <c r="D97" s="24">
        <v>307.7</v>
      </c>
      <c r="E97" s="3">
        <v>94</v>
      </c>
      <c r="F97" s="24">
        <v>29.17</v>
      </c>
      <c r="G97" s="24">
        <f>F97*1000*پارامترها!$B$16</f>
        <v>875.1</v>
      </c>
      <c r="H97" s="24">
        <f>IF(AND(D97&gt;0,F97&gt;0),D97/(F97*پارامترها!$B$16*12),"")</f>
        <v>29.301413171827978</v>
      </c>
      <c r="I97" s="3">
        <v>86.5</v>
      </c>
      <c r="J97" s="3">
        <v>86</v>
      </c>
    </row>
    <row r="98" spans="1:10" x14ac:dyDescent="0.2">
      <c r="A98" s="3">
        <v>205</v>
      </c>
      <c r="B98" s="3" t="s">
        <v>147</v>
      </c>
      <c r="C98" s="3">
        <v>95</v>
      </c>
      <c r="D98" s="24">
        <v>307.39999999999998</v>
      </c>
      <c r="E98" s="3">
        <v>86</v>
      </c>
      <c r="F98" s="24">
        <v>28</v>
      </c>
      <c r="G98" s="24">
        <f>F98*1000*پارامترها!$B$16</f>
        <v>840</v>
      </c>
      <c r="H98" s="24">
        <f>IF(AND(D98&gt;0,F98&gt;0),D98/(F98*پارامترها!$B$16*12),"")</f>
        <v>30.496031746031743</v>
      </c>
      <c r="I98" s="3">
        <v>102</v>
      </c>
      <c r="J98" s="3">
        <v>100</v>
      </c>
    </row>
    <row r="99" spans="1:10" x14ac:dyDescent="0.2">
      <c r="A99" s="3">
        <v>125</v>
      </c>
      <c r="B99" s="3" t="s">
        <v>570</v>
      </c>
      <c r="C99" s="3">
        <v>90</v>
      </c>
      <c r="D99" s="24">
        <v>306.5</v>
      </c>
      <c r="E99" s="3">
        <v>90</v>
      </c>
      <c r="F99" s="24">
        <v>29.5</v>
      </c>
      <c r="G99" s="24">
        <f>F99*1000*پارامترها!$B$16</f>
        <v>885</v>
      </c>
      <c r="H99" s="24">
        <f>IF(AND(D99&gt;0,F99&gt;0),D99/(F99*پارامترها!$B$16*12),"")</f>
        <v>28.860640301318266</v>
      </c>
      <c r="I99" s="3">
        <v>89.5</v>
      </c>
      <c r="J99" s="3">
        <v>90</v>
      </c>
    </row>
    <row r="100" spans="1:10" x14ac:dyDescent="0.2">
      <c r="A100" s="3">
        <v>159</v>
      </c>
      <c r="B100" s="3" t="s">
        <v>213</v>
      </c>
      <c r="C100" s="3">
        <v>87</v>
      </c>
      <c r="D100" s="24">
        <v>306.5</v>
      </c>
      <c r="E100" s="3">
        <v>90</v>
      </c>
      <c r="F100" s="24">
        <v>27.78</v>
      </c>
      <c r="G100" s="24">
        <f>F100*1000*پارامترها!$B$16</f>
        <v>833.4</v>
      </c>
      <c r="H100" s="24">
        <f>IF(AND(D100&gt;0,F100&gt;0),D100/(F100*پارامترها!$B$16*12),"")</f>
        <v>30.64754819614431</v>
      </c>
      <c r="I100" s="3">
        <v>75.5</v>
      </c>
      <c r="J100" s="3">
        <v>80</v>
      </c>
    </row>
    <row r="101" spans="1:10" x14ac:dyDescent="0.2">
      <c r="A101" s="3">
        <v>104</v>
      </c>
      <c r="B101" s="3" t="s">
        <v>571</v>
      </c>
      <c r="C101" s="3">
        <v>87</v>
      </c>
      <c r="D101" s="24">
        <v>305.3</v>
      </c>
      <c r="E101" s="3">
        <v>87</v>
      </c>
      <c r="F101" s="24">
        <v>28.57</v>
      </c>
      <c r="G101" s="24">
        <f>F101*1000*پارامترها!$B$16</f>
        <v>857.1</v>
      </c>
      <c r="H101" s="24">
        <f>IF(AND(D101&gt;0,F101&gt;0),D101/(F101*پارامترها!$B$16*12),"")</f>
        <v>29.68342861587524</v>
      </c>
      <c r="I101" s="3">
        <v>97.5</v>
      </c>
      <c r="J101" s="3">
        <v>75</v>
      </c>
    </row>
    <row r="102" spans="1:10" x14ac:dyDescent="0.2">
      <c r="A102" s="3">
        <v>151</v>
      </c>
      <c r="B102" s="3" t="s">
        <v>215</v>
      </c>
      <c r="C102" s="3">
        <v>92</v>
      </c>
      <c r="D102" s="24">
        <v>304.3</v>
      </c>
      <c r="E102" s="3">
        <v>89</v>
      </c>
      <c r="F102" s="24">
        <v>26.47</v>
      </c>
      <c r="G102" s="24">
        <f>F102*1000*پارامترها!$B$16</f>
        <v>794.1</v>
      </c>
      <c r="H102" s="24">
        <f>IF(AND(D102&gt;0,F102&gt;0),D102/(F102*پارامترها!$B$16*12),"")</f>
        <v>31.93342568106452</v>
      </c>
      <c r="I102" s="3">
        <v>92</v>
      </c>
      <c r="J102" s="3">
        <v>95</v>
      </c>
    </row>
    <row r="103" spans="1:10" x14ac:dyDescent="0.2">
      <c r="A103" s="3">
        <v>938</v>
      </c>
      <c r="B103" s="3" t="s">
        <v>258</v>
      </c>
      <c r="C103" s="3">
        <v>89</v>
      </c>
      <c r="D103" s="24">
        <v>300.8</v>
      </c>
      <c r="E103" s="3">
        <v>85</v>
      </c>
      <c r="F103" s="24">
        <v>27.25</v>
      </c>
      <c r="G103" s="24">
        <f>F103*1000*پارامترها!$B$16</f>
        <v>817.5</v>
      </c>
      <c r="H103" s="24">
        <f>IF(AND(D103&gt;0,F103&gt;0),D103/(F103*پارامترها!$B$16*12),"")</f>
        <v>30.662589194699287</v>
      </c>
      <c r="I103" s="3">
        <v>100</v>
      </c>
      <c r="J103" s="3">
        <v>85</v>
      </c>
    </row>
    <row r="104" spans="1:10" x14ac:dyDescent="0.2">
      <c r="A104" s="3">
        <v>935</v>
      </c>
      <c r="B104" s="3" t="s">
        <v>572</v>
      </c>
      <c r="C104" s="3">
        <v>86</v>
      </c>
      <c r="D104" s="24">
        <v>294.10000000000002</v>
      </c>
      <c r="E104" s="3">
        <v>74</v>
      </c>
      <c r="F104" s="24">
        <v>26.52</v>
      </c>
      <c r="G104" s="24">
        <f>F104*1000*پارامترها!$B$16</f>
        <v>795.6</v>
      </c>
      <c r="H104" s="24">
        <f>IF(AND(D104&gt;0,F104&gt;0),D104/(F104*پارامترها!$B$16*12),"")</f>
        <v>30.804843304843306</v>
      </c>
      <c r="I104" s="3">
        <v>84</v>
      </c>
      <c r="J104" s="3">
        <v>79</v>
      </c>
    </row>
    <row r="105" spans="1:10" x14ac:dyDescent="0.2">
      <c r="A105" s="3">
        <v>108</v>
      </c>
      <c r="B105" s="3" t="s">
        <v>175</v>
      </c>
      <c r="C105" s="3">
        <v>89</v>
      </c>
      <c r="D105" s="24">
        <v>292.89999999999998</v>
      </c>
      <c r="E105" s="3">
        <v>88</v>
      </c>
      <c r="F105" s="24">
        <v>27.28</v>
      </c>
      <c r="G105" s="24">
        <f>F105*1000*پارامترها!$B$16</f>
        <v>818.4</v>
      </c>
      <c r="H105" s="24">
        <f>IF(AND(D105&gt;0,F105&gt;0),D105/(F105*پارامترها!$B$16*12),"")</f>
        <v>29.824454219615507</v>
      </c>
      <c r="I105" s="3">
        <v>95</v>
      </c>
      <c r="J105" s="3">
        <v>105</v>
      </c>
    </row>
    <row r="106" spans="1:10" x14ac:dyDescent="0.2">
      <c r="A106" s="3">
        <v>203</v>
      </c>
      <c r="B106" s="3" t="s">
        <v>149</v>
      </c>
      <c r="C106" s="3">
        <v>88</v>
      </c>
      <c r="D106" s="24">
        <v>291.7</v>
      </c>
      <c r="E106" s="3">
        <v>83</v>
      </c>
      <c r="F106" s="24">
        <v>25.56</v>
      </c>
      <c r="G106" s="24">
        <f>F106*1000*پارامترها!$B$16</f>
        <v>766.8</v>
      </c>
      <c r="H106" s="24">
        <f>IF(AND(D106&gt;0,F106&gt;0),D106/(F106*پارامترها!$B$16*12),"")</f>
        <v>31.70100852025735</v>
      </c>
      <c r="I106" s="3">
        <v>93</v>
      </c>
      <c r="J106" s="3">
        <v>85</v>
      </c>
    </row>
    <row r="107" spans="1:10" x14ac:dyDescent="0.2">
      <c r="A107" s="3">
        <v>117</v>
      </c>
      <c r="B107" s="3" t="s">
        <v>276</v>
      </c>
      <c r="C107" s="3">
        <v>91</v>
      </c>
      <c r="D107" s="24">
        <v>291.2</v>
      </c>
      <c r="E107" s="3">
        <v>89</v>
      </c>
      <c r="F107" s="24">
        <v>25.26</v>
      </c>
      <c r="G107" s="24">
        <f>F107*1000*پارامترها!$B$16</f>
        <v>757.8</v>
      </c>
      <c r="H107" s="24">
        <f>IF(AND(D107&gt;0,F107&gt;0),D107/(F107*پارامترها!$B$16*12),"")</f>
        <v>32.022521333685226</v>
      </c>
      <c r="I107" s="3">
        <v>72</v>
      </c>
      <c r="J107" s="3">
        <v>90</v>
      </c>
    </row>
    <row r="108" spans="1:10" x14ac:dyDescent="0.2">
      <c r="A108" s="3">
        <v>157</v>
      </c>
      <c r="B108" s="3" t="s">
        <v>216</v>
      </c>
      <c r="C108" s="3">
        <v>90</v>
      </c>
      <c r="D108" s="24">
        <v>291</v>
      </c>
      <c r="E108" s="3">
        <v>85</v>
      </c>
      <c r="F108" s="24">
        <v>25.88</v>
      </c>
      <c r="G108" s="24">
        <f>F108*1000*پارامترها!$B$16</f>
        <v>776.4</v>
      </c>
      <c r="H108" s="24">
        <f>IF(AND(D108&gt;0,F108&gt;0),D108/(F108*پارامترها!$B$16*12),"")</f>
        <v>31.233900051519832</v>
      </c>
      <c r="I108" s="3">
        <v>105</v>
      </c>
      <c r="J108" s="3">
        <v>95</v>
      </c>
    </row>
    <row r="109" spans="1:10" x14ac:dyDescent="0.2">
      <c r="A109" s="3">
        <v>656</v>
      </c>
      <c r="B109" s="3" t="s">
        <v>573</v>
      </c>
      <c r="C109" s="3">
        <v>88</v>
      </c>
      <c r="D109" s="24">
        <v>286.5</v>
      </c>
      <c r="E109" s="3">
        <v>78</v>
      </c>
      <c r="F109" s="24">
        <v>28.57</v>
      </c>
      <c r="G109" s="24">
        <f>F109*1000*پارامترها!$B$16</f>
        <v>857.1</v>
      </c>
      <c r="H109" s="24">
        <f>IF(AND(D109&gt;0,F109&gt;0),D109/(F109*پارامترها!$B$16*12),"")</f>
        <v>27.855559444638899</v>
      </c>
      <c r="I109" s="3">
        <v>82.5</v>
      </c>
      <c r="J109" s="3">
        <v>95</v>
      </c>
    </row>
    <row r="110" spans="1:10" x14ac:dyDescent="0.2">
      <c r="A110" s="3">
        <v>59</v>
      </c>
      <c r="B110" s="3" t="s">
        <v>151</v>
      </c>
      <c r="C110" s="3">
        <v>5</v>
      </c>
      <c r="D110" s="24">
        <v>283</v>
      </c>
      <c r="E110" s="3">
        <v>2</v>
      </c>
      <c r="F110" s="24">
        <v>18.670000000000002</v>
      </c>
      <c r="G110" s="24">
        <f>F110*1000*پارامترها!$B$16</f>
        <v>560.1</v>
      </c>
      <c r="H110" s="24">
        <f>IF(AND(D110&gt;0,F110&gt;0),D110/(F110*پارامترها!$B$16*12),"")</f>
        <v>42.105576385169314</v>
      </c>
      <c r="I110" s="3">
        <v>106</v>
      </c>
      <c r="J110" s="3">
        <v>62.5</v>
      </c>
    </row>
    <row r="111" spans="1:10" x14ac:dyDescent="0.2">
      <c r="A111" s="3">
        <v>298</v>
      </c>
      <c r="B111" s="3" t="s">
        <v>247</v>
      </c>
      <c r="C111" s="3">
        <v>92</v>
      </c>
      <c r="D111" s="24">
        <v>280.7</v>
      </c>
      <c r="E111" s="3">
        <v>70</v>
      </c>
      <c r="F111" s="24">
        <v>26.86</v>
      </c>
      <c r="G111" s="24">
        <f>F111*1000*پارامترها!$B$16</f>
        <v>805.8</v>
      </c>
      <c r="H111" s="24">
        <f>IF(AND(D111&gt;0,F111&gt;0),D111/(F111*پارامترها!$B$16*12),"")</f>
        <v>29.02912219740217</v>
      </c>
      <c r="I111" s="3">
        <v>82</v>
      </c>
      <c r="J111" s="3">
        <v>85</v>
      </c>
    </row>
    <row r="112" spans="1:10" x14ac:dyDescent="0.2">
      <c r="A112" s="3">
        <v>105</v>
      </c>
      <c r="B112" s="3" t="s">
        <v>177</v>
      </c>
      <c r="C112" s="3">
        <v>77</v>
      </c>
      <c r="D112" s="24">
        <v>280</v>
      </c>
      <c r="E112" s="3">
        <v>60</v>
      </c>
      <c r="F112" s="24">
        <v>25</v>
      </c>
      <c r="G112" s="24">
        <f>F112*1000*پارامترها!$B$16</f>
        <v>750</v>
      </c>
      <c r="H112" s="24">
        <f>IF(AND(D112&gt;0,F112&gt;0),D112/(F112*پارامترها!$B$16*12),"")</f>
        <v>31.111111111111111</v>
      </c>
      <c r="I112" s="3">
        <v>90</v>
      </c>
      <c r="J112" s="3">
        <v>92</v>
      </c>
    </row>
    <row r="113" spans="1:10" x14ac:dyDescent="0.2">
      <c r="A113" s="3">
        <v>172</v>
      </c>
      <c r="B113" s="3" t="s">
        <v>148</v>
      </c>
      <c r="C113" s="3">
        <v>92</v>
      </c>
      <c r="D113" s="24">
        <v>279.5</v>
      </c>
      <c r="E113" s="3">
        <v>83</v>
      </c>
      <c r="F113" s="24">
        <v>27.84</v>
      </c>
      <c r="G113" s="24">
        <f>F113*1000*پارامترها!$B$16</f>
        <v>835.19999999999993</v>
      </c>
      <c r="H113" s="24">
        <f>IF(AND(D113&gt;0,F113&gt;0),D113/(F113*پارامترها!$B$16*12),"")</f>
        <v>27.887531928480207</v>
      </c>
      <c r="I113" s="3">
        <v>98</v>
      </c>
      <c r="J113" s="3">
        <v>105</v>
      </c>
    </row>
    <row r="114" spans="1:10" x14ac:dyDescent="0.2">
      <c r="A114" s="3">
        <v>152</v>
      </c>
      <c r="B114" s="3" t="s">
        <v>217</v>
      </c>
      <c r="C114" s="3">
        <v>90</v>
      </c>
      <c r="D114" s="24">
        <v>275.3</v>
      </c>
      <c r="E114" s="3">
        <v>90</v>
      </c>
      <c r="F114" s="24">
        <v>25.63</v>
      </c>
      <c r="G114" s="24">
        <f>F114*1000*پارامترها!$B$16</f>
        <v>768.9</v>
      </c>
      <c r="H114" s="24">
        <f>IF(AND(D114&gt;0,F114&gt;0),D114/(F114*پارامترها!$B$16*12),"")</f>
        <v>29.836996575194004</v>
      </c>
      <c r="I114" s="3">
        <v>81</v>
      </c>
      <c r="J114" s="3">
        <v>76</v>
      </c>
    </row>
    <row r="115" spans="1:10" ht="16.5" x14ac:dyDescent="0.3">
      <c r="A115" s="3">
        <v>937</v>
      </c>
      <c r="B115" s="3" t="s">
        <v>260</v>
      </c>
      <c r="C115" s="3">
        <v>63</v>
      </c>
      <c r="D115" s="24">
        <v>273.8</v>
      </c>
      <c r="E115" s="3">
        <v>32</v>
      </c>
      <c r="F115" s="24">
        <v>25.8</v>
      </c>
      <c r="G115" s="24">
        <f>F115*1000*پارامترها!$B$16</f>
        <v>774</v>
      </c>
      <c r="H115" s="24">
        <f>IF(AND(D115&gt;0,F115&gt;0),D115/(F115*پارامترها!$B$16*12),"")</f>
        <v>29.478897502153316</v>
      </c>
      <c r="I115" s="3">
        <v>91</v>
      </c>
      <c r="J115" s="3">
        <v>84</v>
      </c>
    </row>
    <row r="116" spans="1:10" x14ac:dyDescent="0.2">
      <c r="A116" s="3">
        <v>399</v>
      </c>
      <c r="B116" s="3" t="s">
        <v>179</v>
      </c>
      <c r="C116" s="3">
        <v>92</v>
      </c>
      <c r="D116" s="24">
        <v>273.8</v>
      </c>
      <c r="E116" s="3">
        <v>81</v>
      </c>
      <c r="F116" s="24">
        <v>23.5</v>
      </c>
      <c r="G116" s="24">
        <f>F116*1000*پارامترها!$B$16</f>
        <v>705</v>
      </c>
      <c r="H116" s="24">
        <f>IF(AND(D116&gt;0,F116&gt;0),D116/(F116*پارامترها!$B$16*12),"")</f>
        <v>32.364066193853432</v>
      </c>
      <c r="I116" s="3">
        <v>81</v>
      </c>
      <c r="J116" s="3">
        <v>90</v>
      </c>
    </row>
    <row r="117" spans="1:10" x14ac:dyDescent="0.2">
      <c r="A117" s="3">
        <v>143</v>
      </c>
      <c r="B117" s="3" t="s">
        <v>218</v>
      </c>
      <c r="C117" s="3">
        <v>91</v>
      </c>
      <c r="D117" s="24">
        <v>271.10000000000002</v>
      </c>
      <c r="E117" s="3">
        <v>88</v>
      </c>
      <c r="F117" s="24">
        <v>26.22</v>
      </c>
      <c r="G117" s="24">
        <f>F117*1000*پارامترها!$B$16</f>
        <v>786.6</v>
      </c>
      <c r="H117" s="24">
        <f>IF(AND(D117&gt;0,F117&gt;0),D117/(F117*پارامترها!$B$16*12),"")</f>
        <v>28.720654292736675</v>
      </c>
      <c r="I117" s="3">
        <v>70</v>
      </c>
      <c r="J117" s="3">
        <v>80</v>
      </c>
    </row>
    <row r="118" spans="1:10" x14ac:dyDescent="0.2">
      <c r="A118" s="3">
        <v>991</v>
      </c>
      <c r="B118" s="3" t="s">
        <v>331</v>
      </c>
      <c r="C118" s="3">
        <v>75</v>
      </c>
      <c r="D118" s="24">
        <v>270</v>
      </c>
      <c r="E118" s="3">
        <v>57</v>
      </c>
      <c r="F118" s="24">
        <v>21.93</v>
      </c>
      <c r="G118" s="24">
        <f>F118*1000*پارامترها!$B$16</f>
        <v>657.9</v>
      </c>
      <c r="H118" s="24">
        <f>IF(AND(D118&gt;0,F118&gt;0),D118/(F118*پارامترها!$B$16*12),"")</f>
        <v>34.199726402188787</v>
      </c>
      <c r="I118" s="3">
        <v>101</v>
      </c>
      <c r="J118" s="3">
        <v>82</v>
      </c>
    </row>
    <row r="119" spans="1:10" x14ac:dyDescent="0.2">
      <c r="A119" s="3">
        <v>120</v>
      </c>
      <c r="B119" s="3" t="s">
        <v>277</v>
      </c>
      <c r="C119" s="3">
        <v>89</v>
      </c>
      <c r="D119" s="24">
        <v>267.3</v>
      </c>
      <c r="E119" s="3">
        <v>85</v>
      </c>
      <c r="F119" s="24">
        <v>26.67</v>
      </c>
      <c r="G119" s="24">
        <f>F119*1000*پارامترها!$B$16</f>
        <v>800.1</v>
      </c>
      <c r="H119" s="24">
        <f>IF(AND(D119&gt;0,F119&gt;0),D119/(F119*پارامترها!$B$16*12),"")</f>
        <v>27.840269966254219</v>
      </c>
      <c r="I119" s="3">
        <v>70</v>
      </c>
      <c r="J119" s="3">
        <v>73</v>
      </c>
    </row>
    <row r="120" spans="1:10" x14ac:dyDescent="0.2">
      <c r="A120" s="3">
        <v>168</v>
      </c>
      <c r="B120" s="3" t="s">
        <v>222</v>
      </c>
      <c r="C120" s="3">
        <v>86</v>
      </c>
      <c r="D120" s="24">
        <v>266.5</v>
      </c>
      <c r="E120" s="3">
        <v>61</v>
      </c>
      <c r="F120" s="24">
        <v>25.56</v>
      </c>
      <c r="G120" s="24">
        <f>F120*1000*پارامترها!$B$16</f>
        <v>766.8</v>
      </c>
      <c r="H120" s="24">
        <f>IF(AND(D120&gt;0,F120&gt;0),D120/(F120*پارامترها!$B$16*12),"")</f>
        <v>28.962354373152497</v>
      </c>
      <c r="I120" s="3">
        <v>86.5</v>
      </c>
      <c r="J120" s="3">
        <v>65</v>
      </c>
    </row>
    <row r="121" spans="1:10" x14ac:dyDescent="0.2">
      <c r="A121" s="3">
        <v>127</v>
      </c>
      <c r="B121" s="3" t="s">
        <v>262</v>
      </c>
      <c r="C121" s="3">
        <v>90</v>
      </c>
      <c r="D121" s="24">
        <v>266.3</v>
      </c>
      <c r="E121" s="3">
        <v>73</v>
      </c>
      <c r="F121" s="24">
        <v>27.06</v>
      </c>
      <c r="G121" s="24">
        <f>F121*1000*پارامترها!$B$16</f>
        <v>811.8</v>
      </c>
      <c r="H121" s="24">
        <f>IF(AND(D121&gt;0,F121&gt;0),D121/(F121*پارامترها!$B$16*12),"")</f>
        <v>27.336371848566973</v>
      </c>
      <c r="I121" s="3">
        <v>75</v>
      </c>
      <c r="J121" s="3">
        <v>83</v>
      </c>
    </row>
    <row r="122" spans="1:10" x14ac:dyDescent="0.2">
      <c r="A122" s="3">
        <v>965</v>
      </c>
      <c r="B122" s="3" t="s">
        <v>364</v>
      </c>
      <c r="C122" s="3">
        <v>86</v>
      </c>
      <c r="D122" s="24">
        <v>262</v>
      </c>
      <c r="E122" s="3">
        <v>79</v>
      </c>
      <c r="F122" s="24">
        <v>27.78</v>
      </c>
      <c r="G122" s="24">
        <f>F122*1000*پارامترها!$B$16</f>
        <v>833.4</v>
      </c>
      <c r="H122" s="24">
        <f>IF(AND(D122&gt;0,F122&gt;0),D122/(F122*پارامترها!$B$16*12),"")</f>
        <v>26.197904167666586</v>
      </c>
      <c r="I122" s="3">
        <v>90</v>
      </c>
      <c r="J122" s="3">
        <v>91</v>
      </c>
    </row>
    <row r="123" spans="1:10" x14ac:dyDescent="0.2">
      <c r="A123" s="3">
        <v>46</v>
      </c>
      <c r="B123" s="3" t="s">
        <v>122</v>
      </c>
      <c r="C123" s="3">
        <v>17</v>
      </c>
      <c r="D123" s="24">
        <v>260</v>
      </c>
      <c r="E123" s="3">
        <v>10</v>
      </c>
      <c r="F123" s="24">
        <v>27.24</v>
      </c>
      <c r="G123" s="24">
        <f>F123*1000*پارامترها!$B$16</f>
        <v>817.19999999999993</v>
      </c>
      <c r="H123" s="24">
        <f>IF(AND(D123&gt;0,F123&gt;0),D123/(F123*پارامترها!$B$16*12),"")</f>
        <v>26.513297438407569</v>
      </c>
      <c r="I123" s="3">
        <v>80</v>
      </c>
      <c r="J123" s="3">
        <v>74</v>
      </c>
    </row>
    <row r="124" spans="1:10" x14ac:dyDescent="0.2">
      <c r="A124" s="3">
        <v>169</v>
      </c>
      <c r="B124" s="3" t="s">
        <v>220</v>
      </c>
      <c r="C124" s="3">
        <v>2</v>
      </c>
      <c r="D124" s="24">
        <v>256</v>
      </c>
      <c r="E124" s="3">
        <v>1</v>
      </c>
      <c r="F124" s="24">
        <v>25</v>
      </c>
      <c r="G124" s="24">
        <f>F124*1000*پارامترها!$B$16</f>
        <v>750</v>
      </c>
      <c r="H124" s="24">
        <f>IF(AND(D124&gt;0,F124&gt;0),D124/(F124*پارامترها!$B$16*12),"")</f>
        <v>28.444444444444443</v>
      </c>
      <c r="I124" s="3">
        <v>119.5</v>
      </c>
      <c r="J124" s="3">
        <v>100</v>
      </c>
    </row>
    <row r="125" spans="1:10" x14ac:dyDescent="0.2">
      <c r="A125" s="3">
        <v>928</v>
      </c>
      <c r="B125" s="3" t="s">
        <v>574</v>
      </c>
      <c r="C125" s="3">
        <v>92</v>
      </c>
      <c r="D125" s="24">
        <v>255.8</v>
      </c>
      <c r="E125" s="3">
        <v>78</v>
      </c>
      <c r="F125" s="24">
        <v>25.76</v>
      </c>
      <c r="G125" s="24">
        <f>F125*1000*پارامترها!$B$16</f>
        <v>772.8</v>
      </c>
      <c r="H125" s="24">
        <f>IF(AND(D125&gt;0,F125&gt;0),D125/(F125*پارامترها!$B$16*12),"")</f>
        <v>27.583678398895792</v>
      </c>
      <c r="I125" s="3">
        <v>80</v>
      </c>
      <c r="J125" s="3">
        <v>89</v>
      </c>
    </row>
    <row r="126" spans="1:10" x14ac:dyDescent="0.2">
      <c r="A126" s="3">
        <v>121</v>
      </c>
      <c r="B126" s="3" t="s">
        <v>182</v>
      </c>
      <c r="C126" s="3">
        <v>81</v>
      </c>
      <c r="D126" s="24">
        <v>255</v>
      </c>
      <c r="E126" s="3">
        <v>77</v>
      </c>
      <c r="F126" s="24">
        <v>22.22</v>
      </c>
      <c r="G126" s="24">
        <f>F126*1000*پارامترها!$B$16</f>
        <v>666.6</v>
      </c>
      <c r="H126" s="24">
        <f>IF(AND(D126&gt;0,F126&gt;0),D126/(F126*پارامترها!$B$16*12),"")</f>
        <v>31.878187818781878</v>
      </c>
      <c r="I126" s="3">
        <v>95</v>
      </c>
      <c r="J126" s="3">
        <v>98</v>
      </c>
    </row>
    <row r="127" spans="1:10" x14ac:dyDescent="0.2">
      <c r="A127" s="3">
        <v>171</v>
      </c>
      <c r="B127" s="3" t="s">
        <v>150</v>
      </c>
      <c r="C127" s="3">
        <v>87</v>
      </c>
      <c r="D127" s="24">
        <v>252.9</v>
      </c>
      <c r="E127" s="3">
        <v>86</v>
      </c>
      <c r="F127" s="24">
        <v>24.6</v>
      </c>
      <c r="G127" s="24">
        <f>F127*1000*پارامترها!$B$16</f>
        <v>738</v>
      </c>
      <c r="H127" s="24">
        <f>IF(AND(D127&gt;0,F127&gt;0),D127/(F127*پارامترها!$B$16*12),"")</f>
        <v>28.556910569105693</v>
      </c>
      <c r="I127" s="3">
        <v>85</v>
      </c>
      <c r="J127" s="3">
        <v>85</v>
      </c>
    </row>
    <row r="128" spans="1:10" x14ac:dyDescent="0.2">
      <c r="A128" s="3">
        <v>154</v>
      </c>
      <c r="B128" s="3" t="s">
        <v>223</v>
      </c>
      <c r="C128" s="3">
        <v>88</v>
      </c>
      <c r="D128" s="24">
        <v>251.9</v>
      </c>
      <c r="E128" s="3">
        <v>81</v>
      </c>
      <c r="F128" s="24">
        <v>25</v>
      </c>
      <c r="G128" s="24">
        <f>F128*1000*پارامترها!$B$16</f>
        <v>750</v>
      </c>
      <c r="H128" s="24">
        <f>IF(AND(D128&gt;0,F128&gt;0),D128/(F128*پارامترها!$B$16*12),"")</f>
        <v>27.988888888888891</v>
      </c>
      <c r="I128" s="3">
        <v>90</v>
      </c>
      <c r="J128" s="3">
        <v>98</v>
      </c>
    </row>
    <row r="129" spans="1:10" ht="16.5" x14ac:dyDescent="0.3">
      <c r="A129" s="3">
        <v>134</v>
      </c>
      <c r="B129" s="3" t="s">
        <v>348</v>
      </c>
      <c r="C129" s="3">
        <v>91</v>
      </c>
      <c r="D129" s="24">
        <v>249.8</v>
      </c>
      <c r="E129" s="3">
        <v>82</v>
      </c>
      <c r="F129" s="24">
        <v>26.32</v>
      </c>
      <c r="G129" s="24">
        <f>F129*1000*پارامترها!$B$16</f>
        <v>789.6</v>
      </c>
      <c r="H129" s="24">
        <f>IF(AND(D129&gt;0,F129&gt;0),D129/(F129*پارامترها!$B$16*12),"")</f>
        <v>26.363559608240461</v>
      </c>
      <c r="I129" s="3">
        <v>88</v>
      </c>
      <c r="J129" s="3">
        <v>87.5</v>
      </c>
    </row>
    <row r="130" spans="1:10" x14ac:dyDescent="0.2">
      <c r="A130" s="3">
        <v>163</v>
      </c>
      <c r="B130" s="3" t="s">
        <v>509</v>
      </c>
      <c r="C130" s="3">
        <v>62</v>
      </c>
      <c r="D130" s="24">
        <v>249.1</v>
      </c>
      <c r="E130" s="3">
        <v>79</v>
      </c>
      <c r="F130" s="24">
        <v>24.14</v>
      </c>
      <c r="G130" s="24">
        <f>F130*1000*پارامترها!$B$16</f>
        <v>724.19999999999993</v>
      </c>
      <c r="H130" s="24">
        <f>IF(AND(D130&gt;0,F130&gt;0),D130/(F130*پارامترها!$B$16*12),"")</f>
        <v>28.663812943017582</v>
      </c>
      <c r="I130" s="3">
        <v>115.5</v>
      </c>
      <c r="J130" s="3">
        <v>130</v>
      </c>
    </row>
    <row r="131" spans="1:10" ht="16.5" x14ac:dyDescent="0.3">
      <c r="A131" s="3">
        <v>165</v>
      </c>
      <c r="B131" s="3" t="s">
        <v>311</v>
      </c>
      <c r="C131" s="3">
        <v>81</v>
      </c>
      <c r="D131" s="24">
        <v>247.6</v>
      </c>
      <c r="E131" s="3">
        <v>84</v>
      </c>
      <c r="F131" s="24">
        <v>25.92</v>
      </c>
      <c r="G131" s="24">
        <f>F131*1000*پارامترها!$B$16</f>
        <v>777.6</v>
      </c>
      <c r="H131" s="24">
        <f>IF(AND(D131&gt;0,F131&gt;0),D131/(F131*پارامترها!$B$16*12),"")</f>
        <v>26.53463648834019</v>
      </c>
      <c r="I131" s="3">
        <v>110</v>
      </c>
      <c r="J131" s="3">
        <v>140</v>
      </c>
    </row>
    <row r="132" spans="1:10" ht="16.5" x14ac:dyDescent="0.3">
      <c r="A132" s="3">
        <v>156</v>
      </c>
      <c r="B132" s="3" t="s">
        <v>227</v>
      </c>
      <c r="C132" s="3">
        <v>91</v>
      </c>
      <c r="D132" s="24">
        <v>247.2</v>
      </c>
      <c r="E132" s="3">
        <v>86</v>
      </c>
      <c r="F132" s="24">
        <v>24.04</v>
      </c>
      <c r="G132" s="24">
        <f>F132*1000*پارامترها!$B$16</f>
        <v>721.19999999999993</v>
      </c>
      <c r="H132" s="24">
        <f>IF(AND(D132&gt;0,F132&gt;0),D132/(F132*پارامترها!$B$16*12),"")</f>
        <v>28.563505268996121</v>
      </c>
      <c r="I132" s="3">
        <v>83</v>
      </c>
      <c r="J132" s="3">
        <v>85.5</v>
      </c>
    </row>
    <row r="133" spans="1:10" x14ac:dyDescent="0.2">
      <c r="A133" s="3">
        <v>118</v>
      </c>
      <c r="B133" s="3" t="s">
        <v>278</v>
      </c>
      <c r="C133" s="3">
        <v>90</v>
      </c>
      <c r="D133" s="24">
        <v>245.4</v>
      </c>
      <c r="E133" s="3">
        <v>87</v>
      </c>
      <c r="F133" s="24">
        <v>23.73</v>
      </c>
      <c r="G133" s="24">
        <f>F133*1000*پارامترها!$B$16</f>
        <v>711.9</v>
      </c>
      <c r="H133" s="24">
        <f>IF(AND(D133&gt;0,F133&gt;0),D133/(F133*پارامترها!$B$16*12),"")</f>
        <v>28.725944655148197</v>
      </c>
      <c r="I133" s="3">
        <v>76</v>
      </c>
      <c r="J133" s="3">
        <v>75</v>
      </c>
    </row>
    <row r="134" spans="1:10" x14ac:dyDescent="0.2">
      <c r="A134" s="3">
        <v>155</v>
      </c>
      <c r="B134" s="3" t="s">
        <v>229</v>
      </c>
      <c r="C134" s="3">
        <v>83</v>
      </c>
      <c r="D134" s="24">
        <v>244.6</v>
      </c>
      <c r="E134" s="3">
        <v>84</v>
      </c>
      <c r="F134" s="24">
        <v>23.1</v>
      </c>
      <c r="G134" s="24">
        <f>F134*1000*پارامترها!$B$16</f>
        <v>693</v>
      </c>
      <c r="H134" s="24">
        <f>IF(AND(D134&gt;0,F134&gt;0),D134/(F134*پارامترها!$B$16*12),"")</f>
        <v>29.41317941317941</v>
      </c>
      <c r="I134" s="3">
        <v>69</v>
      </c>
      <c r="J134" s="3">
        <v>90</v>
      </c>
    </row>
    <row r="135" spans="1:10" x14ac:dyDescent="0.2">
      <c r="A135" s="3">
        <v>126</v>
      </c>
      <c r="B135" s="3" t="s">
        <v>281</v>
      </c>
      <c r="C135" s="3">
        <v>86</v>
      </c>
      <c r="D135" s="24">
        <v>242.5</v>
      </c>
      <c r="E135" s="3">
        <v>86</v>
      </c>
      <c r="F135" s="24">
        <v>23.08</v>
      </c>
      <c r="G135" s="24">
        <f>F135*1000*پارامترها!$B$16</f>
        <v>692.4</v>
      </c>
      <c r="H135" s="24">
        <f>IF(AND(D135&gt;0,F135&gt;0),D135/(F135*پارامترها!$B$16*12),"")</f>
        <v>29.185923358367038</v>
      </c>
      <c r="I135" s="3">
        <v>61</v>
      </c>
      <c r="J135" s="3">
        <v>72</v>
      </c>
    </row>
    <row r="136" spans="1:10" x14ac:dyDescent="0.2">
      <c r="A136" s="3">
        <v>959</v>
      </c>
      <c r="B136" s="3" t="s">
        <v>263</v>
      </c>
      <c r="C136" s="3">
        <v>89</v>
      </c>
      <c r="D136" s="24">
        <v>240</v>
      </c>
      <c r="E136" s="3">
        <v>83</v>
      </c>
      <c r="F136" s="24">
        <v>26.61</v>
      </c>
      <c r="G136" s="24">
        <f>F136*1000*پارامترها!$B$16</f>
        <v>798.3</v>
      </c>
      <c r="H136" s="24">
        <f>IF(AND(D136&gt;0,F136&gt;0),D136/(F136*پارامترها!$B$16*12),"")</f>
        <v>25.053238131028436</v>
      </c>
      <c r="I136" s="3">
        <v>71</v>
      </c>
      <c r="J136" s="3">
        <v>75</v>
      </c>
    </row>
    <row r="137" spans="1:10" x14ac:dyDescent="0.2">
      <c r="A137" s="3">
        <v>909</v>
      </c>
      <c r="B137" s="3" t="s">
        <v>510</v>
      </c>
      <c r="C137" s="3">
        <v>72</v>
      </c>
      <c r="D137" s="24">
        <v>239.6</v>
      </c>
      <c r="E137" s="3">
        <v>85</v>
      </c>
      <c r="F137" s="24">
        <v>25.02</v>
      </c>
      <c r="G137" s="24">
        <f>F137*1000*پارامترها!$B$16</f>
        <v>750.6</v>
      </c>
      <c r="H137" s="24">
        <f>IF(AND(D137&gt;0,F137&gt;0),D137/(F137*پارامترها!$B$16*12),"")</f>
        <v>26.600941469046987</v>
      </c>
      <c r="I137" s="3">
        <v>116</v>
      </c>
      <c r="J137" s="3">
        <v>127</v>
      </c>
    </row>
    <row r="138" spans="1:10" x14ac:dyDescent="0.2">
      <c r="A138" s="3">
        <v>291</v>
      </c>
      <c r="B138" s="3" t="s">
        <v>575</v>
      </c>
      <c r="C138" s="3">
        <v>84</v>
      </c>
      <c r="D138" s="24">
        <v>238.1</v>
      </c>
      <c r="E138" s="3">
        <v>82</v>
      </c>
      <c r="F138" s="24">
        <v>23.14</v>
      </c>
      <c r="G138" s="24">
        <f>F138*1000*پارامترها!$B$16</f>
        <v>694.19999999999993</v>
      </c>
      <c r="H138" s="24">
        <f>IF(AND(D138&gt;0,F138&gt;0),D138/(F138*پارامترها!$B$16*12),"")</f>
        <v>28.58206088543167</v>
      </c>
      <c r="I138" s="3">
        <v>93</v>
      </c>
      <c r="J138" s="3">
        <v>75</v>
      </c>
    </row>
    <row r="139" spans="1:10" x14ac:dyDescent="0.2">
      <c r="A139" s="3">
        <v>658</v>
      </c>
      <c r="B139" s="3" t="s">
        <v>249</v>
      </c>
      <c r="C139" s="3">
        <v>88</v>
      </c>
      <c r="D139" s="24">
        <v>238</v>
      </c>
      <c r="E139" s="3">
        <v>54</v>
      </c>
      <c r="F139" s="24">
        <v>23.33</v>
      </c>
      <c r="G139" s="24">
        <f>F139*1000*پارامترها!$B$16</f>
        <v>699.9</v>
      </c>
      <c r="H139" s="24">
        <f>IF(AND(D139&gt;0,F139&gt;0),D139/(F139*پارامترها!$B$16*12),"")</f>
        <v>28.337381530694863</v>
      </c>
      <c r="I139" s="3">
        <v>94</v>
      </c>
      <c r="J139" s="3">
        <v>95</v>
      </c>
    </row>
    <row r="140" spans="1:10" x14ac:dyDescent="0.2">
      <c r="A140" s="3">
        <v>141</v>
      </c>
      <c r="B140" s="3" t="s">
        <v>225</v>
      </c>
      <c r="C140" s="3">
        <v>23</v>
      </c>
      <c r="D140" s="24">
        <v>234.9</v>
      </c>
      <c r="E140" s="3">
        <v>12</v>
      </c>
      <c r="F140" s="24">
        <v>29</v>
      </c>
      <c r="G140" s="24">
        <f>F140*1000*پارامترها!$B$16</f>
        <v>870</v>
      </c>
      <c r="H140" s="24">
        <f>IF(AND(D140&gt;0,F140&gt;0),D140/(F140*پارامترها!$B$16*12),"")</f>
        <v>22.5</v>
      </c>
      <c r="I140" s="3">
        <v>81.5</v>
      </c>
      <c r="J140" s="3">
        <v>98</v>
      </c>
    </row>
    <row r="141" spans="1:10" x14ac:dyDescent="0.2">
      <c r="A141" s="3">
        <v>116</v>
      </c>
      <c r="B141" s="3" t="s">
        <v>186</v>
      </c>
      <c r="C141" s="3">
        <v>87</v>
      </c>
      <c r="D141" s="24">
        <v>233.8</v>
      </c>
      <c r="E141" s="3">
        <v>75</v>
      </c>
      <c r="F141" s="24">
        <v>23.08</v>
      </c>
      <c r="G141" s="24">
        <f>F141*1000*پارامترها!$B$16</f>
        <v>692.4</v>
      </c>
      <c r="H141" s="24">
        <f>IF(AND(D141&gt;0,F141&gt;0),D141/(F141*پارامترها!$B$16*12),"")</f>
        <v>28.138840747159648</v>
      </c>
      <c r="I141" s="3">
        <v>85</v>
      </c>
      <c r="J141" s="3">
        <v>90</v>
      </c>
    </row>
    <row r="142" spans="1:10" x14ac:dyDescent="0.2">
      <c r="A142" s="3">
        <v>910</v>
      </c>
      <c r="B142" s="3" t="s">
        <v>493</v>
      </c>
      <c r="C142" s="3">
        <v>89</v>
      </c>
      <c r="D142" s="24">
        <v>232.1</v>
      </c>
      <c r="E142" s="3">
        <v>27</v>
      </c>
      <c r="F142" s="24">
        <v>20</v>
      </c>
      <c r="G142" s="24">
        <f>F142*1000*پارامترها!$B$16</f>
        <v>600</v>
      </c>
      <c r="H142" s="24">
        <f>IF(AND(D142&gt;0,F142&gt;0),D142/(F142*پارامترها!$B$16*12),"")</f>
        <v>32.236111111111114</v>
      </c>
      <c r="I142" s="3">
        <v>94</v>
      </c>
      <c r="J142" s="3">
        <v>75</v>
      </c>
    </row>
    <row r="143" spans="1:10" x14ac:dyDescent="0.2">
      <c r="A143" s="3">
        <v>954</v>
      </c>
      <c r="B143" s="3" t="s">
        <v>576</v>
      </c>
      <c r="C143" s="3">
        <v>92</v>
      </c>
      <c r="D143" s="24">
        <v>232</v>
      </c>
      <c r="E143" s="3">
        <v>86</v>
      </c>
      <c r="F143" s="24">
        <v>23.21</v>
      </c>
      <c r="G143" s="24">
        <f>F143*1000*پارامترها!$B$16</f>
        <v>696.3</v>
      </c>
      <c r="H143" s="24">
        <f>IF(AND(D143&gt;0,F143&gt;0),D143/(F143*پارامترها!$B$16*12),"")</f>
        <v>27.76580975633108</v>
      </c>
      <c r="I143" s="3">
        <v>70</v>
      </c>
      <c r="J143" s="3">
        <v>70</v>
      </c>
    </row>
    <row r="144" spans="1:10" x14ac:dyDescent="0.2">
      <c r="A144" s="3">
        <v>945</v>
      </c>
      <c r="B144" s="3" t="s">
        <v>282</v>
      </c>
      <c r="C144" s="3">
        <v>91</v>
      </c>
      <c r="D144" s="24">
        <v>231.9</v>
      </c>
      <c r="E144" s="3">
        <v>74</v>
      </c>
      <c r="F144" s="24">
        <v>22.08</v>
      </c>
      <c r="G144" s="24">
        <f>F144*1000*پارامترها!$B$16</f>
        <v>662.4</v>
      </c>
      <c r="H144" s="24">
        <f>IF(AND(D144&gt;0,F144&gt;0),D144/(F144*پارامترها!$B$16*12),"")</f>
        <v>29.174214975845416</v>
      </c>
      <c r="I144" s="3">
        <v>65.5</v>
      </c>
      <c r="J144" s="3">
        <v>60</v>
      </c>
    </row>
    <row r="145" spans="1:10" x14ac:dyDescent="0.2">
      <c r="A145" s="3">
        <v>110</v>
      </c>
      <c r="B145" s="3" t="s">
        <v>188</v>
      </c>
      <c r="C145" s="3">
        <v>85</v>
      </c>
      <c r="D145" s="24">
        <v>230</v>
      </c>
      <c r="E145" s="3">
        <v>79</v>
      </c>
      <c r="F145" s="24">
        <v>22.14</v>
      </c>
      <c r="G145" s="24">
        <f>F145*1000*پارامترها!$B$16</f>
        <v>664.19999999999993</v>
      </c>
      <c r="H145" s="24">
        <f>IF(AND(D145&gt;0,F145&gt;0),D145/(F145*پارامترها!$B$16*12),"")</f>
        <v>28.856770049181975</v>
      </c>
      <c r="I145" s="3">
        <v>71</v>
      </c>
      <c r="J145" s="3">
        <v>85</v>
      </c>
    </row>
    <row r="146" spans="1:10" x14ac:dyDescent="0.2">
      <c r="A146" s="3">
        <v>1031</v>
      </c>
      <c r="B146" s="3" t="s">
        <v>511</v>
      </c>
      <c r="C146" s="3">
        <v>86</v>
      </c>
      <c r="D146" s="24">
        <v>229.3</v>
      </c>
      <c r="E146" s="3">
        <v>83</v>
      </c>
      <c r="F146" s="24">
        <v>22.22</v>
      </c>
      <c r="G146" s="24">
        <f>F146*1000*پارامترها!$B$16</f>
        <v>666.6</v>
      </c>
      <c r="H146" s="24">
        <f>IF(AND(D146&gt;0,F146&gt;0),D146/(F146*پارامترها!$B$16*12),"")</f>
        <v>28.665366536653668</v>
      </c>
      <c r="I146" s="3">
        <v>123.5</v>
      </c>
      <c r="J146" s="3">
        <v>120</v>
      </c>
    </row>
    <row r="147" spans="1:10" x14ac:dyDescent="0.2">
      <c r="A147" s="3">
        <v>951</v>
      </c>
      <c r="B147" s="3" t="s">
        <v>350</v>
      </c>
      <c r="C147" s="3">
        <v>78</v>
      </c>
      <c r="D147" s="24">
        <v>225.6</v>
      </c>
      <c r="E147" s="3">
        <v>70</v>
      </c>
      <c r="F147" s="24">
        <v>21.99</v>
      </c>
      <c r="G147" s="24">
        <f>F147*1000*پارامترها!$B$16</f>
        <v>659.69999999999993</v>
      </c>
      <c r="H147" s="24">
        <f>IF(AND(D147&gt;0,F147&gt;0),D147/(F147*پارامترها!$B$16*12),"")</f>
        <v>28.497802031226318</v>
      </c>
      <c r="I147" s="3">
        <v>84</v>
      </c>
      <c r="J147" s="3">
        <v>93.5</v>
      </c>
    </row>
    <row r="148" spans="1:10" x14ac:dyDescent="0.2">
      <c r="A148" s="3">
        <v>311</v>
      </c>
      <c r="B148" s="3" t="s">
        <v>501</v>
      </c>
      <c r="C148" s="3">
        <v>79</v>
      </c>
      <c r="D148" s="24">
        <v>220.5</v>
      </c>
      <c r="E148" s="3">
        <v>80</v>
      </c>
      <c r="F148" s="24">
        <v>22.31</v>
      </c>
      <c r="G148" s="24">
        <f>F148*1000*پارامترها!$B$16</f>
        <v>669.3</v>
      </c>
      <c r="H148" s="24">
        <f>IF(AND(D148&gt;0,F148&gt;0),D148/(F148*پارامترها!$B$16*12),"")</f>
        <v>27.454056476916183</v>
      </c>
      <c r="I148" s="3">
        <v>119</v>
      </c>
      <c r="J148" s="3">
        <v>118</v>
      </c>
    </row>
    <row r="149" spans="1:10" x14ac:dyDescent="0.2">
      <c r="A149" s="3">
        <v>961</v>
      </c>
      <c r="B149" s="3" t="s">
        <v>191</v>
      </c>
      <c r="C149" s="3">
        <v>90</v>
      </c>
      <c r="D149" s="24">
        <v>219.7</v>
      </c>
      <c r="E149" s="3">
        <v>86</v>
      </c>
      <c r="F149" s="24">
        <v>22.22</v>
      </c>
      <c r="G149" s="24">
        <f>F149*1000*پارامترها!$B$16</f>
        <v>666.6</v>
      </c>
      <c r="H149" s="24">
        <f>IF(AND(D149&gt;0,F149&gt;0),D149/(F149*پارامترها!$B$16*12),"")</f>
        <v>27.465246524652464</v>
      </c>
      <c r="I149" s="3">
        <v>85</v>
      </c>
      <c r="J149" s="3">
        <v>88</v>
      </c>
    </row>
    <row r="150" spans="1:10" x14ac:dyDescent="0.2">
      <c r="A150" s="3">
        <v>162</v>
      </c>
      <c r="B150" s="3" t="s">
        <v>512</v>
      </c>
      <c r="C150" s="3">
        <v>85</v>
      </c>
      <c r="D150" s="24">
        <v>218.8</v>
      </c>
      <c r="E150" s="3">
        <v>80</v>
      </c>
      <c r="F150" s="24">
        <v>20.13</v>
      </c>
      <c r="G150" s="24">
        <f>F150*1000*پارامترها!$B$16</f>
        <v>603.9</v>
      </c>
      <c r="H150" s="24">
        <f>IF(AND(D150&gt;0,F150&gt;0),D150/(F150*پارامترها!$B$16*12),"")</f>
        <v>30.192636750013801</v>
      </c>
      <c r="I150" s="3">
        <v>117</v>
      </c>
      <c r="J150" s="3">
        <v>115</v>
      </c>
    </row>
    <row r="151" spans="1:10" x14ac:dyDescent="0.2">
      <c r="A151" s="3">
        <v>123</v>
      </c>
      <c r="B151" s="3" t="s">
        <v>577</v>
      </c>
      <c r="C151" s="3">
        <v>85</v>
      </c>
      <c r="D151" s="24">
        <v>217.7</v>
      </c>
      <c r="E151" s="3">
        <v>86</v>
      </c>
      <c r="F151" s="24">
        <v>21.61</v>
      </c>
      <c r="G151" s="24">
        <f>F151*1000*پارامترها!$B$16</f>
        <v>648.29999999999995</v>
      </c>
      <c r="H151" s="24">
        <f>IF(AND(D151&gt;0,F151&gt;0),D151/(F151*پارامترها!$B$16*12),"")</f>
        <v>27.983443878862666</v>
      </c>
      <c r="I151" s="3">
        <v>72</v>
      </c>
      <c r="J151" s="3">
        <v>80</v>
      </c>
    </row>
    <row r="152" spans="1:10" x14ac:dyDescent="0.2">
      <c r="A152" s="3">
        <v>285</v>
      </c>
      <c r="B152" s="3" t="s">
        <v>332</v>
      </c>
      <c r="C152" s="3">
        <v>85</v>
      </c>
      <c r="D152" s="24">
        <v>216.5</v>
      </c>
      <c r="E152" s="3">
        <v>75</v>
      </c>
      <c r="F152" s="24">
        <v>18.670000000000002</v>
      </c>
      <c r="G152" s="24">
        <f>F152*1000*پارامترها!$B$16</f>
        <v>560.1</v>
      </c>
      <c r="H152" s="24">
        <f>IF(AND(D152&gt;0,F152&gt;0),D152/(F152*پارامترها!$B$16*12),"")</f>
        <v>32.21150984943165</v>
      </c>
      <c r="I152" s="3">
        <v>86</v>
      </c>
      <c r="J152" s="3">
        <v>84</v>
      </c>
    </row>
    <row r="153" spans="1:10" x14ac:dyDescent="0.2">
      <c r="A153" s="3">
        <v>153</v>
      </c>
      <c r="B153" s="3" t="s">
        <v>230</v>
      </c>
      <c r="C153" s="3">
        <v>70</v>
      </c>
      <c r="D153" s="24">
        <v>214.8</v>
      </c>
      <c r="E153" s="3">
        <v>23</v>
      </c>
      <c r="F153" s="24">
        <v>21.67</v>
      </c>
      <c r="G153" s="24">
        <f>F153*1000*پارامترها!$B$16</f>
        <v>650.1</v>
      </c>
      <c r="H153" s="24">
        <f>IF(AND(D153&gt;0,F153&gt;0),D153/(F153*پارامترها!$B$16*12),"")</f>
        <v>27.534225503768653</v>
      </c>
      <c r="I153" s="3">
        <v>64</v>
      </c>
      <c r="J153" s="3">
        <v>78</v>
      </c>
    </row>
    <row r="154" spans="1:10" x14ac:dyDescent="0.2">
      <c r="A154" s="3">
        <v>94</v>
      </c>
      <c r="B154" s="3" t="s">
        <v>312</v>
      </c>
      <c r="C154" s="3">
        <v>90</v>
      </c>
      <c r="D154" s="24">
        <v>214.8</v>
      </c>
      <c r="E154" s="3">
        <v>81</v>
      </c>
      <c r="F154" s="24">
        <v>20.83</v>
      </c>
      <c r="G154" s="24">
        <f>F154*1000*پارامترها!$B$16</f>
        <v>624.9</v>
      </c>
      <c r="H154" s="24">
        <f>IF(AND(D154&gt;0,F154&gt;0),D154/(F154*پارامترها!$B$16*12),"")</f>
        <v>28.644583133301332</v>
      </c>
      <c r="I154" s="3">
        <v>80</v>
      </c>
      <c r="J154" s="3">
        <v>67</v>
      </c>
    </row>
    <row r="155" spans="1:10" x14ac:dyDescent="0.2">
      <c r="A155" s="3">
        <v>952</v>
      </c>
      <c r="B155" s="3" t="s">
        <v>351</v>
      </c>
      <c r="C155" s="3">
        <v>82</v>
      </c>
      <c r="D155" s="24">
        <v>214.7</v>
      </c>
      <c r="E155" s="3">
        <v>81</v>
      </c>
      <c r="F155" s="24">
        <v>21.21</v>
      </c>
      <c r="G155" s="24">
        <f>F155*1000*پارامترها!$B$16</f>
        <v>636.29999999999995</v>
      </c>
      <c r="H155" s="24">
        <f>IF(AND(D155&gt;0,F155&gt;0),D155/(F155*پارامترها!$B$16*12),"")</f>
        <v>28.118288019278115</v>
      </c>
      <c r="I155" s="3">
        <v>80</v>
      </c>
      <c r="J155" s="3">
        <v>90</v>
      </c>
    </row>
    <row r="156" spans="1:10" x14ac:dyDescent="0.2">
      <c r="A156" s="3">
        <v>112</v>
      </c>
      <c r="B156" s="3" t="s">
        <v>486</v>
      </c>
      <c r="C156" s="3">
        <v>73</v>
      </c>
      <c r="D156" s="24">
        <v>214.6</v>
      </c>
      <c r="E156" s="3">
        <v>66</v>
      </c>
      <c r="F156" s="24">
        <v>20.52</v>
      </c>
      <c r="G156" s="24">
        <f>F156*1000*پارامترها!$B$16</f>
        <v>615.6</v>
      </c>
      <c r="H156" s="24">
        <f>IF(AND(D156&gt;0,F156&gt;0),D156/(F156*پارامترها!$B$16*12),"")</f>
        <v>29.050249079488847</v>
      </c>
      <c r="I156" s="3">
        <v>80</v>
      </c>
      <c r="J156" s="3">
        <v>88</v>
      </c>
    </row>
    <row r="157" spans="1:10" x14ac:dyDescent="0.2">
      <c r="A157" s="3">
        <v>179</v>
      </c>
      <c r="B157" s="3" t="s">
        <v>494</v>
      </c>
      <c r="C157" s="3">
        <v>23</v>
      </c>
      <c r="D157" s="24">
        <v>214.3</v>
      </c>
      <c r="E157" s="3">
        <v>31</v>
      </c>
      <c r="F157" s="24">
        <v>18.8</v>
      </c>
      <c r="G157" s="24">
        <f>F157*1000*پارامترها!$B$16</f>
        <v>564</v>
      </c>
      <c r="H157" s="24">
        <f>IF(AND(D157&gt;0,F157&gt;0),D157/(F157*پارامترها!$B$16*12),"")</f>
        <v>31.663711583924357</v>
      </c>
      <c r="I157" s="3">
        <v>117</v>
      </c>
      <c r="J157" s="3">
        <v>120</v>
      </c>
    </row>
    <row r="158" spans="1:10" x14ac:dyDescent="0.2">
      <c r="A158" s="3">
        <v>115</v>
      </c>
      <c r="B158" s="3" t="s">
        <v>189</v>
      </c>
      <c r="C158" s="3">
        <v>86</v>
      </c>
      <c r="D158" s="24">
        <v>213.3</v>
      </c>
      <c r="E158" s="3">
        <v>82</v>
      </c>
      <c r="F158" s="24">
        <v>19.899999999999999</v>
      </c>
      <c r="G158" s="24">
        <f>F158*1000*پارامترها!$B$16</f>
        <v>597</v>
      </c>
      <c r="H158" s="24">
        <f>IF(AND(D158&gt;0,F158&gt;0),D158/(F158*پارامترها!$B$16*12),"")</f>
        <v>29.773869346733672</v>
      </c>
      <c r="I158" s="3">
        <v>85</v>
      </c>
      <c r="J158" s="3">
        <v>85</v>
      </c>
    </row>
    <row r="159" spans="1:10" x14ac:dyDescent="0.2">
      <c r="A159" s="3">
        <v>109</v>
      </c>
      <c r="B159" s="3" t="s">
        <v>192</v>
      </c>
      <c r="C159" s="3">
        <v>85</v>
      </c>
      <c r="D159" s="24">
        <v>211.1</v>
      </c>
      <c r="E159" s="3">
        <v>84</v>
      </c>
      <c r="F159" s="24">
        <v>20.16</v>
      </c>
      <c r="G159" s="24">
        <f>F159*1000*پارامترها!$B$16</f>
        <v>604.79999999999995</v>
      </c>
      <c r="H159" s="24">
        <f>IF(AND(D159&gt;0,F159&gt;0),D159/(F159*پارامترها!$B$16*12),"")</f>
        <v>29.086750440917108</v>
      </c>
      <c r="I159" s="3">
        <v>72</v>
      </c>
      <c r="J159" s="3">
        <v>73.5</v>
      </c>
    </row>
    <row r="160" spans="1:10" x14ac:dyDescent="0.2">
      <c r="A160" s="3">
        <v>962</v>
      </c>
      <c r="B160" s="3" t="s">
        <v>353</v>
      </c>
      <c r="C160" s="3">
        <v>80</v>
      </c>
      <c r="D160" s="24">
        <v>210.4</v>
      </c>
      <c r="E160" s="3">
        <v>90</v>
      </c>
      <c r="F160" s="24">
        <v>21.7</v>
      </c>
      <c r="G160" s="24">
        <f>F160*1000*پارامترها!$B$16</f>
        <v>651</v>
      </c>
      <c r="H160" s="24">
        <f>IF(AND(D160&gt;0,F160&gt;0),D160/(F160*پارامترها!$B$16*12),"")</f>
        <v>26.932923707117258</v>
      </c>
      <c r="I160" s="3">
        <v>70</v>
      </c>
      <c r="J160" s="3">
        <v>70</v>
      </c>
    </row>
    <row r="161" spans="1:10" x14ac:dyDescent="0.2">
      <c r="A161" s="3">
        <v>204</v>
      </c>
      <c r="B161" s="3" t="s">
        <v>251</v>
      </c>
      <c r="C161" s="3">
        <v>89</v>
      </c>
      <c r="D161" s="24">
        <v>210.3</v>
      </c>
      <c r="E161" s="3">
        <v>83</v>
      </c>
      <c r="F161" s="24">
        <v>22.5</v>
      </c>
      <c r="G161" s="24">
        <f>F161*1000*پارامترها!$B$16</f>
        <v>675</v>
      </c>
      <c r="H161" s="24">
        <f>IF(AND(D161&gt;0,F161&gt;0),D161/(F161*پارامترها!$B$16*12),"")</f>
        <v>25.962962962962965</v>
      </c>
      <c r="I161" s="3">
        <v>75.5</v>
      </c>
      <c r="J161" s="3">
        <v>64</v>
      </c>
    </row>
    <row r="162" spans="1:10" x14ac:dyDescent="0.2">
      <c r="A162" s="3">
        <v>908</v>
      </c>
      <c r="B162" s="3" t="s">
        <v>519</v>
      </c>
      <c r="C162" s="3">
        <v>82</v>
      </c>
      <c r="D162" s="24">
        <v>210</v>
      </c>
      <c r="E162" s="3">
        <v>83</v>
      </c>
      <c r="F162" s="24">
        <v>21.57</v>
      </c>
      <c r="G162" s="24">
        <f>F162*1000*پارامترها!$B$16</f>
        <v>647.1</v>
      </c>
      <c r="H162" s="24">
        <f>IF(AND(D162&gt;0,F162&gt;0),D162/(F162*پارامترها!$B$16*12),"")</f>
        <v>27.043733580590327</v>
      </c>
      <c r="I162" s="3">
        <v>133</v>
      </c>
      <c r="J162" s="3">
        <v>110</v>
      </c>
    </row>
    <row r="163" spans="1:10" x14ac:dyDescent="0.2">
      <c r="A163" s="3">
        <v>936</v>
      </c>
      <c r="B163" s="3" t="s">
        <v>578</v>
      </c>
      <c r="C163" s="3">
        <v>89</v>
      </c>
      <c r="D163" s="24">
        <v>208.3</v>
      </c>
      <c r="E163" s="3">
        <v>39</v>
      </c>
      <c r="F163" s="24">
        <v>25.3</v>
      </c>
      <c r="G163" s="24">
        <f>F163*1000*پارامترها!$B$16</f>
        <v>759</v>
      </c>
      <c r="H163" s="24">
        <f>IF(AND(D163&gt;0,F163&gt;0),D163/(F163*پارامترها!$B$16*12),"")</f>
        <v>22.870004391743521</v>
      </c>
      <c r="I163" s="3">
        <v>77</v>
      </c>
      <c r="J163" s="3">
        <v>112</v>
      </c>
    </row>
    <row r="164" spans="1:10" x14ac:dyDescent="0.2">
      <c r="A164" s="3">
        <v>967</v>
      </c>
      <c r="B164" s="3" t="s">
        <v>365</v>
      </c>
      <c r="C164" s="3">
        <v>84</v>
      </c>
      <c r="D164" s="24">
        <v>208</v>
      </c>
      <c r="E164" s="3">
        <v>82</v>
      </c>
      <c r="F164" s="24">
        <v>20.38</v>
      </c>
      <c r="G164" s="24">
        <f>F164*1000*پارامترها!$B$16</f>
        <v>611.4</v>
      </c>
      <c r="H164" s="24">
        <f>IF(AND(D164&gt;0,F164&gt;0),D164/(F164*پارامترها!$B$16*12),"")</f>
        <v>28.350234434630906</v>
      </c>
      <c r="I164" s="3">
        <v>72.5</v>
      </c>
      <c r="J164" s="3">
        <v>66</v>
      </c>
    </row>
    <row r="165" spans="1:10" x14ac:dyDescent="0.2">
      <c r="A165" s="3">
        <v>161</v>
      </c>
      <c r="B165" s="3" t="s">
        <v>513</v>
      </c>
      <c r="C165" s="3">
        <v>48</v>
      </c>
      <c r="D165" s="24">
        <v>207.6</v>
      </c>
      <c r="E165" s="3">
        <v>31</v>
      </c>
      <c r="F165" s="24">
        <v>20.74</v>
      </c>
      <c r="G165" s="24">
        <f>F165*1000*پارامترها!$B$16</f>
        <v>622.19999999999993</v>
      </c>
      <c r="H165" s="24">
        <f>IF(AND(D165&gt;0,F165&gt;0),D165/(F165*پارامترها!$B$16*12),"")</f>
        <v>27.804564448730311</v>
      </c>
      <c r="I165" s="3">
        <v>114</v>
      </c>
      <c r="J165" s="3">
        <v>120</v>
      </c>
    </row>
    <row r="166" spans="1:10" x14ac:dyDescent="0.2">
      <c r="A166" s="3">
        <v>182</v>
      </c>
      <c r="B166" s="3" t="s">
        <v>289</v>
      </c>
      <c r="C166" s="3">
        <v>2</v>
      </c>
      <c r="D166" s="24">
        <v>207.5</v>
      </c>
      <c r="E166" s="3">
        <v>0</v>
      </c>
      <c r="F166" s="24"/>
      <c r="G166" s="24"/>
      <c r="H166" s="24"/>
      <c r="I166" s="3">
        <v>105</v>
      </c>
      <c r="J166" s="3"/>
    </row>
    <row r="167" spans="1:10" x14ac:dyDescent="0.2">
      <c r="A167" s="3">
        <v>953</v>
      </c>
      <c r="B167" s="3" t="s">
        <v>354</v>
      </c>
      <c r="C167" s="3">
        <v>85</v>
      </c>
      <c r="D167" s="24">
        <v>207.1</v>
      </c>
      <c r="E167" s="3">
        <v>82</v>
      </c>
      <c r="F167" s="24">
        <v>21.17</v>
      </c>
      <c r="G167" s="24">
        <f>F167*1000*پارامترها!$B$16</f>
        <v>635.1</v>
      </c>
      <c r="H167" s="24">
        <f>IF(AND(D167&gt;0,F167&gt;0),D167/(F167*پارامترها!$B$16*12),"")</f>
        <v>27.174198288983362</v>
      </c>
      <c r="I167" s="3">
        <v>68</v>
      </c>
      <c r="J167" s="3">
        <v>80</v>
      </c>
    </row>
    <row r="168" spans="1:10" x14ac:dyDescent="0.2">
      <c r="A168" s="3">
        <v>130</v>
      </c>
      <c r="B168" s="3" t="s">
        <v>268</v>
      </c>
      <c r="C168" s="3">
        <v>88</v>
      </c>
      <c r="D168" s="24">
        <v>203.9</v>
      </c>
      <c r="E168" s="3">
        <v>81</v>
      </c>
      <c r="F168" s="24">
        <v>23.77</v>
      </c>
      <c r="G168" s="24">
        <f>F168*1000*پارامترها!$B$16</f>
        <v>713.1</v>
      </c>
      <c r="H168" s="24">
        <f>IF(AND(D168&gt;0,F168&gt;0),D168/(F168*پارامترها!$B$16*12),"")</f>
        <v>23.82788762679381</v>
      </c>
      <c r="I168" s="3">
        <v>65</v>
      </c>
      <c r="J168" s="3">
        <v>80</v>
      </c>
    </row>
    <row r="169" spans="1:10" ht="16.5" x14ac:dyDescent="0.3">
      <c r="A169" s="3">
        <v>907</v>
      </c>
      <c r="B169" s="3" t="s">
        <v>579</v>
      </c>
      <c r="C169" s="3">
        <v>75</v>
      </c>
      <c r="D169" s="24">
        <v>201.3</v>
      </c>
      <c r="E169" s="3">
        <v>72</v>
      </c>
      <c r="F169" s="24">
        <v>21.55</v>
      </c>
      <c r="G169" s="24">
        <f>F169*1000*پارامترها!$B$16</f>
        <v>646.5</v>
      </c>
      <c r="H169" s="24">
        <f>IF(AND(D169&gt;0,F169&gt;0),D169/(F169*پارامترها!$B$16*12),"")</f>
        <v>25.947409126063423</v>
      </c>
      <c r="I169" s="3">
        <v>83</v>
      </c>
      <c r="J169" s="3">
        <v>108</v>
      </c>
    </row>
    <row r="170" spans="1:10" x14ac:dyDescent="0.2">
      <c r="A170" s="3">
        <v>273</v>
      </c>
      <c r="B170" s="3" t="s">
        <v>580</v>
      </c>
      <c r="C170" s="3">
        <v>85</v>
      </c>
      <c r="D170" s="24">
        <v>200</v>
      </c>
      <c r="E170" s="3">
        <v>75</v>
      </c>
      <c r="F170" s="24">
        <v>22.22</v>
      </c>
      <c r="G170" s="24">
        <f>F170*1000*پارامترها!$B$16</f>
        <v>666.6</v>
      </c>
      <c r="H170" s="24">
        <f>IF(AND(D170&gt;0,F170&gt;0),D170/(F170*پارامترها!$B$16*12),"")</f>
        <v>25.002500250025001</v>
      </c>
      <c r="I170" s="3">
        <v>79</v>
      </c>
      <c r="J170" s="3">
        <v>84</v>
      </c>
    </row>
    <row r="171" spans="1:10" x14ac:dyDescent="0.2">
      <c r="A171" s="3">
        <v>278</v>
      </c>
      <c r="B171" s="3" t="s">
        <v>316</v>
      </c>
      <c r="C171" s="3">
        <v>91</v>
      </c>
      <c r="D171" s="24">
        <v>200</v>
      </c>
      <c r="E171" s="3">
        <v>77</v>
      </c>
      <c r="F171" s="24">
        <v>23.57</v>
      </c>
      <c r="G171" s="24">
        <f>F171*1000*پارامترها!$B$16</f>
        <v>707.1</v>
      </c>
      <c r="H171" s="24">
        <f>IF(AND(D171&gt;0,F171&gt;0),D171/(F171*پارامترها!$B$16*12),"")</f>
        <v>23.570452081270922</v>
      </c>
      <c r="I171" s="3">
        <v>70</v>
      </c>
      <c r="J171" s="3">
        <v>80</v>
      </c>
    </row>
    <row r="172" spans="1:10" ht="16.5" x14ac:dyDescent="0.3">
      <c r="A172" s="3">
        <v>655</v>
      </c>
      <c r="B172" s="3" t="s">
        <v>314</v>
      </c>
      <c r="C172" s="3">
        <v>89</v>
      </c>
      <c r="D172" s="24">
        <v>200</v>
      </c>
      <c r="E172" s="3">
        <v>67</v>
      </c>
      <c r="F172" s="24">
        <v>22.62</v>
      </c>
      <c r="G172" s="24">
        <f>F172*1000*پارامترها!$B$16</f>
        <v>678.6</v>
      </c>
      <c r="H172" s="24">
        <f>IF(AND(D172&gt;0,F172&gt;0),D172/(F172*پارامترها!$B$16*12),"")</f>
        <v>24.560369387955593</v>
      </c>
      <c r="I172" s="3">
        <v>87</v>
      </c>
      <c r="J172" s="3">
        <v>80</v>
      </c>
    </row>
    <row r="173" spans="1:10" x14ac:dyDescent="0.2">
      <c r="A173" s="3">
        <v>1023</v>
      </c>
      <c r="B173" s="3" t="s">
        <v>387</v>
      </c>
      <c r="C173" s="3">
        <v>40</v>
      </c>
      <c r="D173" s="24">
        <v>200</v>
      </c>
      <c r="E173" s="3">
        <v>2</v>
      </c>
      <c r="F173" s="24">
        <v>14.35</v>
      </c>
      <c r="G173" s="24">
        <f>F173*1000*پارامترها!$B$16</f>
        <v>430.5</v>
      </c>
      <c r="H173" s="24">
        <f>IF(AND(D173&gt;0,F173&gt;0),D173/(F173*پارامترها!$B$16*12),"")</f>
        <v>38.714672861014321</v>
      </c>
      <c r="I173" s="3">
        <v>101.5</v>
      </c>
      <c r="J173" s="3">
        <v>51.5</v>
      </c>
    </row>
    <row r="174" spans="1:10" x14ac:dyDescent="0.2">
      <c r="A174" s="3">
        <v>164</v>
      </c>
      <c r="B174" s="3" t="s">
        <v>581</v>
      </c>
      <c r="C174" s="3">
        <v>74</v>
      </c>
      <c r="D174" s="24">
        <v>198</v>
      </c>
      <c r="E174" s="3">
        <v>17</v>
      </c>
      <c r="F174" s="24">
        <v>18.46</v>
      </c>
      <c r="G174" s="24">
        <f>F174*1000*پارامترها!$B$16</f>
        <v>553.79999999999995</v>
      </c>
      <c r="H174" s="24">
        <f>IF(AND(D174&gt;0,F174&gt;0),D174/(F174*پارامترها!$B$16*12),"")</f>
        <v>29.794149512459374</v>
      </c>
      <c r="I174" s="3">
        <v>81.5</v>
      </c>
      <c r="J174" s="3">
        <v>80</v>
      </c>
    </row>
    <row r="175" spans="1:10" x14ac:dyDescent="0.2">
      <c r="A175" s="3">
        <v>654</v>
      </c>
      <c r="B175" s="3" t="s">
        <v>582</v>
      </c>
      <c r="C175" s="3">
        <v>88</v>
      </c>
      <c r="D175" s="24">
        <v>198</v>
      </c>
      <c r="E175" s="3">
        <v>48</v>
      </c>
      <c r="F175" s="24">
        <v>21.11</v>
      </c>
      <c r="G175" s="24">
        <f>F175*1000*پارامترها!$B$16</f>
        <v>633.29999999999995</v>
      </c>
      <c r="H175" s="24">
        <f>IF(AND(D175&gt;0,F175&gt;0),D175/(F175*پارامترها!$B$16*12),"")</f>
        <v>26.054002842254857</v>
      </c>
      <c r="I175" s="3">
        <v>76</v>
      </c>
      <c r="J175" s="3">
        <v>80</v>
      </c>
    </row>
    <row r="176" spans="1:10" x14ac:dyDescent="0.2">
      <c r="A176" s="3">
        <v>286</v>
      </c>
      <c r="B176" s="3" t="s">
        <v>266</v>
      </c>
      <c r="C176" s="3">
        <v>88</v>
      </c>
      <c r="D176" s="24">
        <v>197.4</v>
      </c>
      <c r="E176" s="3">
        <v>70</v>
      </c>
      <c r="F176" s="24">
        <v>20</v>
      </c>
      <c r="G176" s="24">
        <f>F176*1000*پارامترها!$B$16</f>
        <v>600</v>
      </c>
      <c r="H176" s="24">
        <f>IF(AND(D176&gt;0,F176&gt;0),D176/(F176*پارامترها!$B$16*12),"")</f>
        <v>27.416666666666671</v>
      </c>
      <c r="I176" s="3">
        <v>75</v>
      </c>
      <c r="J176" s="3">
        <v>70</v>
      </c>
    </row>
    <row r="177" spans="1:10" x14ac:dyDescent="0.2">
      <c r="A177" s="3">
        <v>289</v>
      </c>
      <c r="B177" s="3" t="s">
        <v>369</v>
      </c>
      <c r="C177" s="3">
        <v>77</v>
      </c>
      <c r="D177" s="24">
        <v>197.4</v>
      </c>
      <c r="E177" s="3">
        <v>72</v>
      </c>
      <c r="F177" s="24">
        <v>20</v>
      </c>
      <c r="G177" s="24">
        <f>F177*1000*پارامترها!$B$16</f>
        <v>600</v>
      </c>
      <c r="H177" s="24">
        <f>IF(AND(D177&gt;0,F177&gt;0),D177/(F177*پارامترها!$B$16*12),"")</f>
        <v>27.416666666666671</v>
      </c>
      <c r="I177" s="3">
        <v>68</v>
      </c>
      <c r="J177" s="3">
        <v>70</v>
      </c>
    </row>
    <row r="178" spans="1:10" x14ac:dyDescent="0.2">
      <c r="A178" s="3">
        <v>1030</v>
      </c>
      <c r="B178" s="3" t="s">
        <v>521</v>
      </c>
      <c r="C178" s="3">
        <v>79</v>
      </c>
      <c r="D178" s="24">
        <v>195.4</v>
      </c>
      <c r="E178" s="3">
        <v>29</v>
      </c>
      <c r="F178" s="24">
        <v>20</v>
      </c>
      <c r="G178" s="24">
        <f>F178*1000*پارامترها!$B$16</f>
        <v>600</v>
      </c>
      <c r="H178" s="24">
        <f>IF(AND(D178&gt;0,F178&gt;0),D178/(F178*پارامترها!$B$16*12),"")</f>
        <v>27.138888888888893</v>
      </c>
      <c r="I178" s="3">
        <v>85</v>
      </c>
      <c r="J178" s="3">
        <v>98</v>
      </c>
    </row>
    <row r="179" spans="1:10" ht="16.5" x14ac:dyDescent="0.3">
      <c r="A179" s="3">
        <v>949</v>
      </c>
      <c r="B179" s="3" t="s">
        <v>285</v>
      </c>
      <c r="C179" s="3">
        <v>86</v>
      </c>
      <c r="D179" s="24">
        <v>195.2</v>
      </c>
      <c r="E179" s="3">
        <v>78</v>
      </c>
      <c r="F179" s="24">
        <v>20</v>
      </c>
      <c r="G179" s="24">
        <f>F179*1000*پارامترها!$B$16</f>
        <v>600</v>
      </c>
      <c r="H179" s="24">
        <f>IF(AND(D179&gt;0,F179&gt;0),D179/(F179*پارامترها!$B$16*12),"")</f>
        <v>27.111111111111111</v>
      </c>
      <c r="I179" s="3">
        <v>65</v>
      </c>
      <c r="J179" s="3">
        <v>58</v>
      </c>
    </row>
    <row r="180" spans="1:10" x14ac:dyDescent="0.2">
      <c r="A180" s="3">
        <v>955</v>
      </c>
      <c r="B180" s="3" t="s">
        <v>283</v>
      </c>
      <c r="C180" s="3">
        <v>91</v>
      </c>
      <c r="D180" s="24">
        <v>194.5</v>
      </c>
      <c r="E180" s="3">
        <v>77</v>
      </c>
      <c r="F180" s="24">
        <v>19.489999999999998</v>
      </c>
      <c r="G180" s="24">
        <f>F180*1000*پارامترها!$B$16</f>
        <v>584.69999999999993</v>
      </c>
      <c r="H180" s="24">
        <f>IF(AND(D180&gt;0,F180&gt;0),D180/(F180*پارامترها!$B$16*12),"")</f>
        <v>27.7207684852631</v>
      </c>
      <c r="I180" s="3">
        <v>64</v>
      </c>
      <c r="J180" s="3">
        <v>60</v>
      </c>
    </row>
    <row r="181" spans="1:10" x14ac:dyDescent="0.2">
      <c r="A181" s="3">
        <v>277</v>
      </c>
      <c r="B181" s="3" t="s">
        <v>317</v>
      </c>
      <c r="C181" s="3">
        <v>92</v>
      </c>
      <c r="D181" s="24">
        <v>194.3</v>
      </c>
      <c r="E181" s="3">
        <v>72</v>
      </c>
      <c r="F181" s="24">
        <v>21.62</v>
      </c>
      <c r="G181" s="24">
        <f>F181*1000*پارامترها!$B$16</f>
        <v>648.6</v>
      </c>
      <c r="H181" s="24">
        <f>IF(AND(D181&gt;0,F181&gt;0),D181/(F181*پارامترها!$B$16*12),"")</f>
        <v>24.964025079658757</v>
      </c>
      <c r="I181" s="3">
        <v>75.5</v>
      </c>
      <c r="J181" s="3">
        <v>72.5</v>
      </c>
    </row>
    <row r="182" spans="1:10" x14ac:dyDescent="0.2">
      <c r="A182" s="3">
        <v>1020</v>
      </c>
      <c r="B182" s="3" t="s">
        <v>367</v>
      </c>
      <c r="C182" s="3">
        <v>85</v>
      </c>
      <c r="D182" s="24">
        <v>193.1</v>
      </c>
      <c r="E182" s="3">
        <v>82</v>
      </c>
      <c r="F182" s="24">
        <v>20.61</v>
      </c>
      <c r="G182" s="24">
        <f>F182*1000*پارامترها!$B$16</f>
        <v>618.29999999999995</v>
      </c>
      <c r="H182" s="24">
        <f>IF(AND(D182&gt;0,F182&gt;0),D182/(F182*پارامترها!$B$16*12),"")</f>
        <v>26.025661760741823</v>
      </c>
      <c r="I182" s="3">
        <v>85</v>
      </c>
      <c r="J182" s="3">
        <v>80</v>
      </c>
    </row>
    <row r="183" spans="1:10" x14ac:dyDescent="0.2">
      <c r="A183" s="3">
        <v>911</v>
      </c>
      <c r="B183" s="3" t="s">
        <v>583</v>
      </c>
      <c r="C183" s="3">
        <v>10</v>
      </c>
      <c r="D183" s="24">
        <v>192.4</v>
      </c>
      <c r="E183" s="3">
        <v>3</v>
      </c>
      <c r="F183" s="24">
        <v>18.309999999999999</v>
      </c>
      <c r="G183" s="24">
        <f>F183*1000*پارامترها!$B$16</f>
        <v>549.29999999999995</v>
      </c>
      <c r="H183" s="24">
        <f>IF(AND(D183&gt;0,F183&gt;0),D183/(F183*پارامترها!$B$16*12),"")</f>
        <v>29.188664360701505</v>
      </c>
      <c r="I183" s="3">
        <v>102</v>
      </c>
      <c r="J183" s="3">
        <v>71</v>
      </c>
    </row>
    <row r="184" spans="1:10" x14ac:dyDescent="0.2">
      <c r="A184" s="3">
        <v>1034</v>
      </c>
      <c r="B184" s="3" t="s">
        <v>584</v>
      </c>
      <c r="C184" s="3">
        <v>76</v>
      </c>
      <c r="D184" s="24">
        <v>192</v>
      </c>
      <c r="E184" s="3">
        <v>26</v>
      </c>
      <c r="F184" s="24">
        <v>18.670000000000002</v>
      </c>
      <c r="G184" s="24">
        <f>F184*1000*پارامترها!$B$16</f>
        <v>560.1</v>
      </c>
      <c r="H184" s="24">
        <f>IF(AND(D184&gt;0,F184&gt;0),D184/(F184*پارامترها!$B$16*12),"")</f>
        <v>28.566327441528298</v>
      </c>
      <c r="I184" s="3">
        <v>134</v>
      </c>
      <c r="J184" s="3">
        <v>130</v>
      </c>
    </row>
    <row r="185" spans="1:10" x14ac:dyDescent="0.2">
      <c r="A185" s="3">
        <v>308</v>
      </c>
      <c r="B185" s="3" t="s">
        <v>495</v>
      </c>
      <c r="C185" s="3">
        <v>50</v>
      </c>
      <c r="D185" s="24">
        <v>190.2</v>
      </c>
      <c r="E185" s="3">
        <v>6</v>
      </c>
      <c r="F185" s="24">
        <v>15.5</v>
      </c>
      <c r="G185" s="24">
        <f>F185*1000*پارامترها!$B$16</f>
        <v>465</v>
      </c>
      <c r="H185" s="24">
        <f>IF(AND(D185&gt;0,F185&gt;0),D185/(F185*پارامترها!$B$16*12),"")</f>
        <v>34.086021505376344</v>
      </c>
      <c r="I185" s="3">
        <v>75</v>
      </c>
      <c r="J185" s="3">
        <v>75</v>
      </c>
    </row>
    <row r="186" spans="1:10" x14ac:dyDescent="0.2">
      <c r="A186" s="3">
        <v>1029</v>
      </c>
      <c r="B186" s="3" t="s">
        <v>291</v>
      </c>
      <c r="C186" s="3">
        <v>87</v>
      </c>
      <c r="D186" s="24">
        <v>189</v>
      </c>
      <c r="E186" s="3">
        <v>92</v>
      </c>
      <c r="F186" s="24">
        <v>21.67</v>
      </c>
      <c r="G186" s="24">
        <f>F186*1000*پارامترها!$B$16</f>
        <v>650.1</v>
      </c>
      <c r="H186" s="24">
        <f>IF(AND(D186&gt;0,F186&gt;0),D186/(F186*پارامترها!$B$16*12),"")</f>
        <v>24.227041993539455</v>
      </c>
      <c r="I186" s="3">
        <v>64</v>
      </c>
      <c r="J186" s="3">
        <v>66</v>
      </c>
    </row>
    <row r="187" spans="1:10" x14ac:dyDescent="0.2">
      <c r="A187" s="3">
        <v>956</v>
      </c>
      <c r="B187" s="3" t="s">
        <v>287</v>
      </c>
      <c r="C187" s="3">
        <v>84</v>
      </c>
      <c r="D187" s="24">
        <v>188.1</v>
      </c>
      <c r="E187" s="3">
        <v>77</v>
      </c>
      <c r="F187" s="24">
        <v>18.57</v>
      </c>
      <c r="G187" s="24">
        <f>F187*1000*پارامترها!$B$16</f>
        <v>557.1</v>
      </c>
      <c r="H187" s="24">
        <f>IF(AND(D187&gt;0,F187&gt;0),D187/(F187*پارامترها!$B$16*12),"")</f>
        <v>28.136779752288636</v>
      </c>
      <c r="I187" s="3">
        <v>60</v>
      </c>
      <c r="J187" s="3">
        <v>64</v>
      </c>
    </row>
    <row r="188" spans="1:10" x14ac:dyDescent="0.2">
      <c r="A188" s="3">
        <v>252</v>
      </c>
      <c r="B188" s="3" t="s">
        <v>410</v>
      </c>
      <c r="C188" s="3">
        <v>81</v>
      </c>
      <c r="D188" s="24">
        <v>187.5</v>
      </c>
      <c r="E188" s="3">
        <v>75</v>
      </c>
      <c r="F188" s="24">
        <v>21.18</v>
      </c>
      <c r="G188" s="24">
        <f>F188*1000*پارامترها!$B$16</f>
        <v>635.4</v>
      </c>
      <c r="H188" s="24">
        <f>IF(AND(D188&gt;0,F188&gt;0),D188/(F188*پارامترها!$B$16*12),"")</f>
        <v>24.590808939250866</v>
      </c>
      <c r="I188" s="3">
        <v>86</v>
      </c>
      <c r="J188" s="3">
        <v>78</v>
      </c>
    </row>
    <row r="189" spans="1:10" x14ac:dyDescent="0.2">
      <c r="A189" s="3">
        <v>990</v>
      </c>
      <c r="B189" s="3" t="s">
        <v>585</v>
      </c>
      <c r="C189" s="3">
        <v>2</v>
      </c>
      <c r="D189" s="24">
        <v>186.3</v>
      </c>
      <c r="E189" s="3">
        <v>3</v>
      </c>
      <c r="F189" s="24">
        <v>10.56</v>
      </c>
      <c r="G189" s="24">
        <f>F189*1000*پارامترها!$B$16</f>
        <v>316.8</v>
      </c>
      <c r="H189" s="24">
        <f>IF(AND(D189&gt;0,F189&gt;0),D189/(F189*پارامترها!$B$16*12),"")</f>
        <v>49.005681818181813</v>
      </c>
      <c r="I189" s="3">
        <v>76.5</v>
      </c>
      <c r="J189" s="3">
        <v>60</v>
      </c>
    </row>
    <row r="190" spans="1:10" x14ac:dyDescent="0.2">
      <c r="A190" s="3">
        <v>957</v>
      </c>
      <c r="B190" s="3" t="s">
        <v>586</v>
      </c>
      <c r="C190" s="3">
        <v>92</v>
      </c>
      <c r="D190" s="24">
        <v>186.2</v>
      </c>
      <c r="E190" s="3">
        <v>87</v>
      </c>
      <c r="F190" s="24">
        <v>20.49</v>
      </c>
      <c r="G190" s="24">
        <f>F190*1000*پارامترها!$B$16</f>
        <v>614.69999999999993</v>
      </c>
      <c r="H190" s="24">
        <f>IF(AND(D190&gt;0,F190&gt;0),D190/(F190*پارامترها!$B$16*12),"")</f>
        <v>25.242665799034764</v>
      </c>
      <c r="I190" s="3">
        <v>70</v>
      </c>
      <c r="J190" s="3">
        <v>66</v>
      </c>
    </row>
    <row r="191" spans="1:10" x14ac:dyDescent="0.2">
      <c r="A191" s="3">
        <v>281</v>
      </c>
      <c r="B191" s="3" t="s">
        <v>323</v>
      </c>
      <c r="C191" s="3">
        <v>85</v>
      </c>
      <c r="D191" s="24">
        <v>182.9</v>
      </c>
      <c r="E191" s="3">
        <v>41</v>
      </c>
      <c r="F191" s="24">
        <v>23.33</v>
      </c>
      <c r="G191" s="24">
        <f>F191*1000*پارامترها!$B$16</f>
        <v>699.9</v>
      </c>
      <c r="H191" s="24">
        <f>IF(AND(D191&gt;0,F191&gt;0),D191/(F191*پارامترها!$B$16*12),"")</f>
        <v>21.776920512454161</v>
      </c>
      <c r="I191" s="3">
        <v>84</v>
      </c>
      <c r="J191" s="3">
        <v>80</v>
      </c>
    </row>
    <row r="192" spans="1:10" x14ac:dyDescent="0.2">
      <c r="A192" s="3">
        <v>994</v>
      </c>
      <c r="B192" s="3" t="s">
        <v>333</v>
      </c>
      <c r="C192" s="3">
        <v>26</v>
      </c>
      <c r="D192" s="24">
        <v>182.6</v>
      </c>
      <c r="E192" s="3">
        <v>11</v>
      </c>
      <c r="F192" s="24">
        <v>21.33</v>
      </c>
      <c r="G192" s="24">
        <f>F192*1000*پارامترها!$B$16</f>
        <v>639.9</v>
      </c>
      <c r="H192" s="24">
        <f>IF(AND(D192&gt;0,F192&gt;0),D192/(F192*پارامترها!$B$16*12),"")</f>
        <v>23.779757253737564</v>
      </c>
      <c r="I192" s="3">
        <v>85</v>
      </c>
      <c r="J192" s="3">
        <v>73</v>
      </c>
    </row>
    <row r="193" spans="1:10" x14ac:dyDescent="0.2">
      <c r="A193" s="3">
        <v>966</v>
      </c>
      <c r="B193" s="3" t="s">
        <v>366</v>
      </c>
      <c r="C193" s="3">
        <v>79</v>
      </c>
      <c r="D193" s="24">
        <v>182.5</v>
      </c>
      <c r="E193" s="3">
        <v>75</v>
      </c>
      <c r="F193" s="24">
        <v>19.8</v>
      </c>
      <c r="G193" s="24">
        <f>F193*1000*پارامترها!$B$16</f>
        <v>594</v>
      </c>
      <c r="H193" s="24">
        <f>IF(AND(D193&gt;0,F193&gt;0),D193/(F193*پارامترها!$B$16*12),"")</f>
        <v>25.603254769921435</v>
      </c>
      <c r="I193" s="3">
        <v>69</v>
      </c>
      <c r="J193" s="3">
        <v>70</v>
      </c>
    </row>
    <row r="194" spans="1:10" x14ac:dyDescent="0.2">
      <c r="A194" s="3">
        <v>131</v>
      </c>
      <c r="B194" s="3" t="s">
        <v>271</v>
      </c>
      <c r="C194" s="3">
        <v>82</v>
      </c>
      <c r="D194" s="24">
        <v>182.2</v>
      </c>
      <c r="E194" s="3">
        <v>88</v>
      </c>
      <c r="F194" s="24">
        <v>20.2</v>
      </c>
      <c r="G194" s="24">
        <f>F194*1000*پارامترها!$B$16</f>
        <v>606</v>
      </c>
      <c r="H194" s="24">
        <f>IF(AND(D194&gt;0,F194&gt;0),D194/(F194*پارامترها!$B$16*12),"")</f>
        <v>25.055005500550052</v>
      </c>
      <c r="I194" s="3">
        <v>56</v>
      </c>
      <c r="J194" s="3">
        <v>65.5</v>
      </c>
    </row>
    <row r="195" spans="1:10" x14ac:dyDescent="0.2">
      <c r="A195" s="3">
        <v>132</v>
      </c>
      <c r="B195" s="3" t="s">
        <v>273</v>
      </c>
      <c r="C195" s="3">
        <v>86</v>
      </c>
      <c r="D195" s="24">
        <v>181.3</v>
      </c>
      <c r="E195" s="3">
        <v>62</v>
      </c>
      <c r="F195" s="24">
        <v>20</v>
      </c>
      <c r="G195" s="24">
        <f>F195*1000*پارامترها!$B$16</f>
        <v>600</v>
      </c>
      <c r="H195" s="24">
        <f>IF(AND(D195&gt;0,F195&gt;0),D195/(F195*پارامترها!$B$16*12),"")</f>
        <v>25.180555555555561</v>
      </c>
      <c r="I195" s="3">
        <v>67.5</v>
      </c>
      <c r="J195" s="3">
        <v>64.5</v>
      </c>
    </row>
    <row r="196" spans="1:10" x14ac:dyDescent="0.2">
      <c r="A196" s="3">
        <v>133</v>
      </c>
      <c r="B196" s="3" t="s">
        <v>288</v>
      </c>
      <c r="C196" s="3">
        <v>86</v>
      </c>
      <c r="D196" s="24">
        <v>180.8</v>
      </c>
      <c r="E196" s="3">
        <v>83</v>
      </c>
      <c r="F196" s="24">
        <v>18.46</v>
      </c>
      <c r="G196" s="24">
        <f>F196*1000*پارامترها!$B$16</f>
        <v>553.79999999999995</v>
      </c>
      <c r="H196" s="24">
        <f>IF(AND(D196&gt;0,F196&gt;0),D196/(F196*پارامترها!$B$16*12),"")</f>
        <v>27.2059708679427</v>
      </c>
      <c r="I196" s="3">
        <v>58</v>
      </c>
      <c r="J196" s="3">
        <v>60</v>
      </c>
    </row>
    <row r="197" spans="1:10" x14ac:dyDescent="0.2">
      <c r="A197" s="3">
        <v>166</v>
      </c>
      <c r="B197" s="3" t="s">
        <v>587</v>
      </c>
      <c r="C197" s="3">
        <v>32</v>
      </c>
      <c r="D197" s="24">
        <v>180.4</v>
      </c>
      <c r="E197" s="3">
        <v>5</v>
      </c>
      <c r="F197" s="24">
        <v>21.1</v>
      </c>
      <c r="G197" s="24">
        <f>F197*1000*پارامترها!$B$16</f>
        <v>633</v>
      </c>
      <c r="H197" s="24">
        <f>IF(AND(D197&gt;0,F197&gt;0),D197/(F197*پارامترها!$B$16*12),"")</f>
        <v>23.749341758820432</v>
      </c>
      <c r="I197" s="3">
        <v>112</v>
      </c>
      <c r="J197" s="3">
        <v>112</v>
      </c>
    </row>
    <row r="198" spans="1:10" x14ac:dyDescent="0.2">
      <c r="A198" s="3">
        <v>960</v>
      </c>
      <c r="B198" s="3" t="s">
        <v>588</v>
      </c>
      <c r="C198" s="3">
        <v>85</v>
      </c>
      <c r="D198" s="24">
        <v>180</v>
      </c>
      <c r="E198" s="3">
        <v>86</v>
      </c>
      <c r="F198" s="24">
        <v>20</v>
      </c>
      <c r="G198" s="24">
        <f>F198*1000*پارامترها!$B$16</f>
        <v>600</v>
      </c>
      <c r="H198" s="24">
        <f>IF(AND(D198&gt;0,F198&gt;0),D198/(F198*پارامترها!$B$16*12),"")</f>
        <v>25.000000000000004</v>
      </c>
      <c r="I198" s="3">
        <v>60</v>
      </c>
      <c r="J198" s="3">
        <v>68.5</v>
      </c>
    </row>
    <row r="199" spans="1:10" x14ac:dyDescent="0.2">
      <c r="A199" s="3">
        <v>992</v>
      </c>
      <c r="B199" s="3" t="s">
        <v>335</v>
      </c>
      <c r="C199" s="3">
        <v>72</v>
      </c>
      <c r="D199" s="24">
        <v>179.7</v>
      </c>
      <c r="E199" s="3">
        <v>31</v>
      </c>
      <c r="F199" s="24">
        <v>18.29</v>
      </c>
      <c r="G199" s="24">
        <f>F199*1000*پارامترها!$B$16</f>
        <v>548.69999999999993</v>
      </c>
      <c r="H199" s="24">
        <f>IF(AND(D199&gt;0,F199&gt;0),D199/(F199*پارامترها!$B$16*12),"")</f>
        <v>27.291780572261711</v>
      </c>
      <c r="I199" s="3">
        <v>75</v>
      </c>
      <c r="J199" s="3">
        <v>82</v>
      </c>
    </row>
    <row r="200" spans="1:10" x14ac:dyDescent="0.2">
      <c r="A200" s="3">
        <v>964</v>
      </c>
      <c r="B200" s="3" t="s">
        <v>360</v>
      </c>
      <c r="C200" s="3">
        <v>90</v>
      </c>
      <c r="D200" s="24">
        <v>179.7</v>
      </c>
      <c r="E200" s="3">
        <v>81</v>
      </c>
      <c r="F200" s="24">
        <v>17.78</v>
      </c>
      <c r="G200" s="24">
        <f>F200*1000*پارامترها!$B$16</f>
        <v>533.4</v>
      </c>
      <c r="H200" s="24">
        <f>IF(AND(D200&gt;0,F200&gt;0),D200/(F200*پارامترها!$B$16*12),"")</f>
        <v>28.074615673040867</v>
      </c>
      <c r="I200" s="3">
        <v>60</v>
      </c>
      <c r="J200" s="3">
        <v>62</v>
      </c>
    </row>
    <row r="201" spans="1:10" x14ac:dyDescent="0.2">
      <c r="A201" s="3">
        <v>92</v>
      </c>
      <c r="B201" s="3" t="s">
        <v>336</v>
      </c>
      <c r="C201" s="3">
        <v>57</v>
      </c>
      <c r="D201" s="24">
        <v>179.5</v>
      </c>
      <c r="E201" s="3">
        <v>26</v>
      </c>
      <c r="F201" s="24">
        <v>20.45</v>
      </c>
      <c r="G201" s="24">
        <f>F201*1000*پارامترها!$B$16</f>
        <v>613.5</v>
      </c>
      <c r="H201" s="24">
        <f>IF(AND(D201&gt;0,F201&gt;0),D201/(F201*پارامترها!$B$16*12),"")</f>
        <v>24.381961423526217</v>
      </c>
      <c r="I201" s="3">
        <v>77</v>
      </c>
      <c r="J201" s="3">
        <v>72.5</v>
      </c>
    </row>
    <row r="202" spans="1:10" x14ac:dyDescent="0.2">
      <c r="A202" s="3">
        <v>1003</v>
      </c>
      <c r="B202" s="3" t="s">
        <v>290</v>
      </c>
      <c r="C202" s="3">
        <v>92</v>
      </c>
      <c r="D202" s="24">
        <v>179.4</v>
      </c>
      <c r="E202" s="3">
        <v>87</v>
      </c>
      <c r="F202" s="24">
        <v>19.239999999999998</v>
      </c>
      <c r="G202" s="24">
        <f>F202*1000*پارامترها!$B$16</f>
        <v>577.19999999999993</v>
      </c>
      <c r="H202" s="24">
        <f>IF(AND(D202&gt;0,F202&gt;0),D202/(F202*پارامترها!$B$16*12),"")</f>
        <v>25.900900900900904</v>
      </c>
      <c r="I202" s="3">
        <v>65</v>
      </c>
      <c r="J202" s="3">
        <v>65</v>
      </c>
    </row>
    <row r="203" spans="1:10" x14ac:dyDescent="0.2">
      <c r="A203" s="3">
        <v>958</v>
      </c>
      <c r="B203" s="3" t="s">
        <v>274</v>
      </c>
      <c r="C203" s="3">
        <v>90</v>
      </c>
      <c r="D203" s="24">
        <v>177.1</v>
      </c>
      <c r="E203" s="3">
        <v>85</v>
      </c>
      <c r="F203" s="24">
        <v>18.89</v>
      </c>
      <c r="G203" s="24">
        <f>F203*1000*پارامترها!$B$16</f>
        <v>566.69999999999993</v>
      </c>
      <c r="H203" s="24">
        <f>IF(AND(D203&gt;0,F203&gt;0),D203/(F203*پارامترها!$B$16*12),"")</f>
        <v>26.042585730251162</v>
      </c>
      <c r="I203" s="3">
        <v>55</v>
      </c>
      <c r="J203" s="3">
        <v>60</v>
      </c>
    </row>
    <row r="204" spans="1:10" x14ac:dyDescent="0.2">
      <c r="A204" s="3">
        <v>282</v>
      </c>
      <c r="B204" s="3" t="s">
        <v>324</v>
      </c>
      <c r="C204" s="3">
        <v>83</v>
      </c>
      <c r="D204" s="24">
        <v>176.9</v>
      </c>
      <c r="E204" s="3">
        <v>48</v>
      </c>
      <c r="F204" s="24">
        <v>21.61</v>
      </c>
      <c r="G204" s="24">
        <f>F204*1000*پارامترها!$B$16</f>
        <v>648.29999999999995</v>
      </c>
      <c r="H204" s="24">
        <f>IF(AND(D204&gt;0,F204&gt;0),D204/(F204*پارامترها!$B$16*12),"")</f>
        <v>22.738958301198004</v>
      </c>
      <c r="I204" s="3">
        <v>71.5</v>
      </c>
      <c r="J204" s="3">
        <v>64.5</v>
      </c>
    </row>
    <row r="205" spans="1:10" x14ac:dyDescent="0.2">
      <c r="A205" s="3">
        <v>251</v>
      </c>
      <c r="B205" s="3" t="s">
        <v>378</v>
      </c>
      <c r="C205" s="3">
        <v>88</v>
      </c>
      <c r="D205" s="24">
        <v>174.6</v>
      </c>
      <c r="E205" s="3">
        <v>56</v>
      </c>
      <c r="F205" s="24">
        <v>17.739999999999998</v>
      </c>
      <c r="G205" s="24">
        <f>F205*1000*پارامترها!$B$16</f>
        <v>532.19999999999993</v>
      </c>
      <c r="H205" s="24">
        <f>IF(AND(D205&gt;0,F205&gt;0),D205/(F205*پارامترها!$B$16*12),"")</f>
        <v>27.339346110484787</v>
      </c>
      <c r="I205" s="3">
        <v>61.5</v>
      </c>
      <c r="J205" s="3">
        <v>63.5</v>
      </c>
    </row>
    <row r="206" spans="1:10" x14ac:dyDescent="0.2">
      <c r="A206" s="3">
        <v>249</v>
      </c>
      <c r="B206" s="3" t="s">
        <v>386</v>
      </c>
      <c r="C206" s="3">
        <v>70</v>
      </c>
      <c r="D206" s="24">
        <v>173.9</v>
      </c>
      <c r="E206" s="3">
        <v>64</v>
      </c>
      <c r="F206" s="24">
        <v>15.75</v>
      </c>
      <c r="G206" s="24">
        <f>F206*1000*پارامترها!$B$16</f>
        <v>472.5</v>
      </c>
      <c r="H206" s="24">
        <f>IF(AND(D206&gt;0,F206&gt;0),D206/(F206*پارامترها!$B$16*12),"")</f>
        <v>30.670194003527339</v>
      </c>
      <c r="I206" s="3">
        <v>72</v>
      </c>
      <c r="J206" s="3">
        <v>70</v>
      </c>
    </row>
    <row r="207" spans="1:10" x14ac:dyDescent="0.2">
      <c r="A207" s="3">
        <v>1001</v>
      </c>
      <c r="B207" s="3" t="s">
        <v>298</v>
      </c>
      <c r="C207" s="3">
        <v>92</v>
      </c>
      <c r="D207" s="24">
        <v>173.8</v>
      </c>
      <c r="E207" s="3">
        <v>82</v>
      </c>
      <c r="F207" s="24">
        <v>18.29</v>
      </c>
      <c r="G207" s="24">
        <f>F207*1000*پارامترها!$B$16</f>
        <v>548.69999999999993</v>
      </c>
      <c r="H207" s="24">
        <f>IF(AND(D207&gt;0,F207&gt;0),D207/(F207*پارامترها!$B$16*12),"")</f>
        <v>26.39572322459146</v>
      </c>
      <c r="I207" s="3">
        <v>58</v>
      </c>
      <c r="J207" s="3">
        <v>60</v>
      </c>
    </row>
    <row r="208" spans="1:10" x14ac:dyDescent="0.2">
      <c r="A208" s="3">
        <v>989</v>
      </c>
      <c r="B208" s="3" t="s">
        <v>456</v>
      </c>
      <c r="C208" s="3">
        <v>59</v>
      </c>
      <c r="D208" s="24">
        <v>173.6</v>
      </c>
      <c r="E208" s="3">
        <v>16</v>
      </c>
      <c r="F208" s="24">
        <v>19.2</v>
      </c>
      <c r="G208" s="24">
        <f>F208*1000*پارامترها!$B$16</f>
        <v>576</v>
      </c>
      <c r="H208" s="24">
        <f>IF(AND(D208&gt;0,F208&gt;0),D208/(F208*پارامترها!$B$16*12),"")</f>
        <v>25.115740740740744</v>
      </c>
      <c r="I208" s="3">
        <v>73</v>
      </c>
      <c r="J208" s="3">
        <v>73.5</v>
      </c>
    </row>
    <row r="209" spans="1:10" x14ac:dyDescent="0.2">
      <c r="A209" s="3">
        <v>973</v>
      </c>
      <c r="B209" s="3" t="s">
        <v>589</v>
      </c>
      <c r="C209" s="3">
        <v>84</v>
      </c>
      <c r="D209" s="24">
        <v>171.1</v>
      </c>
      <c r="E209" s="3">
        <v>76</v>
      </c>
      <c r="F209" s="24">
        <v>17.350000000000001</v>
      </c>
      <c r="G209" s="24">
        <f>F209*1000*پارامترها!$B$16</f>
        <v>520.5</v>
      </c>
      <c r="H209" s="24">
        <f>IF(AND(D209&gt;0,F209&gt;0),D209/(F209*پارامترها!$B$16*12),"")</f>
        <v>27.393531860390649</v>
      </c>
      <c r="I209" s="3">
        <v>64</v>
      </c>
      <c r="J209" s="3">
        <v>65</v>
      </c>
    </row>
    <row r="210" spans="1:10" x14ac:dyDescent="0.2">
      <c r="A210" s="3">
        <v>1002</v>
      </c>
      <c r="B210" s="3" t="s">
        <v>299</v>
      </c>
      <c r="C210" s="3">
        <v>93</v>
      </c>
      <c r="D210" s="24">
        <v>170.7</v>
      </c>
      <c r="E210" s="3">
        <v>85</v>
      </c>
      <c r="F210" s="24">
        <v>18.48</v>
      </c>
      <c r="G210" s="24">
        <f>F210*1000*پارامترها!$B$16</f>
        <v>554.4</v>
      </c>
      <c r="H210" s="24">
        <f>IF(AND(D210&gt;0,F210&gt;0),D210/(F210*پارامترها!$B$16*12),"")</f>
        <v>25.658369408369406</v>
      </c>
      <c r="I210" s="3">
        <v>53</v>
      </c>
      <c r="J210" s="3">
        <v>55</v>
      </c>
    </row>
    <row r="211" spans="1:10" x14ac:dyDescent="0.2">
      <c r="A211" s="3">
        <v>947</v>
      </c>
      <c r="B211" s="3" t="s">
        <v>194</v>
      </c>
      <c r="C211" s="3">
        <v>79</v>
      </c>
      <c r="D211" s="24">
        <v>170</v>
      </c>
      <c r="E211" s="3">
        <v>74</v>
      </c>
      <c r="F211" s="24">
        <v>15.11</v>
      </c>
      <c r="G211" s="24">
        <f>F211*1000*پارامترها!$B$16</f>
        <v>453.3</v>
      </c>
      <c r="H211" s="24">
        <f>IF(AND(D211&gt;0,F211&gt;0),D211/(F211*پارامترها!$B$16*12),"")</f>
        <v>31.252297963085525</v>
      </c>
      <c r="I211" s="3">
        <v>70</v>
      </c>
      <c r="J211" s="3">
        <v>70</v>
      </c>
    </row>
    <row r="212" spans="1:10" x14ac:dyDescent="0.2">
      <c r="A212" s="3">
        <v>969</v>
      </c>
      <c r="B212" s="3" t="s">
        <v>379</v>
      </c>
      <c r="C212" s="3">
        <v>86</v>
      </c>
      <c r="D212" s="24">
        <v>169.7</v>
      </c>
      <c r="E212" s="3">
        <v>77</v>
      </c>
      <c r="F212" s="24">
        <v>20</v>
      </c>
      <c r="G212" s="24">
        <f>F212*1000*پارامترها!$B$16</f>
        <v>600</v>
      </c>
      <c r="H212" s="24">
        <f>IF(AND(D212&gt;0,F212&gt;0),D212/(F212*پارامترها!$B$16*12),"")</f>
        <v>23.569444444444446</v>
      </c>
      <c r="I212" s="3">
        <v>67.5</v>
      </c>
      <c r="J212" s="3">
        <v>73</v>
      </c>
    </row>
    <row r="213" spans="1:10" x14ac:dyDescent="0.2">
      <c r="A213" s="3">
        <v>254</v>
      </c>
      <c r="B213" s="3" t="s">
        <v>460</v>
      </c>
      <c r="C213" s="3">
        <v>25</v>
      </c>
      <c r="D213" s="24">
        <v>168.4</v>
      </c>
      <c r="E213" s="3">
        <v>9</v>
      </c>
      <c r="F213" s="24">
        <v>13.33</v>
      </c>
      <c r="G213" s="24">
        <f>F213*1000*پارامترها!$B$16</f>
        <v>399.9</v>
      </c>
      <c r="H213" s="24">
        <f>IF(AND(D213&gt;0,F213&gt;0),D213/(F213*پارامترها!$B$16*12),"")</f>
        <v>35.092106359923314</v>
      </c>
      <c r="I213" s="3">
        <v>98</v>
      </c>
      <c r="J213" s="3">
        <v>65</v>
      </c>
    </row>
    <row r="214" spans="1:10" x14ac:dyDescent="0.2">
      <c r="A214" s="3">
        <v>257</v>
      </c>
      <c r="B214" s="3" t="s">
        <v>462</v>
      </c>
      <c r="C214" s="3">
        <v>86</v>
      </c>
      <c r="D214" s="24">
        <v>167.8</v>
      </c>
      <c r="E214" s="3">
        <v>79</v>
      </c>
      <c r="F214" s="24">
        <v>17.91</v>
      </c>
      <c r="G214" s="24">
        <f>F214*1000*پارامترها!$B$16</f>
        <v>537.29999999999995</v>
      </c>
      <c r="H214" s="24">
        <f>IF(AND(D214&gt;0,F214&gt;0),D214/(F214*پارامترها!$B$16*12),"")</f>
        <v>26.025187666728709</v>
      </c>
      <c r="I214" s="3">
        <v>81</v>
      </c>
      <c r="J214" s="3">
        <v>82</v>
      </c>
    </row>
    <row r="215" spans="1:10" x14ac:dyDescent="0.2">
      <c r="A215" s="3">
        <v>283</v>
      </c>
      <c r="B215" s="3" t="s">
        <v>325</v>
      </c>
      <c r="C215" s="3">
        <v>89</v>
      </c>
      <c r="D215" s="24">
        <v>166.3</v>
      </c>
      <c r="E215" s="3">
        <v>76</v>
      </c>
      <c r="F215" s="24">
        <v>17.079999999999998</v>
      </c>
      <c r="G215" s="24">
        <f>F215*1000*پارامترها!$B$16</f>
        <v>512.4</v>
      </c>
      <c r="H215" s="24">
        <f>IF(AND(D215&gt;0,F215&gt;0),D215/(F215*پارامترها!$B$16*12),"")</f>
        <v>27.045927660681762</v>
      </c>
      <c r="I215" s="3">
        <v>60</v>
      </c>
      <c r="J215" s="3">
        <v>63</v>
      </c>
    </row>
    <row r="216" spans="1:10" x14ac:dyDescent="0.2">
      <c r="A216" s="3">
        <v>963</v>
      </c>
      <c r="B216" s="3" t="s">
        <v>362</v>
      </c>
      <c r="C216" s="3">
        <v>89</v>
      </c>
      <c r="D216" s="24">
        <v>165.2</v>
      </c>
      <c r="E216" s="3">
        <v>47</v>
      </c>
      <c r="F216" s="24">
        <v>16.670000000000002</v>
      </c>
      <c r="G216" s="24">
        <f>F216*1000*پارامترها!$B$16</f>
        <v>500.09999999999997</v>
      </c>
      <c r="H216" s="24">
        <f>IF(AND(D216&gt;0,F216&gt;0),D216/(F216*پارامترها!$B$16*12),"")</f>
        <v>27.527827767779776</v>
      </c>
      <c r="I216" s="3">
        <v>57</v>
      </c>
      <c r="J216" s="3">
        <v>62</v>
      </c>
    </row>
    <row r="217" spans="1:10" x14ac:dyDescent="0.2">
      <c r="A217" s="3">
        <v>919</v>
      </c>
      <c r="B217" s="3" t="s">
        <v>231</v>
      </c>
      <c r="C217" s="3">
        <v>12</v>
      </c>
      <c r="D217" s="24">
        <v>165.1</v>
      </c>
      <c r="E217" s="3">
        <v>19</v>
      </c>
      <c r="F217" s="24">
        <v>14.74</v>
      </c>
      <c r="G217" s="24">
        <f>F217*1000*پارامترها!$B$16</f>
        <v>442.2</v>
      </c>
      <c r="H217" s="24">
        <f>IF(AND(D217&gt;0,F217&gt;0),D217/(F217*پارامترها!$B$16*12),"")</f>
        <v>31.113372531282977</v>
      </c>
      <c r="I217" s="3">
        <v>98</v>
      </c>
      <c r="J217" s="3">
        <v>70</v>
      </c>
    </row>
    <row r="218" spans="1:10" x14ac:dyDescent="0.2">
      <c r="A218" s="3">
        <v>287</v>
      </c>
      <c r="B218" s="3" t="s">
        <v>590</v>
      </c>
      <c r="C218" s="3">
        <v>86</v>
      </c>
      <c r="D218" s="24">
        <v>165</v>
      </c>
      <c r="E218" s="3">
        <v>20</v>
      </c>
      <c r="F218" s="24">
        <v>17.37</v>
      </c>
      <c r="G218" s="24">
        <f>F218*1000*پارامترها!$B$16</f>
        <v>521.1</v>
      </c>
      <c r="H218" s="24">
        <f>IF(AND(D218&gt;0,F218&gt;0),D218/(F218*پارامترها!$B$16*12),"")</f>
        <v>26.386490117060067</v>
      </c>
      <c r="I218" s="3">
        <v>62</v>
      </c>
      <c r="J218" s="3">
        <v>84</v>
      </c>
    </row>
    <row r="219" spans="1:10" x14ac:dyDescent="0.2">
      <c r="A219" s="3">
        <v>657</v>
      </c>
      <c r="B219" s="3" t="s">
        <v>591</v>
      </c>
      <c r="C219" s="3">
        <v>82</v>
      </c>
      <c r="D219" s="24">
        <v>164.8</v>
      </c>
      <c r="E219" s="3">
        <v>87</v>
      </c>
      <c r="F219" s="24">
        <v>20</v>
      </c>
      <c r="G219" s="24">
        <f>F219*1000*پارامترها!$B$16</f>
        <v>600</v>
      </c>
      <c r="H219" s="24">
        <f>IF(AND(D219&gt;0,F219&gt;0),D219/(F219*پارامترها!$B$16*12),"")</f>
        <v>22.888888888888893</v>
      </c>
      <c r="I219" s="3">
        <v>54.5</v>
      </c>
      <c r="J219" s="3">
        <v>55</v>
      </c>
    </row>
    <row r="220" spans="1:10" ht="16.5" x14ac:dyDescent="0.3">
      <c r="A220" s="3">
        <v>970</v>
      </c>
      <c r="B220" s="3" t="s">
        <v>381</v>
      </c>
      <c r="C220" s="3">
        <v>85</v>
      </c>
      <c r="D220" s="24">
        <v>164.5</v>
      </c>
      <c r="E220" s="3">
        <v>46</v>
      </c>
      <c r="F220" s="24">
        <v>16.670000000000002</v>
      </c>
      <c r="G220" s="24">
        <f>F220*1000*پارامترها!$B$16</f>
        <v>500.09999999999997</v>
      </c>
      <c r="H220" s="24">
        <f>IF(AND(D220&gt;0,F220&gt;0),D220/(F220*پارامترها!$B$16*12),"")</f>
        <v>27.411184429780711</v>
      </c>
      <c r="I220" s="3">
        <v>63</v>
      </c>
      <c r="J220" s="3">
        <v>62.5</v>
      </c>
    </row>
    <row r="221" spans="1:10" x14ac:dyDescent="0.2">
      <c r="A221" s="3">
        <v>288</v>
      </c>
      <c r="B221" s="3" t="s">
        <v>363</v>
      </c>
      <c r="C221" s="3">
        <v>82</v>
      </c>
      <c r="D221" s="24">
        <v>164.2</v>
      </c>
      <c r="E221" s="3">
        <v>63</v>
      </c>
      <c r="F221" s="24">
        <v>16.670000000000002</v>
      </c>
      <c r="G221" s="24">
        <f>F221*1000*پارامترها!$B$16</f>
        <v>500.09999999999997</v>
      </c>
      <c r="H221" s="24">
        <f>IF(AND(D221&gt;0,F221&gt;0),D221/(F221*پارامترها!$B$16*12),"")</f>
        <v>27.361194427781108</v>
      </c>
      <c r="I221" s="3">
        <v>65</v>
      </c>
      <c r="J221" s="3">
        <v>55</v>
      </c>
    </row>
    <row r="222" spans="1:10" x14ac:dyDescent="0.2">
      <c r="A222" s="3">
        <v>974</v>
      </c>
      <c r="B222" s="3" t="s">
        <v>592</v>
      </c>
      <c r="C222" s="3">
        <v>35</v>
      </c>
      <c r="D222" s="24">
        <v>162.9</v>
      </c>
      <c r="E222" s="3">
        <v>13</v>
      </c>
      <c r="F222" s="24">
        <v>16.3</v>
      </c>
      <c r="G222" s="24">
        <f>F222*1000*پارامترها!$B$16</f>
        <v>489</v>
      </c>
      <c r="H222" s="24">
        <f>IF(AND(D222&gt;0,F222&gt;0),D222/(F222*پارامترها!$B$16*12),"")</f>
        <v>27.760736196319019</v>
      </c>
      <c r="I222" s="3">
        <v>62</v>
      </c>
      <c r="J222" s="3">
        <v>57</v>
      </c>
    </row>
    <row r="223" spans="1:10" x14ac:dyDescent="0.2">
      <c r="A223" s="3">
        <v>995</v>
      </c>
      <c r="B223" s="3" t="s">
        <v>339</v>
      </c>
      <c r="C223" s="3">
        <v>47</v>
      </c>
      <c r="D223" s="24">
        <v>162.9</v>
      </c>
      <c r="E223" s="3">
        <v>20</v>
      </c>
      <c r="F223" s="24">
        <v>18.940000000000001</v>
      </c>
      <c r="G223" s="24">
        <f>F223*1000*پارامترها!$B$16</f>
        <v>568.19999999999993</v>
      </c>
      <c r="H223" s="24">
        <f>IF(AND(D223&gt;0,F223&gt;0),D223/(F223*پارامترها!$B$16*12),"")</f>
        <v>23.891235480464623</v>
      </c>
      <c r="I223" s="3">
        <v>91</v>
      </c>
      <c r="J223" s="3">
        <v>65</v>
      </c>
    </row>
    <row r="224" spans="1:10" x14ac:dyDescent="0.2">
      <c r="A224" s="3">
        <v>236</v>
      </c>
      <c r="B224" s="3" t="s">
        <v>341</v>
      </c>
      <c r="C224" s="3">
        <v>71</v>
      </c>
      <c r="D224" s="24">
        <v>161.9</v>
      </c>
      <c r="E224" s="3">
        <v>17</v>
      </c>
      <c r="F224" s="24">
        <v>19.2</v>
      </c>
      <c r="G224" s="24">
        <f>F224*1000*پارامترها!$B$16</f>
        <v>576</v>
      </c>
      <c r="H224" s="24">
        <f>IF(AND(D224&gt;0,F224&gt;0),D224/(F224*پارامترها!$B$16*12),"")</f>
        <v>23.423032407407412</v>
      </c>
      <c r="I224" s="3">
        <v>84.5</v>
      </c>
      <c r="J224" s="3">
        <v>85</v>
      </c>
    </row>
    <row r="225" spans="1:10" x14ac:dyDescent="0.2">
      <c r="A225" s="3">
        <v>284</v>
      </c>
      <c r="B225" s="3" t="s">
        <v>300</v>
      </c>
      <c r="C225" s="3">
        <v>88</v>
      </c>
      <c r="D225" s="24">
        <v>160.9</v>
      </c>
      <c r="E225" s="3">
        <v>89</v>
      </c>
      <c r="F225" s="24">
        <v>17.88</v>
      </c>
      <c r="G225" s="24">
        <f>F225*1000*پارامترها!$B$16</f>
        <v>536.4</v>
      </c>
      <c r="H225" s="24">
        <f>IF(AND(D225&gt;0,F225&gt;0),D225/(F225*پارامترها!$B$16*12),"")</f>
        <v>24.996892866020385</v>
      </c>
      <c r="I225" s="3">
        <v>55</v>
      </c>
      <c r="J225" s="3">
        <v>55</v>
      </c>
    </row>
    <row r="226" spans="1:10" x14ac:dyDescent="0.2">
      <c r="A226" s="3">
        <v>276</v>
      </c>
      <c r="B226" s="3" t="s">
        <v>327</v>
      </c>
      <c r="C226" s="3">
        <v>82</v>
      </c>
      <c r="D226" s="24">
        <v>160.5</v>
      </c>
      <c r="E226" s="3">
        <v>74</v>
      </c>
      <c r="F226" s="24">
        <v>19.41</v>
      </c>
      <c r="G226" s="24">
        <f>F226*1000*پارامترها!$B$16</f>
        <v>582.29999999999995</v>
      </c>
      <c r="H226" s="24">
        <f>IF(AND(D226&gt;0,F226&gt;0),D226/(F226*پارامترها!$B$16*12),"")</f>
        <v>22.969259831701876</v>
      </c>
      <c r="I226" s="3">
        <v>68</v>
      </c>
      <c r="J226" s="3">
        <v>70</v>
      </c>
    </row>
    <row r="227" spans="1:10" x14ac:dyDescent="0.2">
      <c r="A227" s="3">
        <v>946</v>
      </c>
      <c r="B227" s="3" t="s">
        <v>358</v>
      </c>
      <c r="C227" s="3">
        <v>9</v>
      </c>
      <c r="D227" s="24">
        <v>160</v>
      </c>
      <c r="E227" s="3">
        <v>0</v>
      </c>
      <c r="F227" s="24"/>
      <c r="G227" s="24"/>
      <c r="H227" s="24"/>
      <c r="I227" s="3">
        <v>70</v>
      </c>
      <c r="J227" s="3"/>
    </row>
    <row r="228" spans="1:10" x14ac:dyDescent="0.2">
      <c r="A228" s="3">
        <v>178</v>
      </c>
      <c r="B228" s="3" t="s">
        <v>503</v>
      </c>
      <c r="C228" s="3">
        <v>86</v>
      </c>
      <c r="D228" s="24">
        <v>158.69999999999999</v>
      </c>
      <c r="E228" s="3">
        <v>86</v>
      </c>
      <c r="F228" s="24">
        <v>19.07</v>
      </c>
      <c r="G228" s="24">
        <f>F228*1000*پارامترها!$B$16</f>
        <v>572.1</v>
      </c>
      <c r="H228" s="24">
        <f>IF(AND(D228&gt;0,F228&gt;0),D228/(F228*پارامترها!$B$16*12),"")</f>
        <v>23.11658800908932</v>
      </c>
      <c r="I228" s="3">
        <v>80</v>
      </c>
      <c r="J228" s="3">
        <v>85</v>
      </c>
    </row>
    <row r="229" spans="1:10" x14ac:dyDescent="0.2">
      <c r="A229" s="3">
        <v>250</v>
      </c>
      <c r="B229" s="3" t="s">
        <v>412</v>
      </c>
      <c r="C229" s="3">
        <v>67</v>
      </c>
      <c r="D229" s="24">
        <v>158.6</v>
      </c>
      <c r="E229" s="3">
        <v>51</v>
      </c>
      <c r="F229" s="24">
        <v>16.190000000000001</v>
      </c>
      <c r="G229" s="24">
        <f>F229*1000*پارامترها!$B$16</f>
        <v>485.70000000000005</v>
      </c>
      <c r="H229" s="24">
        <f>IF(AND(D229&gt;0,F229&gt;0),D229/(F229*پارامترها!$B$16*12),"")</f>
        <v>27.211584654450618</v>
      </c>
      <c r="I229" s="3">
        <v>71</v>
      </c>
      <c r="J229" s="3">
        <v>70</v>
      </c>
    </row>
    <row r="230" spans="1:10" x14ac:dyDescent="0.2">
      <c r="A230" s="3">
        <v>914</v>
      </c>
      <c r="B230" s="3" t="s">
        <v>593</v>
      </c>
      <c r="C230" s="3">
        <v>80</v>
      </c>
      <c r="D230" s="24">
        <v>156.6</v>
      </c>
      <c r="E230" s="3">
        <v>54</v>
      </c>
      <c r="F230" s="24">
        <v>15.54</v>
      </c>
      <c r="G230" s="24">
        <f>F230*1000*پارامترها!$B$16</f>
        <v>466.2</v>
      </c>
      <c r="H230" s="24">
        <f>IF(AND(D230&gt;0,F230&gt;0),D230/(F230*پارامترها!$B$16*12),"")</f>
        <v>27.992277992277995</v>
      </c>
      <c r="I230" s="3">
        <v>75</v>
      </c>
      <c r="J230" s="3">
        <v>61.5</v>
      </c>
    </row>
    <row r="231" spans="1:10" x14ac:dyDescent="0.2">
      <c r="A231" s="3">
        <v>915</v>
      </c>
      <c r="B231" s="3" t="s">
        <v>295</v>
      </c>
      <c r="C231" s="3">
        <v>89</v>
      </c>
      <c r="D231" s="24">
        <v>154.6</v>
      </c>
      <c r="E231" s="3">
        <v>57</v>
      </c>
      <c r="F231" s="24">
        <v>16.420000000000002</v>
      </c>
      <c r="G231" s="24">
        <f>F231*1000*پارامترها!$B$16</f>
        <v>492.59999999999997</v>
      </c>
      <c r="H231" s="24">
        <f>IF(AND(D231&gt;0,F231&gt;0),D231/(F231*پارامترها!$B$16*12),"")</f>
        <v>26.153742048991738</v>
      </c>
      <c r="I231" s="3">
        <v>67</v>
      </c>
      <c r="J231" s="3">
        <v>64</v>
      </c>
    </row>
    <row r="232" spans="1:10" x14ac:dyDescent="0.2">
      <c r="A232" s="3">
        <v>971</v>
      </c>
      <c r="B232" s="3" t="s">
        <v>594</v>
      </c>
      <c r="C232" s="3">
        <v>82</v>
      </c>
      <c r="D232" s="24">
        <v>152.9</v>
      </c>
      <c r="E232" s="3">
        <v>28</v>
      </c>
      <c r="F232" s="24">
        <v>20</v>
      </c>
      <c r="G232" s="24">
        <f>F232*1000*پارامترها!$B$16</f>
        <v>600</v>
      </c>
      <c r="H232" s="24">
        <f>IF(AND(D232&gt;0,F232&gt;0),D232/(F232*پارامترها!$B$16*12),"")</f>
        <v>21.236111111111114</v>
      </c>
      <c r="I232" s="3">
        <v>58</v>
      </c>
      <c r="J232" s="3">
        <v>62.5</v>
      </c>
    </row>
    <row r="233" spans="1:10" x14ac:dyDescent="0.2">
      <c r="A233" s="3">
        <v>290</v>
      </c>
      <c r="B233" s="3" t="s">
        <v>595</v>
      </c>
      <c r="C233" s="3">
        <v>89</v>
      </c>
      <c r="D233" s="24">
        <v>151.80000000000001</v>
      </c>
      <c r="E233" s="3">
        <v>83</v>
      </c>
      <c r="F233" s="24">
        <v>16.04</v>
      </c>
      <c r="G233" s="24">
        <f>F233*1000*پارامترها!$B$16</f>
        <v>481.2</v>
      </c>
      <c r="H233" s="24">
        <f>IF(AND(D233&gt;0,F233&gt;0),D233/(F233*پارامترها!$B$16*12),"")</f>
        <v>26.288445552784708</v>
      </c>
      <c r="I233" s="3">
        <v>60</v>
      </c>
      <c r="J233" s="3">
        <v>58</v>
      </c>
    </row>
    <row r="234" spans="1:10" x14ac:dyDescent="0.2">
      <c r="A234" s="3">
        <v>99</v>
      </c>
      <c r="B234" s="3" t="s">
        <v>596</v>
      </c>
      <c r="C234" s="3">
        <v>1</v>
      </c>
      <c r="D234" s="24">
        <v>150.5</v>
      </c>
      <c r="E234" s="3">
        <v>1</v>
      </c>
      <c r="F234" s="24">
        <v>15.9</v>
      </c>
      <c r="G234" s="24">
        <f>F234*1000*پارامترها!$B$16</f>
        <v>477</v>
      </c>
      <c r="H234" s="24">
        <f>IF(AND(D234&gt;0,F234&gt;0),D234/(F234*پارامترها!$B$16*12),"")</f>
        <v>26.292802236198462</v>
      </c>
      <c r="I234" s="3">
        <v>93</v>
      </c>
      <c r="J234" s="3">
        <v>65</v>
      </c>
    </row>
    <row r="235" spans="1:10" x14ac:dyDescent="0.2">
      <c r="A235" s="3">
        <v>1006</v>
      </c>
      <c r="B235" s="3" t="s">
        <v>304</v>
      </c>
      <c r="C235" s="3">
        <v>92</v>
      </c>
      <c r="D235" s="24">
        <v>150</v>
      </c>
      <c r="E235" s="3">
        <v>94</v>
      </c>
      <c r="F235" s="24">
        <v>15.38</v>
      </c>
      <c r="G235" s="24">
        <f>F235*1000*پارامترها!$B$16</f>
        <v>461.4</v>
      </c>
      <c r="H235" s="24">
        <f>IF(AND(D235&gt;0,F235&gt;0),D235/(F235*پارامترها!$B$16*12),"")</f>
        <v>27.091460771564801</v>
      </c>
      <c r="I235" s="3">
        <v>52.5</v>
      </c>
      <c r="J235" s="3">
        <v>60</v>
      </c>
    </row>
    <row r="236" spans="1:10" x14ac:dyDescent="0.2">
      <c r="A236" s="3">
        <v>241</v>
      </c>
      <c r="B236" s="3" t="s">
        <v>389</v>
      </c>
      <c r="C236" s="3">
        <v>72</v>
      </c>
      <c r="D236" s="24">
        <v>149.80000000000001</v>
      </c>
      <c r="E236" s="3">
        <v>66</v>
      </c>
      <c r="F236" s="24">
        <v>13.11</v>
      </c>
      <c r="G236" s="24">
        <f>F236*1000*پارامترها!$B$16</f>
        <v>393.3</v>
      </c>
      <c r="H236" s="24">
        <f>IF(AND(D236&gt;0,F236&gt;0),D236/(F236*پارامترها!$B$16*12),"")</f>
        <v>31.73997796423426</v>
      </c>
      <c r="I236" s="3">
        <v>65.5</v>
      </c>
      <c r="J236" s="3">
        <v>65</v>
      </c>
    </row>
    <row r="237" spans="1:10" x14ac:dyDescent="0.2">
      <c r="A237" s="3">
        <v>968</v>
      </c>
      <c r="B237" s="3" t="s">
        <v>384</v>
      </c>
      <c r="C237" s="3">
        <v>85</v>
      </c>
      <c r="D237" s="24">
        <v>149.1</v>
      </c>
      <c r="E237" s="3">
        <v>74</v>
      </c>
      <c r="F237" s="24">
        <v>16.149999999999999</v>
      </c>
      <c r="G237" s="24">
        <f>F237*1000*پارامترها!$B$16</f>
        <v>484.49999999999994</v>
      </c>
      <c r="H237" s="24">
        <f>IF(AND(D237&gt;0,F237&gt;0),D237/(F237*پارامترها!$B$16*12),"")</f>
        <v>25.644994840041281</v>
      </c>
      <c r="I237" s="3">
        <v>60</v>
      </c>
      <c r="J237" s="3">
        <v>60</v>
      </c>
    </row>
    <row r="238" spans="1:10" x14ac:dyDescent="0.2">
      <c r="A238" s="3">
        <v>256</v>
      </c>
      <c r="B238" s="3" t="s">
        <v>465</v>
      </c>
      <c r="C238" s="3">
        <v>75</v>
      </c>
      <c r="D238" s="24">
        <v>148.9</v>
      </c>
      <c r="E238" s="3">
        <v>21</v>
      </c>
      <c r="F238" s="24">
        <v>16.059999999999999</v>
      </c>
      <c r="G238" s="24">
        <f>F238*1000*پارامترها!$B$16</f>
        <v>481.79999999999995</v>
      </c>
      <c r="H238" s="24">
        <f>IF(AND(D238&gt;0,F238&gt;0),D238/(F238*پارامترها!$B$16*12),"")</f>
        <v>25.75411650754117</v>
      </c>
      <c r="I238" s="3">
        <v>72</v>
      </c>
      <c r="J238" s="3">
        <v>70</v>
      </c>
    </row>
    <row r="239" spans="1:10" x14ac:dyDescent="0.2">
      <c r="A239" s="3">
        <v>975</v>
      </c>
      <c r="B239" s="3" t="s">
        <v>383</v>
      </c>
      <c r="C239" s="3">
        <v>69</v>
      </c>
      <c r="D239" s="24">
        <v>148.6</v>
      </c>
      <c r="E239" s="3">
        <v>25</v>
      </c>
      <c r="F239" s="24">
        <v>20.83</v>
      </c>
      <c r="G239" s="24">
        <f>F239*1000*پارامترها!$B$16</f>
        <v>624.9</v>
      </c>
      <c r="H239" s="24">
        <f>IF(AND(D239&gt;0,F239&gt;0),D239/(F239*پارامترها!$B$16*12),"")</f>
        <v>19.816503973969169</v>
      </c>
      <c r="I239" s="3">
        <v>63</v>
      </c>
      <c r="J239" s="3">
        <v>75</v>
      </c>
    </row>
    <row r="240" spans="1:10" x14ac:dyDescent="0.2">
      <c r="A240" s="3">
        <v>999</v>
      </c>
      <c r="B240" s="3" t="s">
        <v>597</v>
      </c>
      <c r="C240" s="3">
        <v>90</v>
      </c>
      <c r="D240" s="24">
        <v>147.80000000000001</v>
      </c>
      <c r="E240" s="3">
        <v>81</v>
      </c>
      <c r="F240" s="24">
        <v>16.670000000000002</v>
      </c>
      <c r="G240" s="24">
        <f>F240*1000*پارامترها!$B$16</f>
        <v>500.09999999999997</v>
      </c>
      <c r="H240" s="24">
        <f>IF(AND(D240&gt;0,F240&gt;0),D240/(F240*پارامترها!$B$16*12),"")</f>
        <v>24.628407651802974</v>
      </c>
      <c r="I240" s="3">
        <v>55</v>
      </c>
      <c r="J240" s="3">
        <v>60</v>
      </c>
    </row>
    <row r="241" spans="1:10" x14ac:dyDescent="0.2">
      <c r="A241" s="3">
        <v>916</v>
      </c>
      <c r="B241" s="3" t="s">
        <v>435</v>
      </c>
      <c r="C241" s="3">
        <v>86</v>
      </c>
      <c r="D241" s="24">
        <v>147.1</v>
      </c>
      <c r="E241" s="3">
        <v>67</v>
      </c>
      <c r="F241" s="24">
        <v>13.64</v>
      </c>
      <c r="G241" s="24">
        <f>F241*1000*پارامترها!$B$16</f>
        <v>409.2</v>
      </c>
      <c r="H241" s="24">
        <f>IF(AND(D241&gt;0,F241&gt;0),D241/(F241*پارامترها!$B$16*12),"")</f>
        <v>29.956826327794069</v>
      </c>
      <c r="I241" s="3">
        <v>67.5</v>
      </c>
      <c r="J241" s="3">
        <v>57</v>
      </c>
    </row>
    <row r="242" spans="1:10" x14ac:dyDescent="0.2">
      <c r="A242" s="3">
        <v>186</v>
      </c>
      <c r="B242" s="3" t="s">
        <v>297</v>
      </c>
      <c r="C242" s="3">
        <v>78</v>
      </c>
      <c r="D242" s="24">
        <v>146.4</v>
      </c>
      <c r="E242" s="3">
        <v>46</v>
      </c>
      <c r="F242" s="24">
        <v>16.670000000000002</v>
      </c>
      <c r="G242" s="24">
        <f>F242*1000*پارامترها!$B$16</f>
        <v>500.09999999999997</v>
      </c>
      <c r="H242" s="24">
        <f>IF(AND(D242&gt;0,F242&gt;0),D242/(F242*پارامترها!$B$16*12),"")</f>
        <v>24.39512097580484</v>
      </c>
      <c r="I242" s="3">
        <v>60</v>
      </c>
      <c r="J242" s="3">
        <v>60</v>
      </c>
    </row>
    <row r="243" spans="1:10" x14ac:dyDescent="0.2">
      <c r="A243" s="3">
        <v>998</v>
      </c>
      <c r="B243" s="3" t="s">
        <v>328</v>
      </c>
      <c r="C243" s="3">
        <v>69</v>
      </c>
      <c r="D243" s="24">
        <v>146.19999999999999</v>
      </c>
      <c r="E243" s="3">
        <v>36</v>
      </c>
      <c r="F243" s="24">
        <v>18.03</v>
      </c>
      <c r="G243" s="24">
        <f>F243*1000*پارامترها!$B$16</f>
        <v>540.9</v>
      </c>
      <c r="H243" s="24">
        <f>IF(AND(D243&gt;0,F243&gt;0),D243/(F243*پارامترها!$B$16*12),"")</f>
        <v>22.524188081592406</v>
      </c>
      <c r="I243" s="3">
        <v>60.5</v>
      </c>
      <c r="J243" s="3">
        <v>60</v>
      </c>
    </row>
    <row r="244" spans="1:10" x14ac:dyDescent="0.2">
      <c r="A244" s="3">
        <v>196</v>
      </c>
      <c r="B244" s="3" t="s">
        <v>308</v>
      </c>
      <c r="C244" s="3">
        <v>94</v>
      </c>
      <c r="D244" s="24">
        <v>145.1</v>
      </c>
      <c r="E244" s="3">
        <v>78</v>
      </c>
      <c r="F244" s="24">
        <v>15</v>
      </c>
      <c r="G244" s="24">
        <f>F244*1000*پارامترها!$B$16</f>
        <v>450</v>
      </c>
      <c r="H244" s="24">
        <f>IF(AND(D244&gt;0,F244&gt;0),D244/(F244*پارامترها!$B$16*12),"")</f>
        <v>26.87037037037037</v>
      </c>
      <c r="I244" s="3">
        <v>63.5</v>
      </c>
      <c r="J244" s="3">
        <v>60</v>
      </c>
    </row>
    <row r="245" spans="1:10" x14ac:dyDescent="0.2">
      <c r="A245" s="3">
        <v>374</v>
      </c>
      <c r="B245" s="3" t="s">
        <v>504</v>
      </c>
      <c r="C245" s="3">
        <v>86</v>
      </c>
      <c r="D245" s="24">
        <v>144.30000000000001</v>
      </c>
      <c r="E245" s="3">
        <v>34</v>
      </c>
      <c r="F245" s="24">
        <v>15.02</v>
      </c>
      <c r="G245" s="24">
        <f>F245*1000*پارامترها!$B$16</f>
        <v>450.59999999999997</v>
      </c>
      <c r="H245" s="24">
        <f>IF(AND(D245&gt;0,F245&gt;0),D245/(F245*پارامترها!$B$16*12),"")</f>
        <v>26.686640035508216</v>
      </c>
      <c r="I245" s="3">
        <v>77.5</v>
      </c>
      <c r="J245" s="3">
        <v>100</v>
      </c>
    </row>
    <row r="246" spans="1:10" x14ac:dyDescent="0.2">
      <c r="A246" s="3">
        <v>1022</v>
      </c>
      <c r="B246" s="3" t="s">
        <v>420</v>
      </c>
      <c r="C246" s="3">
        <v>91</v>
      </c>
      <c r="D246" s="24">
        <v>143.30000000000001</v>
      </c>
      <c r="E246" s="3">
        <v>31</v>
      </c>
      <c r="F246" s="24">
        <v>16</v>
      </c>
      <c r="G246" s="24">
        <f>F246*1000*پارامترها!$B$16</f>
        <v>480</v>
      </c>
      <c r="H246" s="24">
        <f>IF(AND(D246&gt;0,F246&gt;0),D246/(F246*پارامترها!$B$16*12),"")</f>
        <v>24.878472222222225</v>
      </c>
      <c r="I246" s="3">
        <v>90.5</v>
      </c>
      <c r="J246" s="3">
        <v>75</v>
      </c>
    </row>
    <row r="247" spans="1:10" x14ac:dyDescent="0.2">
      <c r="A247" s="3">
        <v>195</v>
      </c>
      <c r="B247" s="3" t="s">
        <v>296</v>
      </c>
      <c r="C247" s="3">
        <v>82</v>
      </c>
      <c r="D247" s="24">
        <v>143.1</v>
      </c>
      <c r="E247" s="3">
        <v>86</v>
      </c>
      <c r="F247" s="24">
        <v>20</v>
      </c>
      <c r="G247" s="24">
        <f>F247*1000*پارامترها!$B$16</f>
        <v>600</v>
      </c>
      <c r="H247" s="24">
        <f>IF(AND(D247&gt;0,F247&gt;0),D247/(F247*پارامترها!$B$16*12),"")</f>
        <v>19.875</v>
      </c>
      <c r="I247" s="3">
        <v>64.5</v>
      </c>
      <c r="J247" s="3">
        <v>65</v>
      </c>
    </row>
    <row r="248" spans="1:10" x14ac:dyDescent="0.2">
      <c r="A248" s="3">
        <v>1000</v>
      </c>
      <c r="B248" s="3" t="s">
        <v>329</v>
      </c>
      <c r="C248" s="3">
        <v>86</v>
      </c>
      <c r="D248" s="24">
        <v>142.4</v>
      </c>
      <c r="E248" s="3">
        <v>70</v>
      </c>
      <c r="F248" s="24">
        <v>16.309999999999999</v>
      </c>
      <c r="G248" s="24">
        <f>F248*1000*پارامترها!$B$16</f>
        <v>489.29999999999995</v>
      </c>
      <c r="H248" s="24">
        <f>IF(AND(D248&gt;0,F248&gt;0),D248/(F248*پارامترها!$B$16*12),"")</f>
        <v>24.252333265208808</v>
      </c>
      <c r="I248" s="3">
        <v>60</v>
      </c>
      <c r="J248" s="3">
        <v>65</v>
      </c>
    </row>
    <row r="249" spans="1:10" x14ac:dyDescent="0.2">
      <c r="A249" s="3">
        <v>1005</v>
      </c>
      <c r="B249" s="3" t="s">
        <v>306</v>
      </c>
      <c r="C249" s="3">
        <v>96</v>
      </c>
      <c r="D249" s="24">
        <v>141.5</v>
      </c>
      <c r="E249" s="3">
        <v>85</v>
      </c>
      <c r="F249" s="24">
        <v>16</v>
      </c>
      <c r="G249" s="24">
        <f>F249*1000*پارامترها!$B$16</f>
        <v>480</v>
      </c>
      <c r="H249" s="24">
        <f>IF(AND(D249&gt;0,F249&gt;0),D249/(F249*پارامترها!$B$16*12),"")</f>
        <v>24.565972222222221</v>
      </c>
      <c r="I249" s="3">
        <v>53.5</v>
      </c>
      <c r="J249" s="3">
        <v>50</v>
      </c>
    </row>
    <row r="250" spans="1:10" x14ac:dyDescent="0.2">
      <c r="A250" s="3">
        <v>917</v>
      </c>
      <c r="B250" s="3" t="s">
        <v>436</v>
      </c>
      <c r="C250" s="3">
        <v>84</v>
      </c>
      <c r="D250" s="24">
        <v>139.19999999999999</v>
      </c>
      <c r="E250" s="3">
        <v>49</v>
      </c>
      <c r="F250" s="24">
        <v>12.88</v>
      </c>
      <c r="G250" s="24">
        <f>F250*1000*پارامترها!$B$16</f>
        <v>386.4</v>
      </c>
      <c r="H250" s="24">
        <f>IF(AND(D250&gt;0,F250&gt;0),D250/(F250*پارامترها!$B$16*12),"")</f>
        <v>30.020703933747409</v>
      </c>
      <c r="I250" s="3">
        <v>71.5</v>
      </c>
      <c r="J250" s="3">
        <v>65</v>
      </c>
    </row>
    <row r="251" spans="1:10" x14ac:dyDescent="0.2">
      <c r="A251" s="3">
        <v>197</v>
      </c>
      <c r="B251" s="3" t="s">
        <v>309</v>
      </c>
      <c r="C251" s="3">
        <v>85</v>
      </c>
      <c r="D251" s="24">
        <v>138.5</v>
      </c>
      <c r="E251" s="3">
        <v>83</v>
      </c>
      <c r="F251" s="24">
        <v>16</v>
      </c>
      <c r="G251" s="24">
        <f>F251*1000*پارامترها!$B$16</f>
        <v>480</v>
      </c>
      <c r="H251" s="24">
        <f>IF(AND(D251&gt;0,F251&gt;0),D251/(F251*پارامترها!$B$16*12),"")</f>
        <v>24.045138888888889</v>
      </c>
      <c r="I251" s="3">
        <v>59</v>
      </c>
      <c r="J251" s="3">
        <v>57</v>
      </c>
    </row>
    <row r="252" spans="1:10" x14ac:dyDescent="0.2">
      <c r="A252" s="3">
        <v>188</v>
      </c>
      <c r="B252" s="3" t="s">
        <v>438</v>
      </c>
      <c r="C252" s="3">
        <v>91</v>
      </c>
      <c r="D252" s="24">
        <v>135.19999999999999</v>
      </c>
      <c r="E252" s="3">
        <v>82</v>
      </c>
      <c r="F252" s="24">
        <v>12.95</v>
      </c>
      <c r="G252" s="24">
        <f>F252*1000*پارامترها!$B$16</f>
        <v>388.5</v>
      </c>
      <c r="H252" s="24">
        <f>IF(AND(D252&gt;0,F252&gt;0),D252/(F252*پارامترها!$B$16*12),"")</f>
        <v>29.000429000429005</v>
      </c>
      <c r="I252" s="3">
        <v>64.5</v>
      </c>
      <c r="J252" s="3">
        <v>70</v>
      </c>
    </row>
    <row r="253" spans="1:10" x14ac:dyDescent="0.2">
      <c r="A253" s="3">
        <v>1007</v>
      </c>
      <c r="B253" s="3" t="s">
        <v>422</v>
      </c>
      <c r="C253" s="3">
        <v>88</v>
      </c>
      <c r="D253" s="24">
        <v>133.30000000000001</v>
      </c>
      <c r="E253" s="3">
        <v>47</v>
      </c>
      <c r="F253" s="24">
        <v>14.55</v>
      </c>
      <c r="G253" s="24">
        <f>F253*1000*پارامترها!$B$16</f>
        <v>436.5</v>
      </c>
      <c r="H253" s="24">
        <f>IF(AND(D253&gt;0,F253&gt;0),D253/(F253*پارامترها!$B$16*12),"")</f>
        <v>25.448644520809474</v>
      </c>
      <c r="I253" s="3">
        <v>60</v>
      </c>
      <c r="J253" s="3">
        <v>65</v>
      </c>
    </row>
    <row r="254" spans="1:10" x14ac:dyDescent="0.2">
      <c r="A254" s="3">
        <v>1012</v>
      </c>
      <c r="B254" s="3" t="s">
        <v>421</v>
      </c>
      <c r="C254" s="3">
        <v>84</v>
      </c>
      <c r="D254" s="24">
        <v>132.9</v>
      </c>
      <c r="E254" s="3">
        <v>47</v>
      </c>
      <c r="F254" s="24">
        <v>16</v>
      </c>
      <c r="G254" s="24">
        <f>F254*1000*پارامترها!$B$16</f>
        <v>480</v>
      </c>
      <c r="H254" s="24">
        <f>IF(AND(D254&gt;0,F254&gt;0),D254/(F254*پارامترها!$B$16*12),"")</f>
        <v>23.072916666666668</v>
      </c>
      <c r="I254" s="3">
        <v>75</v>
      </c>
      <c r="J254" s="3">
        <v>71</v>
      </c>
    </row>
    <row r="255" spans="1:10" ht="16.5" x14ac:dyDescent="0.3">
      <c r="A255" s="3">
        <v>185</v>
      </c>
      <c r="B255" s="3" t="s">
        <v>440</v>
      </c>
      <c r="C255" s="3">
        <v>85</v>
      </c>
      <c r="D255" s="24">
        <v>131</v>
      </c>
      <c r="E255" s="3">
        <v>70</v>
      </c>
      <c r="F255" s="24">
        <v>13.25</v>
      </c>
      <c r="G255" s="24">
        <f>F255*1000*پارامترها!$B$16</f>
        <v>397.5</v>
      </c>
      <c r="H255" s="24">
        <f>IF(AND(D255&gt;0,F255&gt;0),D255/(F255*پارامترها!$B$16*12),"")</f>
        <v>27.463312368972748</v>
      </c>
      <c r="I255" s="3">
        <v>62</v>
      </c>
      <c r="J255" s="3">
        <v>61.5</v>
      </c>
    </row>
    <row r="256" spans="1:10" x14ac:dyDescent="0.2">
      <c r="A256" s="3">
        <v>253</v>
      </c>
      <c r="B256" s="3" t="s">
        <v>414</v>
      </c>
      <c r="C256" s="3">
        <v>84</v>
      </c>
      <c r="D256" s="24">
        <v>130.4</v>
      </c>
      <c r="E256" s="3">
        <v>64</v>
      </c>
      <c r="F256" s="24">
        <v>15.33</v>
      </c>
      <c r="G256" s="24">
        <f>F256*1000*پارامترها!$B$16</f>
        <v>459.9</v>
      </c>
      <c r="H256" s="24">
        <f>IF(AND(D256&gt;0,F256&gt;0),D256/(F256*پارامترها!$B$16*12),"")</f>
        <v>23.628324998188013</v>
      </c>
      <c r="I256" s="3">
        <v>64</v>
      </c>
      <c r="J256" s="3">
        <v>70</v>
      </c>
    </row>
    <row r="257" spans="1:10" x14ac:dyDescent="0.2">
      <c r="A257" s="3">
        <v>246</v>
      </c>
      <c r="B257" s="3" t="s">
        <v>391</v>
      </c>
      <c r="C257" s="3">
        <v>72</v>
      </c>
      <c r="D257" s="24">
        <v>129.80000000000001</v>
      </c>
      <c r="E257" s="3">
        <v>81</v>
      </c>
      <c r="F257" s="24">
        <v>12.5</v>
      </c>
      <c r="G257" s="24">
        <f>F257*1000*پارامترها!$B$16</f>
        <v>375</v>
      </c>
      <c r="H257" s="24">
        <f>IF(AND(D257&gt;0,F257&gt;0),D257/(F257*پارامترها!$B$16*12),"")</f>
        <v>28.844444444444449</v>
      </c>
      <c r="I257" s="3">
        <v>72</v>
      </c>
      <c r="J257" s="3">
        <v>68</v>
      </c>
    </row>
    <row r="258" spans="1:10" x14ac:dyDescent="0.2">
      <c r="A258" s="3">
        <v>997</v>
      </c>
      <c r="B258" s="3" t="s">
        <v>342</v>
      </c>
      <c r="C258" s="3">
        <v>75</v>
      </c>
      <c r="D258" s="24">
        <v>128.6</v>
      </c>
      <c r="E258" s="3">
        <v>46</v>
      </c>
      <c r="F258" s="24">
        <v>13.67</v>
      </c>
      <c r="G258" s="24">
        <f>F258*1000*پارامترها!$B$16</f>
        <v>410.09999999999997</v>
      </c>
      <c r="H258" s="24">
        <f>IF(AND(D258&gt;0,F258&gt;0),D258/(F258*پارامترها!$B$16*12),"")</f>
        <v>26.1318377631472</v>
      </c>
      <c r="I258" s="3">
        <v>61</v>
      </c>
      <c r="J258" s="3">
        <v>63</v>
      </c>
    </row>
    <row r="259" spans="1:10" x14ac:dyDescent="0.2">
      <c r="A259" s="3">
        <v>184</v>
      </c>
      <c r="B259" s="3" t="s">
        <v>441</v>
      </c>
      <c r="C259" s="3">
        <v>75</v>
      </c>
      <c r="D259" s="24">
        <v>127.5</v>
      </c>
      <c r="E259" s="3">
        <v>32</v>
      </c>
      <c r="F259" s="24">
        <v>12.65</v>
      </c>
      <c r="G259" s="24">
        <f>F259*1000*پارامترها!$B$16</f>
        <v>379.5</v>
      </c>
      <c r="H259" s="24">
        <f>IF(AND(D259&gt;0,F259&gt;0),D259/(F259*پارامترها!$B$16*12),"")</f>
        <v>27.997364953886692</v>
      </c>
      <c r="I259" s="3">
        <v>65</v>
      </c>
      <c r="J259" s="3">
        <v>65</v>
      </c>
    </row>
    <row r="260" spans="1:10" x14ac:dyDescent="0.2">
      <c r="A260" s="3">
        <v>1014</v>
      </c>
      <c r="B260" s="3" t="s">
        <v>423</v>
      </c>
      <c r="C260" s="3">
        <v>88</v>
      </c>
      <c r="D260" s="24">
        <v>125.8</v>
      </c>
      <c r="E260" s="3">
        <v>62</v>
      </c>
      <c r="F260" s="24">
        <v>15.45</v>
      </c>
      <c r="G260" s="24">
        <f>F260*1000*پارامترها!$B$16</f>
        <v>463.5</v>
      </c>
      <c r="H260" s="24">
        <f>IF(AND(D260&gt;0,F260&gt;0),D260/(F260*پارامترها!$B$16*12),"")</f>
        <v>22.617763394462425</v>
      </c>
      <c r="I260" s="3">
        <v>72</v>
      </c>
      <c r="J260" s="3">
        <v>70.5</v>
      </c>
    </row>
    <row r="261" spans="1:10" x14ac:dyDescent="0.2">
      <c r="A261" s="3">
        <v>199</v>
      </c>
      <c r="B261" s="3" t="s">
        <v>598</v>
      </c>
      <c r="C261" s="3">
        <v>89</v>
      </c>
      <c r="D261" s="24">
        <v>125.7</v>
      </c>
      <c r="E261" s="3">
        <v>83</v>
      </c>
      <c r="F261" s="24">
        <v>15.15</v>
      </c>
      <c r="G261" s="24">
        <f>F261*1000*پارامترها!$B$16</f>
        <v>454.5</v>
      </c>
      <c r="H261" s="24">
        <f>IF(AND(D261&gt;0,F261&gt;0),D261/(F261*پارامترها!$B$16*12),"")</f>
        <v>23.047304730473044</v>
      </c>
      <c r="I261" s="3">
        <v>65</v>
      </c>
      <c r="J261" s="3">
        <v>65</v>
      </c>
    </row>
    <row r="262" spans="1:10" x14ac:dyDescent="0.2">
      <c r="A262" s="3">
        <v>272</v>
      </c>
      <c r="B262" s="3" t="s">
        <v>385</v>
      </c>
      <c r="C262" s="3">
        <v>88</v>
      </c>
      <c r="D262" s="24">
        <v>124.7</v>
      </c>
      <c r="E262" s="3">
        <v>59</v>
      </c>
      <c r="F262" s="24">
        <v>15.33</v>
      </c>
      <c r="G262" s="24">
        <f>F262*1000*پارامترها!$B$16</f>
        <v>459.9</v>
      </c>
      <c r="H262" s="24">
        <f>IF(AND(D262&gt;0,F262&gt;0),D262/(F262*پارامترها!$B$16*12),"")</f>
        <v>22.595491773573968</v>
      </c>
      <c r="I262" s="3">
        <v>57</v>
      </c>
      <c r="J262" s="3">
        <v>60</v>
      </c>
    </row>
    <row r="263" spans="1:10" x14ac:dyDescent="0.2">
      <c r="A263" s="3">
        <v>1017</v>
      </c>
      <c r="B263" s="3" t="s">
        <v>599</v>
      </c>
      <c r="C263" s="3">
        <v>79</v>
      </c>
      <c r="D263" s="24">
        <v>123.6</v>
      </c>
      <c r="E263" s="3">
        <v>27</v>
      </c>
      <c r="F263" s="24">
        <v>15.75</v>
      </c>
      <c r="G263" s="24">
        <f>F263*1000*پارامترها!$B$16</f>
        <v>472.5</v>
      </c>
      <c r="H263" s="24">
        <f>IF(AND(D263&gt;0,F263&gt;0),D263/(F263*پارامترها!$B$16*12),"")</f>
        <v>21.798941798941797</v>
      </c>
      <c r="I263" s="3">
        <v>59.5</v>
      </c>
      <c r="J263" s="3">
        <v>60</v>
      </c>
    </row>
    <row r="264" spans="1:10" x14ac:dyDescent="0.2">
      <c r="A264" s="3">
        <v>235</v>
      </c>
      <c r="B264" s="3" t="s">
        <v>416</v>
      </c>
      <c r="C264" s="3">
        <v>72</v>
      </c>
      <c r="D264" s="24">
        <v>122.5</v>
      </c>
      <c r="E264" s="3">
        <v>31</v>
      </c>
      <c r="F264" s="24">
        <v>14.43</v>
      </c>
      <c r="G264" s="24">
        <f>F264*1000*پارامترها!$B$16</f>
        <v>432.9</v>
      </c>
      <c r="H264" s="24">
        <f>IF(AND(D264&gt;0,F264&gt;0),D264/(F264*پارامترها!$B$16*12),"")</f>
        <v>23.581273581273585</v>
      </c>
      <c r="I264" s="3">
        <v>75</v>
      </c>
      <c r="J264" s="3">
        <v>75</v>
      </c>
    </row>
    <row r="265" spans="1:10" x14ac:dyDescent="0.2">
      <c r="A265" s="3">
        <v>243</v>
      </c>
      <c r="B265" s="3" t="s">
        <v>392</v>
      </c>
      <c r="C265" s="3">
        <v>84</v>
      </c>
      <c r="D265" s="24">
        <v>121.8</v>
      </c>
      <c r="E265" s="3">
        <v>69</v>
      </c>
      <c r="F265" s="24">
        <v>12.44</v>
      </c>
      <c r="G265" s="24">
        <f>F265*1000*پارامترها!$B$16</f>
        <v>373.2</v>
      </c>
      <c r="H265" s="24">
        <f>IF(AND(D265&gt;0,F265&gt;0),D265/(F265*پارامترها!$B$16*12),"")</f>
        <v>27.19721329046088</v>
      </c>
      <c r="I265" s="3">
        <v>66</v>
      </c>
      <c r="J265" s="3">
        <v>65</v>
      </c>
    </row>
    <row r="266" spans="1:10" x14ac:dyDescent="0.2">
      <c r="A266" s="3">
        <v>306</v>
      </c>
      <c r="B266" s="3" t="s">
        <v>506</v>
      </c>
      <c r="C266" s="3">
        <v>59</v>
      </c>
      <c r="D266" s="24">
        <v>121.4</v>
      </c>
      <c r="E266" s="3">
        <v>7</v>
      </c>
      <c r="F266" s="24">
        <v>17.86</v>
      </c>
      <c r="G266" s="24">
        <f>F266*1000*پارامترها!$B$16</f>
        <v>535.79999999999995</v>
      </c>
      <c r="H266" s="24">
        <f>IF(AND(D266&gt;0,F266&gt;0),D266/(F266*پارامترها!$B$16*12),"")</f>
        <v>18.881423416697778</v>
      </c>
      <c r="I266" s="3">
        <v>73</v>
      </c>
      <c r="J266" s="3">
        <v>84</v>
      </c>
    </row>
    <row r="267" spans="1:10" x14ac:dyDescent="0.2">
      <c r="A267" s="3">
        <v>189</v>
      </c>
      <c r="B267" s="3" t="s">
        <v>443</v>
      </c>
      <c r="C267" s="3">
        <v>80</v>
      </c>
      <c r="D267" s="24">
        <v>121</v>
      </c>
      <c r="E267" s="3">
        <v>42</v>
      </c>
      <c r="F267" s="24">
        <v>11.68</v>
      </c>
      <c r="G267" s="24">
        <f>F267*1000*پارامترها!$B$16</f>
        <v>350.4</v>
      </c>
      <c r="H267" s="24">
        <f>IF(AND(D267&gt;0,F267&gt;0),D267/(F267*پارامترها!$B$16*12),"")</f>
        <v>28.776636225266365</v>
      </c>
      <c r="I267" s="3">
        <v>73</v>
      </c>
      <c r="J267" s="3">
        <v>65</v>
      </c>
    </row>
    <row r="268" spans="1:10" x14ac:dyDescent="0.2">
      <c r="A268" s="3">
        <v>187</v>
      </c>
      <c r="B268" s="3" t="s">
        <v>600</v>
      </c>
      <c r="C268" s="3">
        <v>39</v>
      </c>
      <c r="D268" s="24">
        <v>120</v>
      </c>
      <c r="E268" s="3">
        <v>15</v>
      </c>
      <c r="F268" s="24">
        <v>12.25</v>
      </c>
      <c r="G268" s="24">
        <f>F268*1000*پارامترها!$B$16</f>
        <v>367.5</v>
      </c>
      <c r="H268" s="24">
        <f>IF(AND(D268&gt;0,F268&gt;0),D268/(F268*پارامترها!$B$16*12),"")</f>
        <v>27.210884353741495</v>
      </c>
      <c r="I268" s="3">
        <v>78</v>
      </c>
      <c r="J268" s="3">
        <v>70</v>
      </c>
    </row>
    <row r="269" spans="1:10" x14ac:dyDescent="0.2">
      <c r="A269" s="3">
        <v>275</v>
      </c>
      <c r="B269" s="3" t="s">
        <v>601</v>
      </c>
      <c r="C269" s="3">
        <v>76</v>
      </c>
      <c r="D269" s="24">
        <v>120</v>
      </c>
      <c r="E269" s="3">
        <v>8</v>
      </c>
      <c r="F269" s="24">
        <v>14.26</v>
      </c>
      <c r="G269" s="24">
        <f>F269*1000*پارامترها!$B$16</f>
        <v>427.8</v>
      </c>
      <c r="H269" s="24">
        <f>IF(AND(D269&gt;0,F269&gt;0),D269/(F269*پارامترها!$B$16*12),"")</f>
        <v>23.375409069658723</v>
      </c>
      <c r="I269" s="3">
        <v>67.5</v>
      </c>
      <c r="J269" s="3">
        <v>59.5</v>
      </c>
    </row>
    <row r="270" spans="1:10" x14ac:dyDescent="0.2">
      <c r="A270" s="3">
        <v>976</v>
      </c>
      <c r="B270" s="3" t="s">
        <v>602</v>
      </c>
      <c r="C270" s="3">
        <v>1</v>
      </c>
      <c r="D270" s="24">
        <v>119.3</v>
      </c>
      <c r="E270" s="3">
        <v>0</v>
      </c>
      <c r="F270" s="24"/>
      <c r="G270" s="24"/>
      <c r="H270" s="24"/>
      <c r="I270" s="3">
        <v>75</v>
      </c>
      <c r="J270" s="3"/>
    </row>
    <row r="271" spans="1:10" x14ac:dyDescent="0.2">
      <c r="A271" s="3">
        <v>1032</v>
      </c>
      <c r="B271" s="3" t="s">
        <v>603</v>
      </c>
      <c r="C271" s="3">
        <v>38</v>
      </c>
      <c r="D271" s="24">
        <v>118.6</v>
      </c>
      <c r="E271" s="3">
        <v>6</v>
      </c>
      <c r="F271" s="24">
        <v>12.67</v>
      </c>
      <c r="G271" s="24">
        <f>F271*1000*پارامترها!$B$16</f>
        <v>380.09999999999997</v>
      </c>
      <c r="H271" s="24">
        <f>IF(AND(D271&gt;0,F271&gt;0),D271/(F271*پارامترها!$B$16*12),"")</f>
        <v>26.001929316846446</v>
      </c>
      <c r="I271" s="3">
        <v>80.5</v>
      </c>
      <c r="J271" s="3">
        <v>88</v>
      </c>
    </row>
    <row r="272" spans="1:10" x14ac:dyDescent="0.2">
      <c r="A272" s="3">
        <v>1013</v>
      </c>
      <c r="B272" s="3" t="s">
        <v>427</v>
      </c>
      <c r="C272" s="3">
        <v>84</v>
      </c>
      <c r="D272" s="24">
        <v>118.4</v>
      </c>
      <c r="E272" s="3">
        <v>29</v>
      </c>
      <c r="F272" s="24">
        <v>12.78</v>
      </c>
      <c r="G272" s="24">
        <f>F272*1000*پارامترها!$B$16</f>
        <v>383.4</v>
      </c>
      <c r="H272" s="24">
        <f>IF(AND(D272&gt;0,F272&gt;0),D272/(F272*پارامترها!$B$16*12),"")</f>
        <v>25.734654842636068</v>
      </c>
      <c r="I272" s="3">
        <v>63</v>
      </c>
      <c r="J272" s="3">
        <v>60</v>
      </c>
    </row>
    <row r="273" spans="1:10" x14ac:dyDescent="0.2">
      <c r="A273" s="3">
        <v>1010</v>
      </c>
      <c r="B273" s="3" t="s">
        <v>428</v>
      </c>
      <c r="C273" s="3">
        <v>88</v>
      </c>
      <c r="D273" s="24">
        <v>117.9</v>
      </c>
      <c r="E273" s="3">
        <v>48</v>
      </c>
      <c r="F273" s="24">
        <v>13.33</v>
      </c>
      <c r="G273" s="24">
        <f>F273*1000*پارامترها!$B$16</f>
        <v>399.9</v>
      </c>
      <c r="H273" s="24">
        <f>IF(AND(D273&gt;0,F273&gt;0),D273/(F273*پارامترها!$B$16*12),"")</f>
        <v>24.568642160540136</v>
      </c>
      <c r="I273" s="3">
        <v>65</v>
      </c>
      <c r="J273" s="3">
        <v>65</v>
      </c>
    </row>
    <row r="274" spans="1:10" x14ac:dyDescent="0.2">
      <c r="A274" s="3">
        <v>265</v>
      </c>
      <c r="B274" s="3" t="s">
        <v>193</v>
      </c>
      <c r="C274" s="3">
        <v>77</v>
      </c>
      <c r="D274" s="24">
        <v>117.3</v>
      </c>
      <c r="E274" s="3">
        <v>58</v>
      </c>
      <c r="F274" s="24">
        <v>13</v>
      </c>
      <c r="G274" s="24">
        <f>F274*1000*پارامترها!$B$16</f>
        <v>390</v>
      </c>
      <c r="H274" s="24">
        <f>IF(AND(D274&gt;0,F274&gt;0),D274/(F274*پارامترها!$B$16*12),"")</f>
        <v>25.064102564102566</v>
      </c>
      <c r="I274" s="3">
        <v>58</v>
      </c>
      <c r="J274" s="3">
        <v>60</v>
      </c>
    </row>
    <row r="275" spans="1:10" x14ac:dyDescent="0.2">
      <c r="A275" s="3">
        <v>1008</v>
      </c>
      <c r="B275" s="3" t="s">
        <v>430</v>
      </c>
      <c r="C275" s="3">
        <v>73</v>
      </c>
      <c r="D275" s="24">
        <v>116.4</v>
      </c>
      <c r="E275" s="3">
        <v>10</v>
      </c>
      <c r="F275" s="24">
        <v>14.84</v>
      </c>
      <c r="G275" s="24">
        <f>F275*1000*پارامترها!$B$16</f>
        <v>445.2</v>
      </c>
      <c r="H275" s="24">
        <f>IF(AND(D275&gt;0,F275&gt;0),D275/(F275*پارامترها!$B$16*12),"")</f>
        <v>21.787960467205753</v>
      </c>
      <c r="I275" s="3">
        <v>67</v>
      </c>
      <c r="J275" s="3">
        <v>56.5</v>
      </c>
    </row>
    <row r="276" spans="1:10" ht="16.5" x14ac:dyDescent="0.3">
      <c r="A276" s="3">
        <v>279</v>
      </c>
      <c r="B276" s="3" t="s">
        <v>344</v>
      </c>
      <c r="C276" s="3">
        <v>67</v>
      </c>
      <c r="D276" s="24">
        <v>116</v>
      </c>
      <c r="E276" s="3">
        <v>26</v>
      </c>
      <c r="F276" s="24">
        <v>13.74</v>
      </c>
      <c r="G276" s="24">
        <f>F276*1000*پارامترها!$B$16</f>
        <v>412.2</v>
      </c>
      <c r="H276" s="24">
        <f>IF(AND(D276&gt;0,F276&gt;0),D276/(F276*پارامترها!$B$16*12),"")</f>
        <v>23.451398997250521</v>
      </c>
      <c r="I276" s="3">
        <v>61</v>
      </c>
      <c r="J276" s="3">
        <v>64</v>
      </c>
    </row>
    <row r="277" spans="1:10" x14ac:dyDescent="0.2">
      <c r="A277" s="3">
        <v>198</v>
      </c>
      <c r="B277" s="3" t="s">
        <v>426</v>
      </c>
      <c r="C277" s="3">
        <v>83</v>
      </c>
      <c r="D277" s="24">
        <v>115.4</v>
      </c>
      <c r="E277" s="3">
        <v>64</v>
      </c>
      <c r="F277" s="24">
        <v>13.9</v>
      </c>
      <c r="G277" s="24">
        <f>F277*1000*پارامترها!$B$16</f>
        <v>417</v>
      </c>
      <c r="H277" s="24">
        <f>IF(AND(D277&gt;0,F277&gt;0),D277/(F277*پارامترها!$B$16*12),"")</f>
        <v>23.061550759392489</v>
      </c>
      <c r="I277" s="3">
        <v>48</v>
      </c>
      <c r="J277" s="3">
        <v>60</v>
      </c>
    </row>
    <row r="278" spans="1:10" x14ac:dyDescent="0.2">
      <c r="A278" s="3">
        <v>260</v>
      </c>
      <c r="B278" s="3" t="s">
        <v>604</v>
      </c>
      <c r="C278" s="3">
        <v>7</v>
      </c>
      <c r="D278" s="24">
        <v>115</v>
      </c>
      <c r="E278" s="3">
        <v>3</v>
      </c>
      <c r="F278" s="24">
        <v>11.11</v>
      </c>
      <c r="G278" s="24">
        <f>F278*1000*پارامترها!$B$16</f>
        <v>333.3</v>
      </c>
      <c r="H278" s="24">
        <f>IF(AND(D278&gt;0,F278&gt;0),D278/(F278*پارامترها!$B$16*12),"")</f>
        <v>28.752875287528752</v>
      </c>
      <c r="I278" s="3">
        <v>77</v>
      </c>
      <c r="J278" s="3">
        <v>90</v>
      </c>
    </row>
    <row r="279" spans="1:10" x14ac:dyDescent="0.2">
      <c r="A279" s="3">
        <v>1016</v>
      </c>
      <c r="B279" s="3" t="s">
        <v>397</v>
      </c>
      <c r="C279" s="3">
        <v>77</v>
      </c>
      <c r="D279" s="24">
        <v>115</v>
      </c>
      <c r="E279" s="3">
        <v>22</v>
      </c>
      <c r="F279" s="24">
        <v>13.92</v>
      </c>
      <c r="G279" s="24">
        <f>F279*1000*پارامترها!$B$16</f>
        <v>417.59999999999997</v>
      </c>
      <c r="H279" s="24">
        <f>IF(AND(D279&gt;0,F279&gt;0),D279/(F279*پارامترها!$B$16*12),"")</f>
        <v>22.948595146871011</v>
      </c>
      <c r="I279" s="3">
        <v>59</v>
      </c>
      <c r="J279" s="3">
        <v>54</v>
      </c>
    </row>
    <row r="280" spans="1:10" x14ac:dyDescent="0.2">
      <c r="A280" s="3">
        <v>1021</v>
      </c>
      <c r="B280" s="3" t="s">
        <v>431</v>
      </c>
      <c r="C280" s="3">
        <v>89</v>
      </c>
      <c r="D280" s="24">
        <v>114.7</v>
      </c>
      <c r="E280" s="3">
        <v>23</v>
      </c>
      <c r="F280" s="24">
        <v>15.45</v>
      </c>
      <c r="G280" s="24">
        <f>F280*1000*پارامترها!$B$16</f>
        <v>463.5</v>
      </c>
      <c r="H280" s="24">
        <f>IF(AND(D280&gt;0,F280&gt;0),D280/(F280*پارامترها!$B$16*12),"")</f>
        <v>20.622078389068683</v>
      </c>
      <c r="I280" s="3">
        <v>63</v>
      </c>
      <c r="J280" s="3">
        <v>65</v>
      </c>
    </row>
    <row r="281" spans="1:10" x14ac:dyDescent="0.2">
      <c r="A281" s="3">
        <v>263</v>
      </c>
      <c r="B281" s="3" t="s">
        <v>450</v>
      </c>
      <c r="C281" s="3">
        <v>79</v>
      </c>
      <c r="D281" s="24">
        <v>114.6</v>
      </c>
      <c r="E281" s="3">
        <v>46</v>
      </c>
      <c r="F281" s="24">
        <v>12.4</v>
      </c>
      <c r="G281" s="24">
        <f>F281*1000*پارامترها!$B$16</f>
        <v>372</v>
      </c>
      <c r="H281" s="24">
        <f>IF(AND(D281&gt;0,F281&gt;0),D281/(F281*پارامترها!$B$16*12),"")</f>
        <v>25.672043010752684</v>
      </c>
      <c r="I281" s="3">
        <v>60</v>
      </c>
      <c r="J281" s="3">
        <v>71</v>
      </c>
    </row>
    <row r="282" spans="1:10" x14ac:dyDescent="0.2">
      <c r="A282" s="3">
        <v>220</v>
      </c>
      <c r="B282" s="3" t="s">
        <v>605</v>
      </c>
      <c r="C282" s="3">
        <v>21</v>
      </c>
      <c r="D282" s="24">
        <v>114.2</v>
      </c>
      <c r="E282" s="3">
        <v>12</v>
      </c>
      <c r="F282" s="24">
        <v>11.64</v>
      </c>
      <c r="G282" s="24">
        <f>F282*1000*پارامترها!$B$16</f>
        <v>349.2</v>
      </c>
      <c r="H282" s="24">
        <f>IF(AND(D282&gt;0,F282&gt;0),D282/(F282*پارامترها!$B$16*12),"")</f>
        <v>27.252768232149673</v>
      </c>
      <c r="I282" s="3">
        <v>80</v>
      </c>
      <c r="J282" s="3">
        <v>65.5</v>
      </c>
    </row>
    <row r="283" spans="1:10" x14ac:dyDescent="0.2">
      <c r="A283" s="3">
        <v>194</v>
      </c>
      <c r="B283" s="3" t="s">
        <v>448</v>
      </c>
      <c r="C283" s="3">
        <v>89</v>
      </c>
      <c r="D283" s="24">
        <v>113.9</v>
      </c>
      <c r="E283" s="3">
        <v>42</v>
      </c>
      <c r="F283" s="24">
        <v>11.47</v>
      </c>
      <c r="G283" s="24">
        <f>F283*1000*پارامترها!$B$16</f>
        <v>344.09999999999997</v>
      </c>
      <c r="H283" s="24">
        <f>IF(AND(D283&gt;0,F283&gt;0),D283/(F283*پارامترها!$B$16*12),"")</f>
        <v>27.584035648551779</v>
      </c>
      <c r="I283" s="3">
        <v>63</v>
      </c>
      <c r="J283" s="3">
        <v>60</v>
      </c>
    </row>
    <row r="284" spans="1:10" x14ac:dyDescent="0.2">
      <c r="A284" s="3">
        <v>948</v>
      </c>
      <c r="B284" s="3" t="s">
        <v>606</v>
      </c>
      <c r="C284" s="3">
        <v>70</v>
      </c>
      <c r="D284" s="24">
        <v>112.5</v>
      </c>
      <c r="E284" s="3">
        <v>51</v>
      </c>
      <c r="F284" s="24">
        <v>13.33</v>
      </c>
      <c r="G284" s="24">
        <f>F284*1000*پارامترها!$B$16</f>
        <v>399.9</v>
      </c>
      <c r="H284" s="24">
        <f>IF(AND(D284&gt;0,F284&gt;0),D284/(F284*پارامترها!$B$16*12),"")</f>
        <v>23.443360840210051</v>
      </c>
      <c r="I284" s="3">
        <v>60</v>
      </c>
      <c r="J284" s="3">
        <v>60</v>
      </c>
    </row>
    <row r="285" spans="1:10" x14ac:dyDescent="0.2">
      <c r="A285" s="3">
        <v>193</v>
      </c>
      <c r="B285" s="3" t="s">
        <v>373</v>
      </c>
      <c r="C285" s="3">
        <v>73</v>
      </c>
      <c r="D285" s="24">
        <v>110.5</v>
      </c>
      <c r="E285" s="3">
        <v>40</v>
      </c>
      <c r="F285" s="24">
        <v>12.64</v>
      </c>
      <c r="G285" s="24">
        <f>F285*1000*پارامترها!$B$16</f>
        <v>379.2</v>
      </c>
      <c r="H285" s="24">
        <f>IF(AND(D285&gt;0,F285&gt;0),D285/(F285*پارامترها!$B$16*12),"")</f>
        <v>24.283579465541493</v>
      </c>
      <c r="I285" s="3">
        <v>65</v>
      </c>
      <c r="J285" s="3">
        <v>73</v>
      </c>
    </row>
    <row r="286" spans="1:10" x14ac:dyDescent="0.2">
      <c r="A286" s="3">
        <v>175</v>
      </c>
      <c r="B286" s="3" t="s">
        <v>507</v>
      </c>
      <c r="C286" s="3">
        <v>41</v>
      </c>
      <c r="D286" s="24">
        <v>110</v>
      </c>
      <c r="E286" s="3">
        <v>5</v>
      </c>
      <c r="F286" s="24">
        <v>17.54</v>
      </c>
      <c r="G286" s="24">
        <f>F286*1000*پارامترها!$B$16</f>
        <v>526.19999999999993</v>
      </c>
      <c r="H286" s="24">
        <f>IF(AND(D286&gt;0,F286&gt;0),D286/(F286*پارامترها!$B$16*12),"")</f>
        <v>17.420499176485492</v>
      </c>
      <c r="I286" s="3">
        <v>80</v>
      </c>
      <c r="J286" s="3">
        <v>105</v>
      </c>
    </row>
    <row r="287" spans="1:10" x14ac:dyDescent="0.2">
      <c r="A287" s="3">
        <v>270</v>
      </c>
      <c r="B287" s="3" t="s">
        <v>401</v>
      </c>
      <c r="C287" s="3">
        <v>82</v>
      </c>
      <c r="D287" s="24">
        <v>110</v>
      </c>
      <c r="E287" s="3">
        <v>19</v>
      </c>
      <c r="F287" s="24">
        <v>11.67</v>
      </c>
      <c r="G287" s="24">
        <f>F287*1000*پارامترها!$B$16</f>
        <v>350.09999999999997</v>
      </c>
      <c r="H287" s="24">
        <f>IF(AND(D287&gt;0,F287&gt;0),D287/(F287*پارامترها!$B$16*12),"")</f>
        <v>26.182995334666284</v>
      </c>
      <c r="I287" s="3">
        <v>58</v>
      </c>
      <c r="J287" s="3">
        <v>60</v>
      </c>
    </row>
    <row r="288" spans="1:10" x14ac:dyDescent="0.2">
      <c r="A288" s="3">
        <v>918</v>
      </c>
      <c r="B288" s="3" t="s">
        <v>471</v>
      </c>
      <c r="C288" s="3">
        <v>77</v>
      </c>
      <c r="D288" s="24">
        <v>110</v>
      </c>
      <c r="E288" s="3">
        <v>12</v>
      </c>
      <c r="F288" s="24">
        <v>10</v>
      </c>
      <c r="G288" s="24">
        <f>F288*1000*پارامترها!$B$16</f>
        <v>300</v>
      </c>
      <c r="H288" s="24">
        <f>IF(AND(D288&gt;0,F288&gt;0),D288/(F288*پارامترها!$B$16*12),"")</f>
        <v>30.555555555555557</v>
      </c>
      <c r="I288" s="3">
        <v>83</v>
      </c>
      <c r="J288" s="3">
        <v>68</v>
      </c>
    </row>
    <row r="289" spans="1:10" x14ac:dyDescent="0.2">
      <c r="A289" s="3">
        <v>1015</v>
      </c>
      <c r="B289" s="3" t="s">
        <v>399</v>
      </c>
      <c r="C289" s="3">
        <v>83</v>
      </c>
      <c r="D289" s="24">
        <v>109.7</v>
      </c>
      <c r="E289" s="3">
        <v>18</v>
      </c>
      <c r="F289" s="24">
        <v>14.14</v>
      </c>
      <c r="G289" s="24">
        <f>F289*1000*پارامترها!$B$16</f>
        <v>424.2</v>
      </c>
      <c r="H289" s="24">
        <f>IF(AND(D289&gt;0,F289&gt;0),D289/(F289*پارامترها!$B$16*12),"")</f>
        <v>21.550369322646549</v>
      </c>
      <c r="I289" s="3">
        <v>80</v>
      </c>
      <c r="J289" s="3">
        <v>70</v>
      </c>
    </row>
    <row r="290" spans="1:10" x14ac:dyDescent="0.2">
      <c r="A290" s="3">
        <v>255</v>
      </c>
      <c r="B290" s="3" t="s">
        <v>470</v>
      </c>
      <c r="C290" s="3">
        <v>84</v>
      </c>
      <c r="D290" s="24">
        <v>108.7</v>
      </c>
      <c r="E290" s="3">
        <v>47</v>
      </c>
      <c r="F290" s="24">
        <v>13.54</v>
      </c>
      <c r="G290" s="24">
        <f>F290*1000*پارامترها!$B$16</f>
        <v>406.2</v>
      </c>
      <c r="H290" s="24">
        <f>IF(AND(D290&gt;0,F290&gt;0),D290/(F290*پارامترها!$B$16*12),"")</f>
        <v>22.300180535040212</v>
      </c>
      <c r="I290" s="3">
        <v>67</v>
      </c>
      <c r="J290" s="3">
        <v>67</v>
      </c>
    </row>
    <row r="291" spans="1:10" x14ac:dyDescent="0.2">
      <c r="A291" s="3">
        <v>266</v>
      </c>
      <c r="B291" s="3" t="s">
        <v>607</v>
      </c>
      <c r="C291" s="3">
        <v>83</v>
      </c>
      <c r="D291" s="24">
        <v>107.1</v>
      </c>
      <c r="E291" s="3">
        <v>18</v>
      </c>
      <c r="F291" s="24">
        <v>11.91</v>
      </c>
      <c r="G291" s="24">
        <f>F291*1000*پارامترها!$B$16</f>
        <v>357.3</v>
      </c>
      <c r="H291" s="24">
        <f>IF(AND(D291&gt;0,F291&gt;0),D291/(F291*پارامترها!$B$16*12),"")</f>
        <v>24.979009235936186</v>
      </c>
      <c r="I291" s="3">
        <v>55</v>
      </c>
      <c r="J291" s="3">
        <v>63</v>
      </c>
    </row>
    <row r="292" spans="1:10" x14ac:dyDescent="0.2">
      <c r="A292" s="3">
        <v>1009</v>
      </c>
      <c r="B292" s="3" t="s">
        <v>432</v>
      </c>
      <c r="C292" s="3">
        <v>88</v>
      </c>
      <c r="D292" s="24">
        <v>106.7</v>
      </c>
      <c r="E292" s="3">
        <v>22</v>
      </c>
      <c r="F292" s="24">
        <v>12.36</v>
      </c>
      <c r="G292" s="24">
        <f>F292*1000*پارامترها!$B$16</f>
        <v>370.8</v>
      </c>
      <c r="H292" s="24">
        <f>IF(AND(D292&gt;0,F292&gt;0),D292/(F292*پارامترها!$B$16*12),"")</f>
        <v>23.979683567062214</v>
      </c>
      <c r="I292" s="3">
        <v>66</v>
      </c>
      <c r="J292" s="3">
        <v>61</v>
      </c>
    </row>
    <row r="293" spans="1:10" x14ac:dyDescent="0.2">
      <c r="A293" s="3">
        <v>245</v>
      </c>
      <c r="B293" s="3" t="s">
        <v>404</v>
      </c>
      <c r="C293" s="3">
        <v>88</v>
      </c>
      <c r="D293" s="24">
        <v>106</v>
      </c>
      <c r="E293" s="3">
        <v>36</v>
      </c>
      <c r="F293" s="24">
        <v>10.57</v>
      </c>
      <c r="G293" s="24">
        <f>F293*1000*پارامترها!$B$16</f>
        <v>317.09999999999997</v>
      </c>
      <c r="H293" s="24">
        <f>IF(AND(D293&gt;0,F293&gt;0),D293/(F293*پارامترها!$B$16*12),"")</f>
        <v>27.85661726059077</v>
      </c>
      <c r="I293" s="3">
        <v>58.5</v>
      </c>
      <c r="J293" s="3">
        <v>60</v>
      </c>
    </row>
    <row r="294" spans="1:10" x14ac:dyDescent="0.2">
      <c r="A294" s="3">
        <v>307</v>
      </c>
      <c r="B294" s="3" t="s">
        <v>505</v>
      </c>
      <c r="C294" s="3">
        <v>2</v>
      </c>
      <c r="D294" s="24">
        <v>104</v>
      </c>
      <c r="E294" s="3">
        <v>1</v>
      </c>
      <c r="F294" s="24">
        <v>15.38</v>
      </c>
      <c r="G294" s="24">
        <f>F294*1000*پارامترها!$B$16</f>
        <v>461.4</v>
      </c>
      <c r="H294" s="24">
        <f>IF(AND(D294&gt;0,F294&gt;0),D294/(F294*پارامترها!$B$16*12),"")</f>
        <v>18.783412801618262</v>
      </c>
      <c r="I294" s="3">
        <v>66.5</v>
      </c>
      <c r="J294" s="3">
        <v>130</v>
      </c>
    </row>
    <row r="295" spans="1:10" x14ac:dyDescent="0.2">
      <c r="A295" s="3">
        <v>993</v>
      </c>
      <c r="B295" s="3" t="s">
        <v>608</v>
      </c>
      <c r="C295" s="3">
        <v>10</v>
      </c>
      <c r="D295" s="24">
        <v>103.4</v>
      </c>
      <c r="E295" s="3">
        <v>4</v>
      </c>
      <c r="F295" s="24">
        <v>11.05</v>
      </c>
      <c r="G295" s="24">
        <f>F295*1000*پارامترها!$B$16</f>
        <v>331.5</v>
      </c>
      <c r="H295" s="24">
        <f>IF(AND(D295&gt;0,F295&gt;0),D295/(F295*پارامترها!$B$16*12),"")</f>
        <v>25.992961287078934</v>
      </c>
      <c r="I295" s="3">
        <v>51</v>
      </c>
      <c r="J295" s="3">
        <v>66.5</v>
      </c>
    </row>
    <row r="296" spans="1:10" x14ac:dyDescent="0.2">
      <c r="A296" s="3">
        <v>268</v>
      </c>
      <c r="B296" s="3" t="s">
        <v>433</v>
      </c>
      <c r="C296" s="3">
        <v>85</v>
      </c>
      <c r="D296" s="24">
        <v>103.3</v>
      </c>
      <c r="E296" s="3">
        <v>26</v>
      </c>
      <c r="F296" s="24">
        <v>11.44</v>
      </c>
      <c r="G296" s="24">
        <f>F296*1000*پارامترها!$B$16</f>
        <v>343.2</v>
      </c>
      <c r="H296" s="24">
        <f>IF(AND(D296&gt;0,F296&gt;0),D296/(F296*پارامترها!$B$16*12),"")</f>
        <v>25.082556332556337</v>
      </c>
      <c r="I296" s="3">
        <v>60</v>
      </c>
      <c r="J296" s="3">
        <v>56.5</v>
      </c>
    </row>
    <row r="297" spans="1:10" x14ac:dyDescent="0.2">
      <c r="A297" s="3">
        <v>1019</v>
      </c>
      <c r="B297" s="3" t="s">
        <v>405</v>
      </c>
      <c r="C297" s="3">
        <v>81</v>
      </c>
      <c r="D297" s="24">
        <v>103.1</v>
      </c>
      <c r="E297" s="3">
        <v>23</v>
      </c>
      <c r="F297" s="24">
        <v>12.36</v>
      </c>
      <c r="G297" s="24">
        <f>F297*1000*پارامترها!$B$16</f>
        <v>370.8</v>
      </c>
      <c r="H297" s="24">
        <f>IF(AND(D297&gt;0,F297&gt;0),D297/(F297*پارامترها!$B$16*12),"")</f>
        <v>23.170622078389069</v>
      </c>
      <c r="I297" s="3">
        <v>68</v>
      </c>
      <c r="J297" s="3">
        <v>65</v>
      </c>
    </row>
    <row r="298" spans="1:10" x14ac:dyDescent="0.2">
      <c r="A298" s="3">
        <v>1018</v>
      </c>
      <c r="B298" s="3" t="s">
        <v>402</v>
      </c>
      <c r="C298" s="3">
        <v>87</v>
      </c>
      <c r="D298" s="24">
        <v>102.9</v>
      </c>
      <c r="E298" s="3">
        <v>33</v>
      </c>
      <c r="F298" s="24">
        <v>12.82</v>
      </c>
      <c r="G298" s="24">
        <f>F298*1000*پارامترها!$B$16</f>
        <v>384.59999999999997</v>
      </c>
      <c r="H298" s="24">
        <f>IF(AND(D298&gt;0,F298&gt;0),D298/(F298*پارامترها!$B$16*12),"")</f>
        <v>22.29589183567343</v>
      </c>
      <c r="I298" s="3">
        <v>69</v>
      </c>
      <c r="J298" s="3">
        <v>65</v>
      </c>
    </row>
    <row r="299" spans="1:10" x14ac:dyDescent="0.2">
      <c r="A299" s="3">
        <v>996</v>
      </c>
      <c r="B299" s="3" t="s">
        <v>609</v>
      </c>
      <c r="C299" s="3">
        <v>9</v>
      </c>
      <c r="D299" s="24">
        <v>101.8</v>
      </c>
      <c r="E299" s="3">
        <v>2</v>
      </c>
      <c r="F299" s="24">
        <v>15.28</v>
      </c>
      <c r="G299" s="24">
        <f>F299*1000*پارامترها!$B$16</f>
        <v>458.4</v>
      </c>
      <c r="H299" s="24">
        <f>IF(AND(D299&gt;0,F299&gt;0),D299/(F299*پارامترها!$B$16*12),"")</f>
        <v>18.506399069226294</v>
      </c>
      <c r="I299" s="3">
        <v>55</v>
      </c>
      <c r="J299" s="3">
        <v>90</v>
      </c>
    </row>
    <row r="300" spans="1:10" x14ac:dyDescent="0.2">
      <c r="A300" s="3">
        <v>269</v>
      </c>
      <c r="B300" s="3" t="s">
        <v>434</v>
      </c>
      <c r="C300" s="3">
        <v>84</v>
      </c>
      <c r="D300" s="24">
        <v>97.3</v>
      </c>
      <c r="E300" s="3">
        <v>19</v>
      </c>
      <c r="F300" s="24">
        <v>12.07</v>
      </c>
      <c r="G300" s="24">
        <f>F300*1000*پارامترها!$B$16</f>
        <v>362.09999999999997</v>
      </c>
      <c r="H300" s="24">
        <f>IF(AND(D300&gt;0,F300&gt;0),D300/(F300*پارامترها!$B$16*12),"")</f>
        <v>22.39252508515143</v>
      </c>
      <c r="I300" s="3">
        <v>61</v>
      </c>
      <c r="J300" s="3">
        <v>58</v>
      </c>
    </row>
    <row r="301" spans="1:10" ht="16.5" x14ac:dyDescent="0.3">
      <c r="A301" s="3">
        <v>264</v>
      </c>
      <c r="B301" s="3" t="s">
        <v>419</v>
      </c>
      <c r="C301" s="3">
        <v>13</v>
      </c>
      <c r="D301" s="24">
        <v>97.2</v>
      </c>
      <c r="E301" s="3">
        <v>3</v>
      </c>
      <c r="F301" s="24">
        <v>13.6</v>
      </c>
      <c r="G301" s="24">
        <f>F301*1000*پارامترها!$B$16</f>
        <v>408</v>
      </c>
      <c r="H301" s="24">
        <f>IF(AND(D301&gt;0,F301&gt;0),D301/(F301*پارامترها!$B$16*12),"")</f>
        <v>19.852941176470591</v>
      </c>
      <c r="I301" s="3">
        <v>70</v>
      </c>
      <c r="J301" s="3">
        <v>50</v>
      </c>
    </row>
    <row r="302" spans="1:10" x14ac:dyDescent="0.2">
      <c r="A302" s="3">
        <v>106</v>
      </c>
      <c r="B302" s="3" t="s">
        <v>196</v>
      </c>
      <c r="C302" s="3">
        <v>65</v>
      </c>
      <c r="D302" s="24">
        <v>95.2</v>
      </c>
      <c r="E302" s="3">
        <v>63</v>
      </c>
      <c r="F302" s="24">
        <v>11.11</v>
      </c>
      <c r="G302" s="24">
        <f>F302*1000*پارامترها!$B$16</f>
        <v>333.3</v>
      </c>
      <c r="H302" s="24">
        <f>IF(AND(D302&gt;0,F302&gt;0),D302/(F302*پارامترها!$B$16*12),"")</f>
        <v>23.802380238023805</v>
      </c>
      <c r="I302" s="3">
        <v>60</v>
      </c>
      <c r="J302" s="3">
        <v>65</v>
      </c>
    </row>
    <row r="303" spans="1:10" x14ac:dyDescent="0.2">
      <c r="A303" s="3">
        <v>262</v>
      </c>
      <c r="B303" s="3" t="s">
        <v>474</v>
      </c>
      <c r="C303" s="3">
        <v>33</v>
      </c>
      <c r="D303" s="24">
        <v>94.7</v>
      </c>
      <c r="E303" s="3">
        <v>10</v>
      </c>
      <c r="F303" s="24">
        <v>9.2200000000000006</v>
      </c>
      <c r="G303" s="24">
        <f>F303*1000*پارامترها!$B$16</f>
        <v>276.59999999999997</v>
      </c>
      <c r="H303" s="24">
        <f>IF(AND(D303&gt;0,F303&gt;0),D303/(F303*پارامترها!$B$16*12),"")</f>
        <v>28.53097131838997</v>
      </c>
      <c r="I303" s="3">
        <v>95</v>
      </c>
      <c r="J303" s="3">
        <v>75</v>
      </c>
    </row>
    <row r="304" spans="1:10" x14ac:dyDescent="0.2">
      <c r="A304" s="3">
        <v>240</v>
      </c>
      <c r="B304" s="3" t="s">
        <v>406</v>
      </c>
      <c r="C304" s="3">
        <v>86</v>
      </c>
      <c r="D304" s="24">
        <v>94.5</v>
      </c>
      <c r="E304" s="3">
        <v>29</v>
      </c>
      <c r="F304" s="24">
        <v>12.16</v>
      </c>
      <c r="G304" s="24">
        <f>F304*1000*پارامترها!$B$16</f>
        <v>364.8</v>
      </c>
      <c r="H304" s="24">
        <f>IF(AND(D304&gt;0,F304&gt;0),D304/(F304*پارامترها!$B$16*12),"")</f>
        <v>21.587171052631579</v>
      </c>
      <c r="I304" s="3">
        <v>61</v>
      </c>
      <c r="J304" s="3">
        <v>60</v>
      </c>
    </row>
    <row r="305" spans="1:10" x14ac:dyDescent="0.2">
      <c r="A305" s="3">
        <v>191</v>
      </c>
      <c r="B305" s="3" t="s">
        <v>451</v>
      </c>
      <c r="C305" s="3">
        <v>78</v>
      </c>
      <c r="D305" s="24">
        <v>94.5</v>
      </c>
      <c r="E305" s="3">
        <v>34</v>
      </c>
      <c r="F305" s="24">
        <v>10.42</v>
      </c>
      <c r="G305" s="24">
        <f>F305*1000*پارامترها!$B$16</f>
        <v>312.59999999999997</v>
      </c>
      <c r="H305" s="24">
        <f>IF(AND(D305&gt;0,F305&gt;0),D305/(F305*پارامترها!$B$16*12),"")</f>
        <v>25.191938579654511</v>
      </c>
      <c r="I305" s="3">
        <v>63</v>
      </c>
      <c r="J305" s="3">
        <v>65</v>
      </c>
    </row>
    <row r="306" spans="1:10" x14ac:dyDescent="0.2">
      <c r="A306" s="3">
        <v>280</v>
      </c>
      <c r="B306" s="3" t="s">
        <v>346</v>
      </c>
      <c r="C306" s="3">
        <v>2</v>
      </c>
      <c r="D306" s="24">
        <v>92.8</v>
      </c>
      <c r="E306" s="3">
        <v>2</v>
      </c>
      <c r="F306" s="24">
        <v>10.9</v>
      </c>
      <c r="G306" s="24">
        <f>F306*1000*پارامترها!$B$16</f>
        <v>327</v>
      </c>
      <c r="H306" s="24">
        <f>IF(AND(D306&gt;0,F306&gt;0),D306/(F306*پارامترها!$B$16*12),"")</f>
        <v>23.649337410805298</v>
      </c>
      <c r="I306" s="3">
        <v>86.5</v>
      </c>
      <c r="J306" s="3">
        <v>85</v>
      </c>
    </row>
    <row r="307" spans="1:10" x14ac:dyDescent="0.2">
      <c r="A307" s="3">
        <v>913</v>
      </c>
      <c r="B307" s="3" t="s">
        <v>453</v>
      </c>
      <c r="C307" s="3">
        <v>13</v>
      </c>
      <c r="D307" s="24">
        <v>90.8</v>
      </c>
      <c r="E307" s="3">
        <v>11</v>
      </c>
      <c r="F307" s="24">
        <v>9.11</v>
      </c>
      <c r="G307" s="24">
        <f>F307*1000*پارامترها!$B$16</f>
        <v>273.3</v>
      </c>
      <c r="H307" s="24">
        <f>IF(AND(D307&gt;0,F307&gt;0),D307/(F307*پارامترها!$B$16*12),"")</f>
        <v>27.686303207708256</v>
      </c>
      <c r="I307" s="3">
        <v>68</v>
      </c>
      <c r="J307" s="3">
        <v>85</v>
      </c>
    </row>
    <row r="308" spans="1:10" x14ac:dyDescent="0.2">
      <c r="A308" s="3">
        <v>192</v>
      </c>
      <c r="B308" s="3" t="s">
        <v>454</v>
      </c>
      <c r="C308" s="3">
        <v>84</v>
      </c>
      <c r="D308" s="24">
        <v>83.5</v>
      </c>
      <c r="E308" s="3">
        <v>55</v>
      </c>
      <c r="F308" s="24">
        <v>10</v>
      </c>
      <c r="G308" s="24">
        <f>F308*1000*پارامترها!$B$16</f>
        <v>300</v>
      </c>
      <c r="H308" s="24">
        <f>IF(AND(D308&gt;0,F308&gt;0),D308/(F308*پارامترها!$B$16*12),"")</f>
        <v>23.194444444444446</v>
      </c>
      <c r="I308" s="3">
        <v>60</v>
      </c>
      <c r="J308" s="3">
        <v>60</v>
      </c>
    </row>
    <row r="309" spans="1:10" x14ac:dyDescent="0.2">
      <c r="A309" s="3">
        <v>259</v>
      </c>
      <c r="B309" s="3" t="s">
        <v>408</v>
      </c>
      <c r="C309" s="3">
        <v>46</v>
      </c>
      <c r="D309" s="24">
        <v>74.7</v>
      </c>
      <c r="E309" s="3">
        <v>17</v>
      </c>
      <c r="F309" s="24">
        <v>9.76</v>
      </c>
      <c r="G309" s="24">
        <f>F309*1000*پارامترها!$B$16</f>
        <v>292.8</v>
      </c>
      <c r="H309" s="24">
        <f>IF(AND(D309&gt;0,F309&gt;0),D309/(F309*پارامترها!$B$16*12),"")</f>
        <v>21.260245901639344</v>
      </c>
      <c r="I309" s="3">
        <v>85</v>
      </c>
      <c r="J309" s="3">
        <v>90</v>
      </c>
    </row>
    <row r="310" spans="1:10" x14ac:dyDescent="0.2">
      <c r="A310" s="3">
        <v>180</v>
      </c>
      <c r="B310" s="3" t="s">
        <v>610</v>
      </c>
      <c r="C310" s="3">
        <v>0</v>
      </c>
      <c r="D310" s="24"/>
      <c r="E310" s="3">
        <v>0</v>
      </c>
      <c r="F310" s="24"/>
      <c r="G310" s="24"/>
      <c r="H310" s="24"/>
      <c r="I310" s="3"/>
      <c r="J310" s="3"/>
    </row>
    <row r="311" spans="1:10" x14ac:dyDescent="0.2">
      <c r="A311" s="3">
        <v>190</v>
      </c>
      <c r="B311" s="3" t="s">
        <v>611</v>
      </c>
      <c r="C311" s="3">
        <v>0</v>
      </c>
      <c r="D311" s="24"/>
      <c r="E311" s="3">
        <v>0</v>
      </c>
      <c r="F311" s="24"/>
      <c r="G311" s="24"/>
      <c r="H311" s="24"/>
      <c r="I311" s="3"/>
      <c r="J311" s="3"/>
    </row>
    <row r="312" spans="1:10" x14ac:dyDescent="0.2">
      <c r="A312" s="3">
        <v>248</v>
      </c>
      <c r="B312" s="3" t="s">
        <v>612</v>
      </c>
      <c r="C312" s="3">
        <v>0</v>
      </c>
      <c r="D312" s="24"/>
      <c r="E312" s="3">
        <v>0</v>
      </c>
      <c r="F312" s="24"/>
      <c r="G312" s="24"/>
      <c r="H312" s="24"/>
      <c r="I312" s="3"/>
      <c r="J312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rightToLeft="1" zoomScaleNormal="100" workbookViewId="0"/>
  </sheetViews>
  <sheetFormatPr defaultColWidth="8.625" defaultRowHeight="14.25" x14ac:dyDescent="0.2"/>
  <cols>
    <col min="1" max="1" width="120" customWidth="1"/>
  </cols>
  <sheetData>
    <row r="1" spans="1:1" ht="18" x14ac:dyDescent="0.25">
      <c r="A1" s="2" t="s">
        <v>613</v>
      </c>
    </row>
    <row r="3" spans="1:1" ht="48" customHeight="1" x14ac:dyDescent="0.2">
      <c r="A3" s="27" t="s">
        <v>614</v>
      </c>
    </row>
    <row r="4" spans="1:1" ht="48" customHeight="1" x14ac:dyDescent="0.2">
      <c r="A4" s="27" t="s">
        <v>615</v>
      </c>
    </row>
    <row r="5" spans="1:1" ht="48" customHeight="1" x14ac:dyDescent="0.2">
      <c r="A5" s="27" t="s">
        <v>616</v>
      </c>
    </row>
    <row r="6" spans="1:1" ht="48" customHeight="1" x14ac:dyDescent="0.2">
      <c r="A6" s="27" t="s">
        <v>617</v>
      </c>
    </row>
    <row r="7" spans="1:1" ht="48" customHeight="1" x14ac:dyDescent="0.2">
      <c r="A7" s="27" t="s">
        <v>618</v>
      </c>
    </row>
    <row r="8" spans="1:1" ht="48" customHeight="1" x14ac:dyDescent="0.2">
      <c r="A8" s="27" t="s">
        <v>619</v>
      </c>
    </row>
    <row r="9" spans="1:1" ht="48" customHeight="1" x14ac:dyDescent="0.2">
      <c r="A9" s="27" t="s">
        <v>620</v>
      </c>
    </row>
    <row r="10" spans="1:1" ht="48" customHeight="1" x14ac:dyDescent="0.2">
      <c r="A10" s="27" t="s">
        <v>621</v>
      </c>
    </row>
    <row r="11" spans="1:1" ht="48" customHeight="1" x14ac:dyDescent="0.2">
      <c r="A11" s="27" t="s">
        <v>622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rightToLeft="1" tabSelected="1" zoomScaleNormal="100" workbookViewId="0"/>
  </sheetViews>
  <sheetFormatPr defaultColWidth="8.625" defaultRowHeight="14.25" x14ac:dyDescent="0.2"/>
  <cols>
    <col min="1" max="1" width="32" customWidth="1"/>
    <col min="2" max="2" width="120" customWidth="1"/>
  </cols>
  <sheetData>
    <row r="1" spans="1:2" ht="16.5" x14ac:dyDescent="0.3">
      <c r="A1" s="28" t="s">
        <v>623</v>
      </c>
      <c r="B1" s="29" t="s">
        <v>624</v>
      </c>
    </row>
    <row r="2" spans="1:2" ht="16.5" x14ac:dyDescent="0.3">
      <c r="A2" s="25" t="s">
        <v>625</v>
      </c>
      <c r="B2" s="10" t="s">
        <v>626</v>
      </c>
    </row>
    <row r="3" spans="1:2" ht="16.5" x14ac:dyDescent="0.3">
      <c r="A3" s="25" t="s">
        <v>627</v>
      </c>
      <c r="B3" s="10" t="s">
        <v>628</v>
      </c>
    </row>
    <row r="4" spans="1:2" ht="16.5" x14ac:dyDescent="0.3">
      <c r="A4" s="25" t="s">
        <v>629</v>
      </c>
      <c r="B4" s="10" t="s">
        <v>630</v>
      </c>
    </row>
    <row r="5" spans="1:2" ht="16.5" x14ac:dyDescent="0.3">
      <c r="A5" s="25" t="s">
        <v>631</v>
      </c>
      <c r="B5" s="10" t="s">
        <v>632</v>
      </c>
    </row>
    <row r="6" spans="1:2" ht="16.5" x14ac:dyDescent="0.3">
      <c r="A6" s="25" t="s">
        <v>633</v>
      </c>
      <c r="B6" s="10" t="s">
        <v>634</v>
      </c>
    </row>
    <row r="7" spans="1:2" ht="16.5" x14ac:dyDescent="0.3">
      <c r="A7" s="25" t="s">
        <v>635</v>
      </c>
      <c r="B7" s="10" t="s">
        <v>636</v>
      </c>
    </row>
    <row r="8" spans="1:2" ht="16.5" x14ac:dyDescent="0.3">
      <c r="A8" s="25" t="s">
        <v>637</v>
      </c>
      <c r="B8" s="10" t="s">
        <v>638</v>
      </c>
    </row>
    <row r="9" spans="1:2" ht="16.5" x14ac:dyDescent="0.3">
      <c r="A9" s="25" t="s">
        <v>639</v>
      </c>
      <c r="B9" s="10" t="s">
        <v>640</v>
      </c>
    </row>
    <row r="10" spans="1:2" x14ac:dyDescent="0.2">
      <c r="A10" s="25" t="s">
        <v>641</v>
      </c>
      <c r="B10" s="30" t="s">
        <v>642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راهنما</vt:lpstr>
      <vt:lpstr>پارامترها</vt:lpstr>
      <vt:lpstr>محلات</vt:lpstr>
      <vt:lpstr>مناطق</vt:lpstr>
      <vt:lpstr>داده خام دیوار</vt:lpstr>
      <vt:lpstr>مدل و اعتبارسنجی</vt:lpstr>
      <vt:lpstr>منابع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amin kalantari</cp:lastModifiedBy>
  <cp:revision>0</cp:revision>
  <dcterms:created xsi:type="dcterms:W3CDTF">2026-10-07T11:10:25Z</dcterms:created>
  <dcterms:modified xsi:type="dcterms:W3CDTF">2026-10-07T11:34:33Z</dcterms:modified>
  <dc:language>en-US</dc:language>
</cp:coreProperties>
</file>